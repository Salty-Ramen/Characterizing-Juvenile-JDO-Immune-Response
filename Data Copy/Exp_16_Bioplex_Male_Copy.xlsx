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ras365_pitt_edu/Documents/Documents/Research/JDO Project/Data Copy/"/>
    </mc:Choice>
  </mc:AlternateContent>
  <xr:revisionPtr revIDLastSave="81" documentId="13_ncr:1_{7795C0F9-9A1E-4C5B-8532-3F276859FAE3}" xr6:coauthVersionLast="47" xr6:coauthVersionMax="47" xr10:uidLastSave="{3E91085C-22B2-43D0-8699-8C68F1EB65E8}"/>
  <bookViews>
    <workbookView xWindow="-120" yWindow="-120" windowWidth="29040" windowHeight="15720" activeTab="4" xr2:uid="{00000000-000D-0000-FFFF-FFFF00000000}"/>
  </bookViews>
  <sheets>
    <sheet name="BH batch Plate 1 23plex" sheetId="1" r:id="rId1"/>
    <sheet name="Analysis plate 1" sheetId="3" r:id="rId2"/>
    <sheet name="Standard Curve" sheetId="2" r:id="rId3"/>
    <sheet name="Data_Reordered" sheetId="4" r:id="rId4"/>
    <sheet name="Detectability Limi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2" l="1"/>
  <c r="J104" i="3"/>
  <c r="D190" i="3" l="1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B66" i="3"/>
  <c r="B67" i="3"/>
  <c r="B68" i="3"/>
  <c r="B69" i="3"/>
  <c r="V159" i="3" s="1"/>
  <c r="B70" i="3"/>
  <c r="B71" i="3"/>
  <c r="B72" i="3"/>
  <c r="B73" i="3"/>
  <c r="V163" i="3" s="1"/>
  <c r="B74" i="3"/>
  <c r="B75" i="3"/>
  <c r="B76" i="3"/>
  <c r="B77" i="3"/>
  <c r="V167" i="3" s="1"/>
  <c r="B78" i="3"/>
  <c r="B79" i="3"/>
  <c r="B80" i="3"/>
  <c r="B81" i="3"/>
  <c r="V171" i="3" s="1"/>
  <c r="B82" i="3"/>
  <c r="B83" i="3"/>
  <c r="B84" i="3"/>
  <c r="B85" i="3"/>
  <c r="S175" i="3" s="1"/>
  <c r="B86" i="3"/>
  <c r="B87" i="3"/>
  <c r="B88" i="3"/>
  <c r="B89" i="3"/>
  <c r="S179" i="3" s="1"/>
  <c r="B90" i="3"/>
  <c r="B91" i="3"/>
  <c r="B92" i="3"/>
  <c r="B93" i="3"/>
  <c r="B94" i="3"/>
  <c r="B95" i="3"/>
  <c r="B96" i="3"/>
  <c r="B97" i="3"/>
  <c r="B98" i="3"/>
  <c r="B99" i="3"/>
  <c r="B100" i="3"/>
  <c r="B55" i="3"/>
  <c r="B56" i="3"/>
  <c r="B57" i="3"/>
  <c r="B58" i="3"/>
  <c r="S148" i="3" s="1"/>
  <c r="B59" i="3"/>
  <c r="B60" i="3"/>
  <c r="B61" i="3"/>
  <c r="B62" i="3"/>
  <c r="V152" i="3" s="1"/>
  <c r="B63" i="3"/>
  <c r="B64" i="3"/>
  <c r="B65" i="3"/>
  <c r="V156" i="3"/>
  <c r="V160" i="3"/>
  <c r="V164" i="3"/>
  <c r="V168" i="3"/>
  <c r="V172" i="3"/>
  <c r="U176" i="3"/>
  <c r="U180" i="3"/>
  <c r="T187" i="3"/>
  <c r="L180" i="3"/>
  <c r="L181" i="3"/>
  <c r="L182" i="3"/>
  <c r="L184" i="3"/>
  <c r="L185" i="3"/>
  <c r="L186" i="3"/>
  <c r="L188" i="3"/>
  <c r="L189" i="3"/>
  <c r="L190" i="3"/>
  <c r="I181" i="3"/>
  <c r="I182" i="3"/>
  <c r="I185" i="3"/>
  <c r="I186" i="3"/>
  <c r="I189" i="3"/>
  <c r="I190" i="3"/>
  <c r="S174" i="3"/>
  <c r="T174" i="3"/>
  <c r="U174" i="3"/>
  <c r="V174" i="3"/>
  <c r="W174" i="3"/>
  <c r="X174" i="3"/>
  <c r="Y174" i="3"/>
  <c r="Z174" i="3"/>
  <c r="AA174" i="3"/>
  <c r="AB174" i="3"/>
  <c r="AC174" i="3"/>
  <c r="V175" i="3"/>
  <c r="Z175" i="3"/>
  <c r="T176" i="3"/>
  <c r="X176" i="3"/>
  <c r="AB176" i="3"/>
  <c r="S177" i="3"/>
  <c r="T177" i="3"/>
  <c r="U177" i="3"/>
  <c r="V177" i="3"/>
  <c r="W177" i="3"/>
  <c r="X177" i="3"/>
  <c r="Y177" i="3"/>
  <c r="Z177" i="3"/>
  <c r="AA177" i="3"/>
  <c r="AB177" i="3"/>
  <c r="AC177" i="3"/>
  <c r="S178" i="3"/>
  <c r="T178" i="3"/>
  <c r="U178" i="3"/>
  <c r="V178" i="3"/>
  <c r="W178" i="3"/>
  <c r="X178" i="3"/>
  <c r="Y178" i="3"/>
  <c r="Z178" i="3"/>
  <c r="AA178" i="3"/>
  <c r="AB178" i="3"/>
  <c r="AC178" i="3"/>
  <c r="V179" i="3"/>
  <c r="Z179" i="3"/>
  <c r="T180" i="3"/>
  <c r="X180" i="3"/>
  <c r="AB180" i="3"/>
  <c r="S181" i="3"/>
  <c r="T181" i="3"/>
  <c r="U181" i="3"/>
  <c r="V181" i="3"/>
  <c r="W181" i="3"/>
  <c r="Y181" i="3"/>
  <c r="AA181" i="3"/>
  <c r="AB181" i="3"/>
  <c r="AC181" i="3"/>
  <c r="S182" i="3"/>
  <c r="T182" i="3"/>
  <c r="U182" i="3"/>
  <c r="V182" i="3"/>
  <c r="W182" i="3"/>
  <c r="Y182" i="3"/>
  <c r="AA182" i="3"/>
  <c r="AB182" i="3"/>
  <c r="AC182" i="3"/>
  <c r="V183" i="3"/>
  <c r="T184" i="3"/>
  <c r="AB184" i="3"/>
  <c r="S185" i="3"/>
  <c r="T185" i="3"/>
  <c r="V185" i="3"/>
  <c r="W185" i="3"/>
  <c r="Y185" i="3"/>
  <c r="AA185" i="3"/>
  <c r="AB185" i="3"/>
  <c r="AC185" i="3"/>
  <c r="S186" i="3"/>
  <c r="T186" i="3"/>
  <c r="V186" i="3"/>
  <c r="W186" i="3"/>
  <c r="Y186" i="3"/>
  <c r="AA186" i="3"/>
  <c r="AB186" i="3"/>
  <c r="AC186" i="3"/>
  <c r="T188" i="3"/>
  <c r="AB188" i="3"/>
  <c r="S189" i="3"/>
  <c r="T189" i="3"/>
  <c r="V189" i="3"/>
  <c r="W189" i="3"/>
  <c r="Y189" i="3"/>
  <c r="AA189" i="3"/>
  <c r="AB189" i="3"/>
  <c r="AC189" i="3"/>
  <c r="S190" i="3"/>
  <c r="T190" i="3"/>
  <c r="V190" i="3"/>
  <c r="W190" i="3"/>
  <c r="Y190" i="3"/>
  <c r="AA190" i="3"/>
  <c r="AB190" i="3"/>
  <c r="AC190" i="3"/>
  <c r="S150" i="3"/>
  <c r="T150" i="3"/>
  <c r="U150" i="3"/>
  <c r="V150" i="3"/>
  <c r="W150" i="3"/>
  <c r="X150" i="3"/>
  <c r="Y150" i="3"/>
  <c r="Z150" i="3"/>
  <c r="AA150" i="3"/>
  <c r="AB150" i="3"/>
  <c r="AC150" i="3"/>
  <c r="S151" i="3"/>
  <c r="T151" i="3"/>
  <c r="U151" i="3"/>
  <c r="V151" i="3"/>
  <c r="W151" i="3"/>
  <c r="X151" i="3"/>
  <c r="Y151" i="3"/>
  <c r="Z151" i="3"/>
  <c r="AA151" i="3"/>
  <c r="AB151" i="3"/>
  <c r="AC151" i="3"/>
  <c r="U152" i="3"/>
  <c r="Y152" i="3"/>
  <c r="AC152" i="3"/>
  <c r="S153" i="3"/>
  <c r="T153" i="3"/>
  <c r="U153" i="3"/>
  <c r="V153" i="3"/>
  <c r="W153" i="3"/>
  <c r="X153" i="3"/>
  <c r="Y153" i="3"/>
  <c r="Z153" i="3"/>
  <c r="AA153" i="3"/>
  <c r="AB153" i="3"/>
  <c r="AC153" i="3"/>
  <c r="S154" i="3"/>
  <c r="T154" i="3"/>
  <c r="U154" i="3"/>
  <c r="V154" i="3"/>
  <c r="W154" i="3"/>
  <c r="X154" i="3"/>
  <c r="Y154" i="3"/>
  <c r="Z154" i="3"/>
  <c r="AA154" i="3"/>
  <c r="AB154" i="3"/>
  <c r="AC154" i="3"/>
  <c r="S155" i="3"/>
  <c r="T155" i="3"/>
  <c r="U155" i="3"/>
  <c r="V155" i="3"/>
  <c r="W155" i="3"/>
  <c r="X155" i="3"/>
  <c r="Y155" i="3"/>
  <c r="Z155" i="3"/>
  <c r="AA155" i="3"/>
  <c r="AB155" i="3"/>
  <c r="AC155" i="3"/>
  <c r="U156" i="3"/>
  <c r="Y156" i="3"/>
  <c r="AC156" i="3"/>
  <c r="S157" i="3"/>
  <c r="T157" i="3"/>
  <c r="U157" i="3"/>
  <c r="V157" i="3"/>
  <c r="W157" i="3"/>
  <c r="X157" i="3"/>
  <c r="Y157" i="3"/>
  <c r="Z157" i="3"/>
  <c r="AA157" i="3"/>
  <c r="AB157" i="3"/>
  <c r="AC157" i="3"/>
  <c r="S158" i="3"/>
  <c r="T158" i="3"/>
  <c r="U158" i="3"/>
  <c r="V158" i="3"/>
  <c r="W158" i="3"/>
  <c r="X158" i="3"/>
  <c r="Y158" i="3"/>
  <c r="Z158" i="3"/>
  <c r="AA158" i="3"/>
  <c r="AB158" i="3"/>
  <c r="AC158" i="3"/>
  <c r="U159" i="3"/>
  <c r="Y159" i="3"/>
  <c r="AC159" i="3"/>
  <c r="U160" i="3"/>
  <c r="Y160" i="3"/>
  <c r="AC160" i="3"/>
  <c r="S161" i="3"/>
  <c r="T161" i="3"/>
  <c r="U161" i="3"/>
  <c r="V161" i="3"/>
  <c r="W161" i="3"/>
  <c r="X161" i="3"/>
  <c r="Y161" i="3"/>
  <c r="Z161" i="3"/>
  <c r="AA161" i="3"/>
  <c r="AB161" i="3"/>
  <c r="AC161" i="3"/>
  <c r="S162" i="3"/>
  <c r="T162" i="3"/>
  <c r="U162" i="3"/>
  <c r="V162" i="3"/>
  <c r="W162" i="3"/>
  <c r="X162" i="3"/>
  <c r="Y162" i="3"/>
  <c r="Z162" i="3"/>
  <c r="AA162" i="3"/>
  <c r="AB162" i="3"/>
  <c r="AC162" i="3"/>
  <c r="U163" i="3"/>
  <c r="Y163" i="3"/>
  <c r="AC163" i="3"/>
  <c r="U164" i="3"/>
  <c r="Y164" i="3"/>
  <c r="AC164" i="3"/>
  <c r="S165" i="3"/>
  <c r="T165" i="3"/>
  <c r="U165" i="3"/>
  <c r="V165" i="3"/>
  <c r="W165" i="3"/>
  <c r="X165" i="3"/>
  <c r="Y165" i="3"/>
  <c r="Z165" i="3"/>
  <c r="AA165" i="3"/>
  <c r="AB165" i="3"/>
  <c r="AC165" i="3"/>
  <c r="S166" i="3"/>
  <c r="T166" i="3"/>
  <c r="U166" i="3"/>
  <c r="V166" i="3"/>
  <c r="W166" i="3"/>
  <c r="X166" i="3"/>
  <c r="Y166" i="3"/>
  <c r="Z166" i="3"/>
  <c r="AA166" i="3"/>
  <c r="AB166" i="3"/>
  <c r="AC166" i="3"/>
  <c r="U167" i="3"/>
  <c r="Y167" i="3"/>
  <c r="AC167" i="3"/>
  <c r="U168" i="3"/>
  <c r="Y168" i="3"/>
  <c r="AC168" i="3"/>
  <c r="S169" i="3"/>
  <c r="T169" i="3"/>
  <c r="U169" i="3"/>
  <c r="V169" i="3"/>
  <c r="W169" i="3"/>
  <c r="X169" i="3"/>
  <c r="Y169" i="3"/>
  <c r="Z169" i="3"/>
  <c r="AA169" i="3"/>
  <c r="AB169" i="3"/>
  <c r="AC169" i="3"/>
  <c r="S170" i="3"/>
  <c r="T170" i="3"/>
  <c r="U170" i="3"/>
  <c r="V170" i="3"/>
  <c r="W170" i="3"/>
  <c r="X170" i="3"/>
  <c r="Y170" i="3"/>
  <c r="Z170" i="3"/>
  <c r="AA170" i="3"/>
  <c r="AB170" i="3"/>
  <c r="AC170" i="3"/>
  <c r="U171" i="3"/>
  <c r="Y171" i="3"/>
  <c r="AC171" i="3"/>
  <c r="U172" i="3"/>
  <c r="Y172" i="3"/>
  <c r="AC172" i="3"/>
  <c r="S173" i="3"/>
  <c r="T173" i="3"/>
  <c r="U173" i="3"/>
  <c r="V173" i="3"/>
  <c r="W173" i="3"/>
  <c r="X173" i="3"/>
  <c r="Y173" i="3"/>
  <c r="Z173" i="3"/>
  <c r="AA173" i="3"/>
  <c r="AB173" i="3"/>
  <c r="AC173" i="3"/>
  <c r="S145" i="3"/>
  <c r="T145" i="3"/>
  <c r="U145" i="3"/>
  <c r="V145" i="3"/>
  <c r="W145" i="3"/>
  <c r="X145" i="3"/>
  <c r="Y145" i="3"/>
  <c r="Z145" i="3"/>
  <c r="AA145" i="3"/>
  <c r="AB145" i="3"/>
  <c r="AC145" i="3"/>
  <c r="S146" i="3"/>
  <c r="T146" i="3"/>
  <c r="U146" i="3"/>
  <c r="V146" i="3"/>
  <c r="W146" i="3"/>
  <c r="X146" i="3"/>
  <c r="Y146" i="3"/>
  <c r="Z146" i="3"/>
  <c r="AA146" i="3"/>
  <c r="AB146" i="3"/>
  <c r="AC146" i="3"/>
  <c r="S147" i="3"/>
  <c r="T147" i="3"/>
  <c r="U147" i="3"/>
  <c r="V147" i="3"/>
  <c r="W147" i="3"/>
  <c r="X147" i="3"/>
  <c r="Y147" i="3"/>
  <c r="Z147" i="3"/>
  <c r="AA147" i="3"/>
  <c r="AB147" i="3"/>
  <c r="AC147" i="3"/>
  <c r="V148" i="3"/>
  <c r="Z148" i="3"/>
  <c r="S149" i="3"/>
  <c r="T149" i="3"/>
  <c r="U149" i="3"/>
  <c r="V149" i="3"/>
  <c r="W149" i="3"/>
  <c r="X149" i="3"/>
  <c r="Y149" i="3"/>
  <c r="Z149" i="3"/>
  <c r="AA149" i="3"/>
  <c r="AB149" i="3"/>
  <c r="AC149" i="3"/>
  <c r="R190" i="3"/>
  <c r="R189" i="3"/>
  <c r="R188" i="3"/>
  <c r="R186" i="3"/>
  <c r="R185" i="3"/>
  <c r="R184" i="3"/>
  <c r="R182" i="3"/>
  <c r="R181" i="3"/>
  <c r="R180" i="3"/>
  <c r="R178" i="3"/>
  <c r="R177" i="3"/>
  <c r="R176" i="3"/>
  <c r="R174" i="3"/>
  <c r="R173" i="3"/>
  <c r="R172" i="3"/>
  <c r="R170" i="3"/>
  <c r="R169" i="3"/>
  <c r="R168" i="3"/>
  <c r="R166" i="3"/>
  <c r="R165" i="3"/>
  <c r="R164" i="3"/>
  <c r="R162" i="3"/>
  <c r="R161" i="3"/>
  <c r="R160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Q190" i="3"/>
  <c r="Q189" i="3"/>
  <c r="Q186" i="3"/>
  <c r="Q185" i="3"/>
  <c r="Q182" i="3"/>
  <c r="Q181" i="3"/>
  <c r="Q178" i="3"/>
  <c r="Q177" i="3"/>
  <c r="Q174" i="3"/>
  <c r="Q173" i="3"/>
  <c r="Q171" i="3"/>
  <c r="Q170" i="3"/>
  <c r="Q169" i="3"/>
  <c r="Q166" i="3"/>
  <c r="Q165" i="3"/>
  <c r="Q162" i="3"/>
  <c r="Q161" i="3"/>
  <c r="Q158" i="3"/>
  <c r="Q157" i="3"/>
  <c r="Q155" i="3"/>
  <c r="Q154" i="3"/>
  <c r="Q153" i="3"/>
  <c r="Q151" i="3"/>
  <c r="Q150" i="3"/>
  <c r="Q149" i="3"/>
  <c r="Q147" i="3"/>
  <c r="Q146" i="3"/>
  <c r="Q145" i="3"/>
  <c r="P190" i="3"/>
  <c r="P189" i="3"/>
  <c r="P186" i="3"/>
  <c r="P185" i="3"/>
  <c r="P182" i="3"/>
  <c r="P181" i="3"/>
  <c r="P178" i="3"/>
  <c r="P177" i="3"/>
  <c r="P175" i="3"/>
  <c r="P174" i="3"/>
  <c r="P173" i="3"/>
  <c r="P170" i="3"/>
  <c r="P169" i="3"/>
  <c r="P166" i="3"/>
  <c r="P165" i="3"/>
  <c r="P162" i="3"/>
  <c r="P161" i="3"/>
  <c r="P159" i="3"/>
  <c r="P158" i="3"/>
  <c r="P157" i="3"/>
  <c r="P155" i="3"/>
  <c r="P154" i="3"/>
  <c r="P153" i="3"/>
  <c r="P151" i="3"/>
  <c r="P150" i="3"/>
  <c r="P149" i="3"/>
  <c r="P147" i="3"/>
  <c r="P146" i="3"/>
  <c r="P145" i="3"/>
  <c r="O190" i="3"/>
  <c r="O189" i="3"/>
  <c r="O186" i="3"/>
  <c r="O185" i="3"/>
  <c r="O182" i="3"/>
  <c r="O181" i="3"/>
  <c r="O179" i="3"/>
  <c r="O178" i="3"/>
  <c r="O177" i="3"/>
  <c r="O174" i="3"/>
  <c r="O173" i="3"/>
  <c r="O170" i="3"/>
  <c r="O169" i="3"/>
  <c r="O166" i="3"/>
  <c r="O165" i="3"/>
  <c r="O163" i="3"/>
  <c r="O162" i="3"/>
  <c r="O161" i="3"/>
  <c r="O158" i="3"/>
  <c r="O157" i="3"/>
  <c r="O155" i="3"/>
  <c r="O154" i="3"/>
  <c r="O153" i="3"/>
  <c r="O151" i="3"/>
  <c r="O150" i="3"/>
  <c r="O149" i="3"/>
  <c r="O147" i="3"/>
  <c r="O146" i="3"/>
  <c r="O145" i="3"/>
  <c r="N190" i="3"/>
  <c r="N189" i="3"/>
  <c r="N188" i="3"/>
  <c r="N186" i="3"/>
  <c r="N185" i="3"/>
  <c r="N184" i="3"/>
  <c r="N182" i="3"/>
  <c r="N181" i="3"/>
  <c r="N180" i="3"/>
  <c r="N178" i="3"/>
  <c r="N177" i="3"/>
  <c r="N176" i="3"/>
  <c r="N174" i="3"/>
  <c r="N173" i="3"/>
  <c r="N172" i="3"/>
  <c r="N170" i="3"/>
  <c r="N169" i="3"/>
  <c r="N168" i="3"/>
  <c r="N166" i="3"/>
  <c r="N165" i="3"/>
  <c r="N164" i="3"/>
  <c r="N162" i="3"/>
  <c r="N161" i="3"/>
  <c r="N160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M190" i="3"/>
  <c r="M189" i="3"/>
  <c r="M186" i="3"/>
  <c r="M185" i="3"/>
  <c r="M182" i="3"/>
  <c r="M181" i="3"/>
  <c r="M178" i="3"/>
  <c r="M177" i="3"/>
  <c r="M174" i="3"/>
  <c r="M173" i="3"/>
  <c r="M171" i="3"/>
  <c r="M170" i="3"/>
  <c r="M169" i="3"/>
  <c r="M166" i="3"/>
  <c r="M165" i="3"/>
  <c r="M162" i="3"/>
  <c r="M161" i="3"/>
  <c r="M158" i="3"/>
  <c r="M157" i="3"/>
  <c r="M155" i="3"/>
  <c r="M154" i="3"/>
  <c r="M153" i="3"/>
  <c r="M151" i="3"/>
  <c r="M150" i="3"/>
  <c r="M149" i="3"/>
  <c r="M147" i="3"/>
  <c r="M146" i="3"/>
  <c r="M145" i="3"/>
  <c r="L178" i="3"/>
  <c r="L177" i="3"/>
  <c r="L174" i="3"/>
  <c r="L173" i="3"/>
  <c r="L171" i="3"/>
  <c r="L170" i="3"/>
  <c r="L169" i="3"/>
  <c r="L166" i="3"/>
  <c r="L165" i="3"/>
  <c r="L162" i="3"/>
  <c r="L161" i="3"/>
  <c r="L158" i="3"/>
  <c r="L157" i="3"/>
  <c r="L155" i="3"/>
  <c r="L154" i="3"/>
  <c r="L153" i="3"/>
  <c r="L151" i="3"/>
  <c r="L150" i="3"/>
  <c r="L149" i="3"/>
  <c r="L147" i="3"/>
  <c r="L146" i="3"/>
  <c r="L145" i="3"/>
  <c r="K190" i="3"/>
  <c r="K189" i="3"/>
  <c r="K186" i="3"/>
  <c r="K185" i="3"/>
  <c r="K182" i="3"/>
  <c r="K181" i="3"/>
  <c r="K178" i="3"/>
  <c r="K177" i="3"/>
  <c r="K175" i="3"/>
  <c r="K174" i="3"/>
  <c r="K173" i="3"/>
  <c r="K170" i="3"/>
  <c r="K169" i="3"/>
  <c r="K166" i="3"/>
  <c r="K165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J190" i="3"/>
  <c r="J189" i="3"/>
  <c r="J186" i="3"/>
  <c r="J185" i="3"/>
  <c r="J182" i="3"/>
  <c r="J181" i="3"/>
  <c r="J179" i="3"/>
  <c r="J150" i="3"/>
  <c r="J149" i="3"/>
  <c r="J147" i="3"/>
  <c r="J146" i="3"/>
  <c r="J145" i="3"/>
  <c r="J178" i="3"/>
  <c r="J177" i="3"/>
  <c r="J176" i="3"/>
  <c r="J174" i="3"/>
  <c r="J173" i="3"/>
  <c r="J172" i="3"/>
  <c r="J170" i="3"/>
  <c r="J169" i="3"/>
  <c r="J168" i="3"/>
  <c r="J166" i="3"/>
  <c r="J165" i="3"/>
  <c r="J164" i="3"/>
  <c r="J162" i="3"/>
  <c r="J161" i="3"/>
  <c r="J160" i="3"/>
  <c r="J158" i="3"/>
  <c r="J157" i="3"/>
  <c r="J156" i="3"/>
  <c r="J155" i="3"/>
  <c r="J154" i="3"/>
  <c r="J153" i="3"/>
  <c r="J152" i="3"/>
  <c r="J151" i="3"/>
  <c r="I178" i="3"/>
  <c r="I177" i="3"/>
  <c r="I174" i="3"/>
  <c r="I173" i="3"/>
  <c r="I170" i="3"/>
  <c r="I169" i="3"/>
  <c r="I167" i="3"/>
  <c r="I166" i="3"/>
  <c r="I165" i="3"/>
  <c r="I162" i="3"/>
  <c r="I161" i="3"/>
  <c r="I158" i="3"/>
  <c r="I157" i="3"/>
  <c r="I155" i="3"/>
  <c r="I154" i="3"/>
  <c r="I153" i="3"/>
  <c r="I151" i="3"/>
  <c r="I150" i="3"/>
  <c r="I149" i="3"/>
  <c r="I147" i="3"/>
  <c r="I146" i="3"/>
  <c r="I145" i="3"/>
  <c r="B43" i="3"/>
  <c r="B44" i="3"/>
  <c r="B45" i="3"/>
  <c r="B46" i="3"/>
  <c r="B47" i="3"/>
  <c r="B48" i="3"/>
  <c r="B49" i="3"/>
  <c r="B50" i="3"/>
  <c r="B51" i="3"/>
  <c r="B52" i="3"/>
  <c r="B53" i="3"/>
  <c r="B54" i="3"/>
  <c r="G147" i="3"/>
  <c r="H148" i="3"/>
  <c r="G151" i="3"/>
  <c r="G155" i="3"/>
  <c r="G156" i="3"/>
  <c r="G159" i="3"/>
  <c r="G164" i="3"/>
  <c r="G171" i="3"/>
  <c r="G172" i="3"/>
  <c r="G180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14" i="3"/>
  <c r="H190" i="3"/>
  <c r="H189" i="3"/>
  <c r="H186" i="3"/>
  <c r="H185" i="3"/>
  <c r="H183" i="3"/>
  <c r="H182" i="3"/>
  <c r="H181" i="3"/>
  <c r="H178" i="3"/>
  <c r="H177" i="3"/>
  <c r="H174" i="3"/>
  <c r="H173" i="3"/>
  <c r="H170" i="3"/>
  <c r="H169" i="3"/>
  <c r="H167" i="3"/>
  <c r="H166" i="3"/>
  <c r="H165" i="3"/>
  <c r="H162" i="3"/>
  <c r="H161" i="3"/>
  <c r="H158" i="3"/>
  <c r="H157" i="3"/>
  <c r="H155" i="3"/>
  <c r="H154" i="3"/>
  <c r="H153" i="3"/>
  <c r="H151" i="3"/>
  <c r="H150" i="3"/>
  <c r="H149" i="3"/>
  <c r="H147" i="3"/>
  <c r="H146" i="3"/>
  <c r="H145" i="3"/>
  <c r="H143" i="3"/>
  <c r="H142" i="3"/>
  <c r="H141" i="3"/>
  <c r="H139" i="3"/>
  <c r="H138" i="3"/>
  <c r="H137" i="3"/>
  <c r="H135" i="3"/>
  <c r="H134" i="3"/>
  <c r="H133" i="3"/>
  <c r="H132" i="3"/>
  <c r="H130" i="3"/>
  <c r="H127" i="3"/>
  <c r="H126" i="3"/>
  <c r="H125" i="3"/>
  <c r="H123" i="3"/>
  <c r="H122" i="3"/>
  <c r="H121" i="3"/>
  <c r="H119" i="3"/>
  <c r="H118" i="3"/>
  <c r="H117" i="3"/>
  <c r="H115" i="3"/>
  <c r="H114" i="3"/>
  <c r="H113" i="3"/>
  <c r="H111" i="3"/>
  <c r="H110" i="3"/>
  <c r="H109" i="3"/>
  <c r="H107" i="3"/>
  <c r="H106" i="3"/>
  <c r="H105" i="3"/>
  <c r="H129" i="3"/>
  <c r="G186" i="3"/>
  <c r="G182" i="3"/>
  <c r="G185" i="3"/>
  <c r="G189" i="3"/>
  <c r="G190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8" i="3"/>
  <c r="G129" i="3"/>
  <c r="G130" i="3"/>
  <c r="G131" i="3"/>
  <c r="G132" i="3"/>
  <c r="G133" i="3"/>
  <c r="G134" i="3"/>
  <c r="G137" i="3"/>
  <c r="G138" i="3"/>
  <c r="G141" i="3"/>
  <c r="G142" i="3"/>
  <c r="G145" i="3"/>
  <c r="G146" i="3"/>
  <c r="G149" i="3"/>
  <c r="G150" i="3"/>
  <c r="G153" i="3"/>
  <c r="G154" i="3"/>
  <c r="G157" i="3"/>
  <c r="G158" i="3"/>
  <c r="G161" i="3"/>
  <c r="G162" i="3"/>
  <c r="G165" i="3"/>
  <c r="G166" i="3"/>
  <c r="G169" i="3"/>
  <c r="G170" i="3"/>
  <c r="G173" i="3"/>
  <c r="G174" i="3"/>
  <c r="G177" i="3"/>
  <c r="G178" i="3"/>
  <c r="G181" i="3"/>
  <c r="G104" i="3"/>
  <c r="H104" i="3" l="1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I104" i="3"/>
  <c r="AA132" i="3"/>
  <c r="S132" i="3"/>
  <c r="T132" i="3"/>
  <c r="U132" i="3"/>
  <c r="V132" i="3"/>
  <c r="W132" i="3"/>
  <c r="X132" i="3"/>
  <c r="Y132" i="3"/>
  <c r="Z132" i="3"/>
  <c r="AB132" i="3"/>
  <c r="AC132" i="3"/>
  <c r="R132" i="3"/>
  <c r="Q132" i="3"/>
  <c r="P132" i="3"/>
  <c r="O132" i="3"/>
  <c r="N132" i="3"/>
  <c r="M132" i="3"/>
  <c r="L132" i="3"/>
  <c r="K132" i="3"/>
  <c r="J132" i="3"/>
  <c r="I132" i="3"/>
  <c r="H131" i="3"/>
  <c r="AA131" i="3"/>
  <c r="S131" i="3"/>
  <c r="T131" i="3"/>
  <c r="U131" i="3"/>
  <c r="V131" i="3"/>
  <c r="W131" i="3"/>
  <c r="X131" i="3"/>
  <c r="Y131" i="3"/>
  <c r="Z131" i="3"/>
  <c r="AB131" i="3"/>
  <c r="AC131" i="3"/>
  <c r="R131" i="3"/>
  <c r="Q131" i="3"/>
  <c r="P131" i="3"/>
  <c r="O131" i="3"/>
  <c r="N131" i="3"/>
  <c r="M131" i="3"/>
  <c r="L131" i="3"/>
  <c r="K131" i="3"/>
  <c r="J131" i="3"/>
  <c r="I131" i="3"/>
  <c r="AA130" i="3"/>
  <c r="S130" i="3"/>
  <c r="T130" i="3"/>
  <c r="U130" i="3"/>
  <c r="V130" i="3"/>
  <c r="W130" i="3"/>
  <c r="X130" i="3"/>
  <c r="Y130" i="3"/>
  <c r="Z130" i="3"/>
  <c r="AB130" i="3"/>
  <c r="AC130" i="3"/>
  <c r="R130" i="3"/>
  <c r="Q130" i="3"/>
  <c r="P130" i="3"/>
  <c r="O130" i="3"/>
  <c r="N130" i="3"/>
  <c r="M130" i="3"/>
  <c r="L130" i="3"/>
  <c r="K130" i="3"/>
  <c r="J130" i="3"/>
  <c r="I130" i="3"/>
  <c r="AA129" i="3"/>
  <c r="S129" i="3"/>
  <c r="T129" i="3"/>
  <c r="U129" i="3"/>
  <c r="V129" i="3"/>
  <c r="W129" i="3"/>
  <c r="X129" i="3"/>
  <c r="Y129" i="3"/>
  <c r="Z129" i="3"/>
  <c r="AB129" i="3"/>
  <c r="AC129" i="3"/>
  <c r="R129" i="3"/>
  <c r="Q129" i="3"/>
  <c r="P129" i="3"/>
  <c r="O129" i="3"/>
  <c r="N129" i="3"/>
  <c r="M129" i="3"/>
  <c r="L129" i="3"/>
  <c r="K129" i="3"/>
  <c r="J129" i="3"/>
  <c r="I129" i="3"/>
  <c r="H128" i="3"/>
  <c r="S128" i="3"/>
  <c r="T128" i="3"/>
  <c r="U128" i="3"/>
  <c r="V128" i="3"/>
  <c r="W128" i="3"/>
  <c r="X128" i="3"/>
  <c r="Y128" i="3"/>
  <c r="Z128" i="3"/>
  <c r="AA128" i="3"/>
  <c r="AB128" i="3"/>
  <c r="AC128" i="3"/>
  <c r="R128" i="3"/>
  <c r="Q128" i="3"/>
  <c r="P128" i="3"/>
  <c r="O128" i="3"/>
  <c r="N128" i="3"/>
  <c r="M128" i="3"/>
  <c r="L128" i="3"/>
  <c r="K128" i="3"/>
  <c r="J128" i="3"/>
  <c r="I128" i="3"/>
  <c r="S127" i="3"/>
  <c r="G127" i="3"/>
  <c r="T127" i="3"/>
  <c r="U127" i="3"/>
  <c r="V127" i="3"/>
  <c r="W127" i="3"/>
  <c r="X127" i="3"/>
  <c r="Y127" i="3"/>
  <c r="Z127" i="3"/>
  <c r="AA127" i="3"/>
  <c r="AB127" i="3"/>
  <c r="AC127" i="3"/>
  <c r="R127" i="3"/>
  <c r="Q127" i="3"/>
  <c r="P127" i="3"/>
  <c r="O127" i="3"/>
  <c r="N127" i="3"/>
  <c r="M127" i="3"/>
  <c r="L127" i="3"/>
  <c r="K127" i="3"/>
  <c r="J127" i="3"/>
  <c r="I127" i="3"/>
  <c r="S126" i="3"/>
  <c r="T126" i="3"/>
  <c r="U126" i="3"/>
  <c r="V126" i="3"/>
  <c r="W126" i="3"/>
  <c r="X126" i="3"/>
  <c r="Y126" i="3"/>
  <c r="Z126" i="3"/>
  <c r="AA126" i="3"/>
  <c r="AB126" i="3"/>
  <c r="AC126" i="3"/>
  <c r="R126" i="3"/>
  <c r="Q126" i="3"/>
  <c r="P126" i="3"/>
  <c r="O126" i="3"/>
  <c r="N126" i="3"/>
  <c r="M126" i="3"/>
  <c r="L126" i="3"/>
  <c r="K126" i="3"/>
  <c r="J126" i="3"/>
  <c r="I126" i="3"/>
  <c r="S125" i="3"/>
  <c r="T125" i="3"/>
  <c r="U125" i="3"/>
  <c r="V125" i="3"/>
  <c r="W125" i="3"/>
  <c r="X125" i="3"/>
  <c r="Y125" i="3"/>
  <c r="Z125" i="3"/>
  <c r="AA125" i="3"/>
  <c r="AB125" i="3"/>
  <c r="AC125" i="3"/>
  <c r="R125" i="3"/>
  <c r="Q125" i="3"/>
  <c r="P125" i="3"/>
  <c r="O125" i="3"/>
  <c r="N125" i="3"/>
  <c r="M125" i="3"/>
  <c r="L125" i="3"/>
  <c r="K125" i="3"/>
  <c r="J125" i="3"/>
  <c r="I125" i="3"/>
  <c r="H124" i="3"/>
  <c r="S124" i="3"/>
  <c r="T124" i="3"/>
  <c r="U124" i="3"/>
  <c r="V124" i="3"/>
  <c r="W124" i="3"/>
  <c r="X124" i="3"/>
  <c r="Y124" i="3"/>
  <c r="Z124" i="3"/>
  <c r="AA124" i="3"/>
  <c r="AB124" i="3"/>
  <c r="AC124" i="3"/>
  <c r="R124" i="3"/>
  <c r="Q124" i="3"/>
  <c r="P124" i="3"/>
  <c r="O124" i="3"/>
  <c r="N124" i="3"/>
  <c r="M124" i="3"/>
  <c r="L124" i="3"/>
  <c r="K124" i="3"/>
  <c r="J124" i="3"/>
  <c r="I124" i="3"/>
  <c r="S123" i="3"/>
  <c r="T123" i="3"/>
  <c r="U123" i="3"/>
  <c r="V123" i="3"/>
  <c r="W123" i="3"/>
  <c r="X123" i="3"/>
  <c r="Y123" i="3"/>
  <c r="Z123" i="3"/>
  <c r="AA123" i="3"/>
  <c r="AB123" i="3"/>
  <c r="AC123" i="3"/>
  <c r="R123" i="3"/>
  <c r="Q123" i="3"/>
  <c r="P123" i="3"/>
  <c r="O123" i="3"/>
  <c r="N123" i="3"/>
  <c r="M123" i="3"/>
  <c r="L123" i="3"/>
  <c r="K123" i="3"/>
  <c r="J123" i="3"/>
  <c r="I123" i="3"/>
  <c r="S122" i="3"/>
  <c r="T122" i="3"/>
  <c r="U122" i="3"/>
  <c r="V122" i="3"/>
  <c r="W122" i="3"/>
  <c r="X122" i="3"/>
  <c r="Y122" i="3"/>
  <c r="Z122" i="3"/>
  <c r="AA122" i="3"/>
  <c r="AB122" i="3"/>
  <c r="AC122" i="3"/>
  <c r="R122" i="3"/>
  <c r="Q122" i="3"/>
  <c r="P122" i="3"/>
  <c r="O122" i="3"/>
  <c r="N122" i="3"/>
  <c r="M122" i="3"/>
  <c r="L122" i="3"/>
  <c r="K122" i="3"/>
  <c r="J122" i="3"/>
  <c r="I122" i="3"/>
  <c r="S121" i="3"/>
  <c r="T121" i="3"/>
  <c r="U121" i="3"/>
  <c r="V121" i="3"/>
  <c r="W121" i="3"/>
  <c r="X121" i="3"/>
  <c r="Y121" i="3"/>
  <c r="Z121" i="3"/>
  <c r="AA121" i="3"/>
  <c r="AB121" i="3"/>
  <c r="AC121" i="3"/>
  <c r="R121" i="3"/>
  <c r="Q121" i="3"/>
  <c r="P121" i="3"/>
  <c r="O121" i="3"/>
  <c r="N121" i="3"/>
  <c r="M121" i="3"/>
  <c r="L121" i="3"/>
  <c r="K121" i="3"/>
  <c r="J121" i="3"/>
  <c r="I121" i="3"/>
  <c r="H120" i="3"/>
  <c r="S120" i="3"/>
  <c r="T120" i="3"/>
  <c r="U120" i="3"/>
  <c r="V120" i="3"/>
  <c r="W120" i="3"/>
  <c r="X120" i="3"/>
  <c r="Y120" i="3"/>
  <c r="Z120" i="3"/>
  <c r="AA120" i="3"/>
  <c r="AB120" i="3"/>
  <c r="AC120" i="3"/>
  <c r="R120" i="3"/>
  <c r="Q120" i="3"/>
  <c r="P120" i="3"/>
  <c r="O120" i="3"/>
  <c r="N120" i="3"/>
  <c r="M120" i="3"/>
  <c r="L120" i="3"/>
  <c r="K120" i="3"/>
  <c r="J120" i="3"/>
  <c r="I120" i="3"/>
  <c r="S119" i="3"/>
  <c r="T119" i="3"/>
  <c r="U119" i="3"/>
  <c r="V119" i="3"/>
  <c r="W119" i="3"/>
  <c r="X119" i="3"/>
  <c r="Y119" i="3"/>
  <c r="Z119" i="3"/>
  <c r="AA119" i="3"/>
  <c r="AB119" i="3"/>
  <c r="AC119" i="3"/>
  <c r="R119" i="3"/>
  <c r="Q119" i="3"/>
  <c r="P119" i="3"/>
  <c r="O119" i="3"/>
  <c r="N119" i="3"/>
  <c r="M119" i="3"/>
  <c r="L119" i="3"/>
  <c r="K119" i="3"/>
  <c r="J119" i="3"/>
  <c r="I119" i="3"/>
  <c r="S118" i="3"/>
  <c r="T118" i="3"/>
  <c r="U118" i="3"/>
  <c r="V118" i="3"/>
  <c r="W118" i="3"/>
  <c r="X118" i="3"/>
  <c r="Y118" i="3"/>
  <c r="Z118" i="3"/>
  <c r="AA118" i="3"/>
  <c r="AB118" i="3"/>
  <c r="AC118" i="3"/>
  <c r="R118" i="3"/>
  <c r="Q118" i="3"/>
  <c r="P118" i="3"/>
  <c r="O118" i="3"/>
  <c r="N118" i="3"/>
  <c r="M118" i="3"/>
  <c r="L118" i="3"/>
  <c r="K118" i="3"/>
  <c r="J118" i="3"/>
  <c r="I118" i="3"/>
  <c r="S117" i="3"/>
  <c r="T117" i="3"/>
  <c r="U117" i="3"/>
  <c r="V117" i="3"/>
  <c r="W117" i="3"/>
  <c r="X117" i="3"/>
  <c r="Y117" i="3"/>
  <c r="Z117" i="3"/>
  <c r="AA117" i="3"/>
  <c r="AB117" i="3"/>
  <c r="AC117" i="3"/>
  <c r="R117" i="3"/>
  <c r="Q117" i="3"/>
  <c r="P117" i="3"/>
  <c r="O117" i="3"/>
  <c r="N117" i="3"/>
  <c r="M117" i="3"/>
  <c r="L117" i="3"/>
  <c r="K117" i="3"/>
  <c r="J117" i="3"/>
  <c r="I117" i="3"/>
  <c r="H116" i="3"/>
  <c r="S116" i="3"/>
  <c r="T116" i="3"/>
  <c r="U116" i="3"/>
  <c r="V116" i="3"/>
  <c r="W116" i="3"/>
  <c r="X116" i="3"/>
  <c r="Y116" i="3"/>
  <c r="Z116" i="3"/>
  <c r="AA116" i="3"/>
  <c r="AB116" i="3"/>
  <c r="AC116" i="3"/>
  <c r="R116" i="3"/>
  <c r="Q116" i="3"/>
  <c r="P116" i="3"/>
  <c r="O116" i="3"/>
  <c r="N116" i="3"/>
  <c r="M116" i="3"/>
  <c r="L116" i="3"/>
  <c r="K116" i="3"/>
  <c r="J116" i="3"/>
  <c r="I116" i="3"/>
  <c r="S115" i="3"/>
  <c r="T115" i="3"/>
  <c r="U115" i="3"/>
  <c r="V115" i="3"/>
  <c r="W115" i="3"/>
  <c r="X115" i="3"/>
  <c r="Y115" i="3"/>
  <c r="Z115" i="3"/>
  <c r="AA115" i="3"/>
  <c r="AB115" i="3"/>
  <c r="AC115" i="3"/>
  <c r="R115" i="3"/>
  <c r="Q115" i="3"/>
  <c r="P115" i="3"/>
  <c r="O115" i="3"/>
  <c r="N115" i="3"/>
  <c r="M115" i="3"/>
  <c r="L115" i="3"/>
  <c r="K115" i="3"/>
  <c r="J115" i="3"/>
  <c r="I115" i="3"/>
  <c r="S114" i="3"/>
  <c r="T114" i="3"/>
  <c r="U114" i="3"/>
  <c r="V114" i="3"/>
  <c r="W114" i="3"/>
  <c r="X114" i="3"/>
  <c r="Y114" i="3"/>
  <c r="Z114" i="3"/>
  <c r="AA114" i="3"/>
  <c r="AB114" i="3"/>
  <c r="AC114" i="3"/>
  <c r="R114" i="3"/>
  <c r="Q114" i="3"/>
  <c r="P114" i="3"/>
  <c r="O114" i="3"/>
  <c r="N114" i="3"/>
  <c r="M114" i="3"/>
  <c r="L114" i="3"/>
  <c r="K114" i="3"/>
  <c r="J114" i="3"/>
  <c r="I114" i="3"/>
  <c r="S113" i="3"/>
  <c r="T113" i="3"/>
  <c r="U113" i="3"/>
  <c r="V113" i="3"/>
  <c r="W113" i="3"/>
  <c r="X113" i="3"/>
  <c r="Y113" i="3"/>
  <c r="Z113" i="3"/>
  <c r="AA113" i="3"/>
  <c r="AB113" i="3"/>
  <c r="AC113" i="3"/>
  <c r="R113" i="3"/>
  <c r="Q113" i="3"/>
  <c r="P113" i="3"/>
  <c r="O113" i="3"/>
  <c r="N113" i="3"/>
  <c r="M113" i="3"/>
  <c r="L113" i="3"/>
  <c r="K113" i="3"/>
  <c r="J113" i="3"/>
  <c r="I113" i="3"/>
  <c r="H112" i="3"/>
  <c r="S112" i="3"/>
  <c r="T112" i="3"/>
  <c r="U112" i="3"/>
  <c r="V112" i="3"/>
  <c r="W112" i="3"/>
  <c r="X112" i="3"/>
  <c r="Y112" i="3"/>
  <c r="Z112" i="3"/>
  <c r="AA112" i="3"/>
  <c r="AB112" i="3"/>
  <c r="AC112" i="3"/>
  <c r="R112" i="3"/>
  <c r="Q112" i="3"/>
  <c r="P112" i="3"/>
  <c r="O112" i="3"/>
  <c r="N112" i="3"/>
  <c r="M112" i="3"/>
  <c r="L112" i="3"/>
  <c r="K112" i="3"/>
  <c r="J112" i="3"/>
  <c r="I112" i="3"/>
  <c r="S111" i="3"/>
  <c r="T111" i="3"/>
  <c r="U111" i="3"/>
  <c r="V111" i="3"/>
  <c r="W111" i="3"/>
  <c r="X111" i="3"/>
  <c r="Y111" i="3"/>
  <c r="Z111" i="3"/>
  <c r="AA111" i="3"/>
  <c r="AB111" i="3"/>
  <c r="AC111" i="3"/>
  <c r="R111" i="3"/>
  <c r="Q111" i="3"/>
  <c r="P111" i="3"/>
  <c r="O111" i="3"/>
  <c r="N111" i="3"/>
  <c r="M111" i="3"/>
  <c r="L111" i="3"/>
  <c r="K111" i="3"/>
  <c r="J111" i="3"/>
  <c r="I111" i="3"/>
  <c r="S110" i="3"/>
  <c r="T110" i="3"/>
  <c r="U110" i="3"/>
  <c r="V110" i="3"/>
  <c r="W110" i="3"/>
  <c r="X110" i="3"/>
  <c r="Y110" i="3"/>
  <c r="Z110" i="3"/>
  <c r="AA110" i="3"/>
  <c r="AB110" i="3"/>
  <c r="AC110" i="3"/>
  <c r="R110" i="3"/>
  <c r="Q110" i="3"/>
  <c r="P110" i="3"/>
  <c r="O110" i="3"/>
  <c r="N110" i="3"/>
  <c r="M110" i="3"/>
  <c r="L110" i="3"/>
  <c r="K110" i="3"/>
  <c r="J110" i="3"/>
  <c r="I110" i="3"/>
  <c r="S109" i="3"/>
  <c r="T109" i="3"/>
  <c r="U109" i="3"/>
  <c r="V109" i="3"/>
  <c r="W109" i="3"/>
  <c r="X109" i="3"/>
  <c r="Y109" i="3"/>
  <c r="Z109" i="3"/>
  <c r="AA109" i="3"/>
  <c r="AB109" i="3"/>
  <c r="AC109" i="3"/>
  <c r="R109" i="3"/>
  <c r="Q109" i="3"/>
  <c r="P109" i="3"/>
  <c r="O109" i="3"/>
  <c r="N109" i="3"/>
  <c r="M109" i="3"/>
  <c r="L109" i="3"/>
  <c r="K109" i="3"/>
  <c r="J109" i="3"/>
  <c r="I109" i="3"/>
  <c r="H108" i="3"/>
  <c r="S108" i="3"/>
  <c r="T108" i="3"/>
  <c r="U108" i="3"/>
  <c r="V108" i="3"/>
  <c r="W108" i="3"/>
  <c r="X108" i="3"/>
  <c r="Y108" i="3"/>
  <c r="Z108" i="3"/>
  <c r="AA108" i="3"/>
  <c r="AB108" i="3"/>
  <c r="AC108" i="3"/>
  <c r="R108" i="3"/>
  <c r="Q108" i="3"/>
  <c r="P108" i="3"/>
  <c r="O108" i="3"/>
  <c r="N108" i="3"/>
  <c r="M108" i="3"/>
  <c r="L108" i="3"/>
  <c r="K108" i="3"/>
  <c r="J108" i="3"/>
  <c r="I108" i="3"/>
  <c r="S107" i="3"/>
  <c r="T107" i="3"/>
  <c r="U107" i="3"/>
  <c r="V107" i="3"/>
  <c r="W107" i="3"/>
  <c r="X107" i="3"/>
  <c r="Y107" i="3"/>
  <c r="Z107" i="3"/>
  <c r="AA107" i="3"/>
  <c r="AB107" i="3"/>
  <c r="AC107" i="3"/>
  <c r="R107" i="3"/>
  <c r="Q107" i="3"/>
  <c r="P107" i="3"/>
  <c r="O107" i="3"/>
  <c r="N107" i="3"/>
  <c r="M107" i="3"/>
  <c r="L107" i="3"/>
  <c r="K107" i="3"/>
  <c r="J107" i="3"/>
  <c r="I107" i="3"/>
  <c r="S106" i="3"/>
  <c r="T106" i="3"/>
  <c r="U106" i="3"/>
  <c r="V106" i="3"/>
  <c r="W106" i="3"/>
  <c r="X106" i="3"/>
  <c r="Y106" i="3"/>
  <c r="Z106" i="3"/>
  <c r="AA106" i="3"/>
  <c r="AB106" i="3"/>
  <c r="AC106" i="3"/>
  <c r="R106" i="3"/>
  <c r="Q106" i="3"/>
  <c r="P106" i="3"/>
  <c r="O106" i="3"/>
  <c r="N106" i="3"/>
  <c r="M106" i="3"/>
  <c r="L106" i="3"/>
  <c r="K106" i="3"/>
  <c r="J106" i="3"/>
  <c r="I106" i="3"/>
  <c r="S105" i="3"/>
  <c r="T105" i="3"/>
  <c r="U105" i="3"/>
  <c r="V105" i="3"/>
  <c r="W105" i="3"/>
  <c r="X105" i="3"/>
  <c r="Y105" i="3"/>
  <c r="Z105" i="3"/>
  <c r="AA105" i="3"/>
  <c r="AB105" i="3"/>
  <c r="AC105" i="3"/>
  <c r="R105" i="3"/>
  <c r="Q105" i="3"/>
  <c r="P105" i="3"/>
  <c r="O105" i="3"/>
  <c r="N105" i="3"/>
  <c r="M105" i="3"/>
  <c r="L105" i="3"/>
  <c r="K105" i="3"/>
  <c r="J105" i="3"/>
  <c r="I105" i="3"/>
  <c r="G144" i="3"/>
  <c r="S144" i="3"/>
  <c r="T144" i="3"/>
  <c r="U144" i="3"/>
  <c r="V144" i="3"/>
  <c r="W144" i="3"/>
  <c r="X144" i="3"/>
  <c r="Y144" i="3"/>
  <c r="Z144" i="3"/>
  <c r="AA144" i="3"/>
  <c r="AB144" i="3"/>
  <c r="AC144" i="3"/>
  <c r="R144" i="3"/>
  <c r="Q144" i="3"/>
  <c r="P144" i="3"/>
  <c r="O144" i="3"/>
  <c r="N144" i="3"/>
  <c r="M144" i="3"/>
  <c r="L144" i="3"/>
  <c r="K144" i="3"/>
  <c r="J144" i="3"/>
  <c r="I144" i="3"/>
  <c r="G143" i="3"/>
  <c r="S143" i="3"/>
  <c r="T143" i="3"/>
  <c r="U143" i="3"/>
  <c r="V143" i="3"/>
  <c r="W143" i="3"/>
  <c r="X143" i="3"/>
  <c r="Y143" i="3"/>
  <c r="Z143" i="3"/>
  <c r="AA143" i="3"/>
  <c r="AB143" i="3"/>
  <c r="AC143" i="3"/>
  <c r="R143" i="3"/>
  <c r="Q143" i="3"/>
  <c r="P143" i="3"/>
  <c r="O143" i="3"/>
  <c r="N143" i="3"/>
  <c r="M143" i="3"/>
  <c r="L143" i="3"/>
  <c r="K143" i="3"/>
  <c r="J143" i="3"/>
  <c r="I143" i="3"/>
  <c r="S142" i="3"/>
  <c r="T142" i="3"/>
  <c r="U142" i="3"/>
  <c r="V142" i="3"/>
  <c r="W142" i="3"/>
  <c r="X142" i="3"/>
  <c r="Y142" i="3"/>
  <c r="Z142" i="3"/>
  <c r="AA142" i="3"/>
  <c r="AB142" i="3"/>
  <c r="AC142" i="3"/>
  <c r="R142" i="3"/>
  <c r="Q142" i="3"/>
  <c r="P142" i="3"/>
  <c r="O142" i="3"/>
  <c r="N142" i="3"/>
  <c r="M142" i="3"/>
  <c r="L142" i="3"/>
  <c r="K142" i="3"/>
  <c r="J142" i="3"/>
  <c r="I142" i="3"/>
  <c r="AA141" i="3"/>
  <c r="S141" i="3"/>
  <c r="T141" i="3"/>
  <c r="U141" i="3"/>
  <c r="V141" i="3"/>
  <c r="W141" i="3"/>
  <c r="X141" i="3"/>
  <c r="Y141" i="3"/>
  <c r="Z141" i="3"/>
  <c r="AB141" i="3"/>
  <c r="AC141" i="3"/>
  <c r="R141" i="3"/>
  <c r="Q141" i="3"/>
  <c r="P141" i="3"/>
  <c r="O141" i="3"/>
  <c r="N141" i="3"/>
  <c r="M141" i="3"/>
  <c r="L141" i="3"/>
  <c r="K141" i="3"/>
  <c r="J141" i="3"/>
  <c r="I141" i="3"/>
  <c r="G140" i="3"/>
  <c r="AA140" i="3"/>
  <c r="S140" i="3"/>
  <c r="T140" i="3"/>
  <c r="U140" i="3"/>
  <c r="V140" i="3"/>
  <c r="W140" i="3"/>
  <c r="X140" i="3"/>
  <c r="Y140" i="3"/>
  <c r="Z140" i="3"/>
  <c r="AB140" i="3"/>
  <c r="AC140" i="3"/>
  <c r="R140" i="3"/>
  <c r="Q140" i="3"/>
  <c r="P140" i="3"/>
  <c r="O140" i="3"/>
  <c r="N140" i="3"/>
  <c r="M140" i="3"/>
  <c r="L140" i="3"/>
  <c r="K140" i="3"/>
  <c r="J140" i="3"/>
  <c r="I140" i="3"/>
  <c r="G139" i="3"/>
  <c r="AA139" i="3"/>
  <c r="S139" i="3"/>
  <c r="T139" i="3"/>
  <c r="U139" i="3"/>
  <c r="V139" i="3"/>
  <c r="W139" i="3"/>
  <c r="X139" i="3"/>
  <c r="Y139" i="3"/>
  <c r="Z139" i="3"/>
  <c r="AB139" i="3"/>
  <c r="AC139" i="3"/>
  <c r="R139" i="3"/>
  <c r="Q139" i="3"/>
  <c r="P139" i="3"/>
  <c r="O139" i="3"/>
  <c r="N139" i="3"/>
  <c r="M139" i="3"/>
  <c r="L139" i="3"/>
  <c r="K139" i="3"/>
  <c r="J139" i="3"/>
  <c r="I139" i="3"/>
  <c r="AA138" i="3"/>
  <c r="S138" i="3"/>
  <c r="T138" i="3"/>
  <c r="U138" i="3"/>
  <c r="V138" i="3"/>
  <c r="W138" i="3"/>
  <c r="X138" i="3"/>
  <c r="Y138" i="3"/>
  <c r="Z138" i="3"/>
  <c r="AB138" i="3"/>
  <c r="AC138" i="3"/>
  <c r="R138" i="3"/>
  <c r="Q138" i="3"/>
  <c r="P138" i="3"/>
  <c r="O138" i="3"/>
  <c r="N138" i="3"/>
  <c r="M138" i="3"/>
  <c r="L138" i="3"/>
  <c r="K138" i="3"/>
  <c r="J138" i="3"/>
  <c r="I138" i="3"/>
  <c r="AA137" i="3"/>
  <c r="S137" i="3"/>
  <c r="T137" i="3"/>
  <c r="U137" i="3"/>
  <c r="V137" i="3"/>
  <c r="W137" i="3"/>
  <c r="X137" i="3"/>
  <c r="Y137" i="3"/>
  <c r="Z137" i="3"/>
  <c r="AB137" i="3"/>
  <c r="AC137" i="3"/>
  <c r="R137" i="3"/>
  <c r="Q137" i="3"/>
  <c r="P137" i="3"/>
  <c r="O137" i="3"/>
  <c r="N137" i="3"/>
  <c r="M137" i="3"/>
  <c r="L137" i="3"/>
  <c r="K137" i="3"/>
  <c r="J137" i="3"/>
  <c r="I137" i="3"/>
  <c r="H136" i="3"/>
  <c r="AA136" i="3"/>
  <c r="S136" i="3"/>
  <c r="T136" i="3"/>
  <c r="U136" i="3"/>
  <c r="V136" i="3"/>
  <c r="W136" i="3"/>
  <c r="X136" i="3"/>
  <c r="Y136" i="3"/>
  <c r="Z136" i="3"/>
  <c r="AB136" i="3"/>
  <c r="AC136" i="3"/>
  <c r="R136" i="3"/>
  <c r="Q136" i="3"/>
  <c r="P136" i="3"/>
  <c r="O136" i="3"/>
  <c r="N136" i="3"/>
  <c r="M136" i="3"/>
  <c r="L136" i="3"/>
  <c r="K136" i="3"/>
  <c r="J136" i="3"/>
  <c r="I136" i="3"/>
  <c r="G135" i="3"/>
  <c r="AA135" i="3"/>
  <c r="S135" i="3"/>
  <c r="T135" i="3"/>
  <c r="U135" i="3"/>
  <c r="V135" i="3"/>
  <c r="W135" i="3"/>
  <c r="X135" i="3"/>
  <c r="Y135" i="3"/>
  <c r="Z135" i="3"/>
  <c r="AB135" i="3"/>
  <c r="AC135" i="3"/>
  <c r="R135" i="3"/>
  <c r="Q135" i="3"/>
  <c r="P135" i="3"/>
  <c r="O135" i="3"/>
  <c r="N135" i="3"/>
  <c r="M135" i="3"/>
  <c r="L135" i="3"/>
  <c r="K135" i="3"/>
  <c r="J135" i="3"/>
  <c r="I135" i="3"/>
  <c r="AA134" i="3"/>
  <c r="S134" i="3"/>
  <c r="T134" i="3"/>
  <c r="U134" i="3"/>
  <c r="V134" i="3"/>
  <c r="W134" i="3"/>
  <c r="X134" i="3"/>
  <c r="Y134" i="3"/>
  <c r="Z134" i="3"/>
  <c r="AB134" i="3"/>
  <c r="AC134" i="3"/>
  <c r="R134" i="3"/>
  <c r="Q134" i="3"/>
  <c r="P134" i="3"/>
  <c r="O134" i="3"/>
  <c r="N134" i="3"/>
  <c r="M134" i="3"/>
  <c r="L134" i="3"/>
  <c r="K134" i="3"/>
  <c r="J134" i="3"/>
  <c r="I134" i="3"/>
  <c r="AA133" i="3"/>
  <c r="S133" i="3"/>
  <c r="T133" i="3"/>
  <c r="U133" i="3"/>
  <c r="V133" i="3"/>
  <c r="W133" i="3"/>
  <c r="X133" i="3"/>
  <c r="Y133" i="3"/>
  <c r="Z133" i="3"/>
  <c r="AB133" i="3"/>
  <c r="AC133" i="3"/>
  <c r="R133" i="3"/>
  <c r="Q133" i="3"/>
  <c r="P133" i="3"/>
  <c r="O133" i="3"/>
  <c r="N133" i="3"/>
  <c r="M133" i="3"/>
  <c r="L133" i="3"/>
  <c r="K133" i="3"/>
  <c r="J133" i="3"/>
  <c r="I133" i="3"/>
  <c r="Z190" i="3"/>
  <c r="X190" i="3"/>
  <c r="U190" i="3"/>
  <c r="Z189" i="3"/>
  <c r="X189" i="3"/>
  <c r="U189" i="3"/>
  <c r="Z188" i="3"/>
  <c r="X188" i="3"/>
  <c r="U188" i="3"/>
  <c r="S187" i="3"/>
  <c r="Z187" i="3"/>
  <c r="X187" i="3"/>
  <c r="U187" i="3"/>
  <c r="Z186" i="3"/>
  <c r="X186" i="3"/>
  <c r="U186" i="3"/>
  <c r="Z185" i="3"/>
  <c r="X185" i="3"/>
  <c r="U185" i="3"/>
  <c r="Z184" i="3"/>
  <c r="X184" i="3"/>
  <c r="U184" i="3"/>
  <c r="L183" i="3"/>
  <c r="Z183" i="3"/>
  <c r="X183" i="3"/>
  <c r="Z182" i="3"/>
  <c r="X182" i="3"/>
  <c r="Z181" i="3"/>
  <c r="X181" i="3"/>
  <c r="H163" i="3"/>
  <c r="H179" i="3"/>
  <c r="G179" i="3"/>
  <c r="I163" i="3"/>
  <c r="M167" i="3"/>
  <c r="M183" i="3"/>
  <c r="N167" i="3"/>
  <c r="N183" i="3"/>
  <c r="O159" i="3"/>
  <c r="R163" i="3"/>
  <c r="R179" i="3"/>
  <c r="AB163" i="3"/>
  <c r="X163" i="3"/>
  <c r="T163" i="3"/>
  <c r="AB159" i="3"/>
  <c r="X159" i="3"/>
  <c r="T159" i="3"/>
  <c r="W187" i="3"/>
  <c r="AC183" i="3"/>
  <c r="Y183" i="3"/>
  <c r="U183" i="3"/>
  <c r="AC179" i="3"/>
  <c r="Y179" i="3"/>
  <c r="U179" i="3"/>
  <c r="AC175" i="3"/>
  <c r="Y175" i="3"/>
  <c r="U175" i="3"/>
  <c r="I179" i="3"/>
  <c r="K171" i="3"/>
  <c r="N159" i="3"/>
  <c r="N171" i="3"/>
  <c r="N179" i="3"/>
  <c r="P171" i="3"/>
  <c r="R167" i="3"/>
  <c r="R175" i="3"/>
  <c r="R187" i="3"/>
  <c r="AB171" i="3"/>
  <c r="T171" i="3"/>
  <c r="AB167" i="3"/>
  <c r="X167" i="3"/>
  <c r="T167" i="3"/>
  <c r="H159" i="3"/>
  <c r="H175" i="3"/>
  <c r="G175" i="3"/>
  <c r="I159" i="3"/>
  <c r="I175" i="3"/>
  <c r="J159" i="3"/>
  <c r="J163" i="3"/>
  <c r="J167" i="3"/>
  <c r="J171" i="3"/>
  <c r="J175" i="3"/>
  <c r="K167" i="3"/>
  <c r="K183" i="3"/>
  <c r="L163" i="3"/>
  <c r="L179" i="3"/>
  <c r="M163" i="3"/>
  <c r="M179" i="3"/>
  <c r="O171" i="3"/>
  <c r="P167" i="3"/>
  <c r="P183" i="3"/>
  <c r="Q163" i="3"/>
  <c r="Q179" i="3"/>
  <c r="AA171" i="3"/>
  <c r="W171" i="3"/>
  <c r="S171" i="3"/>
  <c r="AA167" i="3"/>
  <c r="W167" i="3"/>
  <c r="S167" i="3"/>
  <c r="AA163" i="3"/>
  <c r="W163" i="3"/>
  <c r="S163" i="3"/>
  <c r="AA159" i="3"/>
  <c r="W159" i="3"/>
  <c r="S159" i="3"/>
  <c r="V187" i="3"/>
  <c r="AB183" i="3"/>
  <c r="T183" i="3"/>
  <c r="AB179" i="3"/>
  <c r="X179" i="3"/>
  <c r="T179" i="3"/>
  <c r="AB175" i="3"/>
  <c r="X175" i="3"/>
  <c r="T175" i="3"/>
  <c r="I183" i="3"/>
  <c r="G167" i="3"/>
  <c r="L167" i="3"/>
  <c r="N163" i="3"/>
  <c r="N175" i="3"/>
  <c r="N187" i="3"/>
  <c r="O175" i="3"/>
  <c r="Q167" i="3"/>
  <c r="Q183" i="3"/>
  <c r="R159" i="3"/>
  <c r="R171" i="3"/>
  <c r="R183" i="3"/>
  <c r="X171" i="3"/>
  <c r="H171" i="3"/>
  <c r="H187" i="3"/>
  <c r="G183" i="3"/>
  <c r="G163" i="3"/>
  <c r="I171" i="3"/>
  <c r="J183" i="3"/>
  <c r="K163" i="3"/>
  <c r="K179" i="3"/>
  <c r="L159" i="3"/>
  <c r="L175" i="3"/>
  <c r="M159" i="3"/>
  <c r="M175" i="3"/>
  <c r="O167" i="3"/>
  <c r="O183" i="3"/>
  <c r="P163" i="3"/>
  <c r="P179" i="3"/>
  <c r="Q159" i="3"/>
  <c r="Q175" i="3"/>
  <c r="Z171" i="3"/>
  <c r="Z167" i="3"/>
  <c r="Z163" i="3"/>
  <c r="Z159" i="3"/>
  <c r="AA187" i="3"/>
  <c r="AA183" i="3"/>
  <c r="W183" i="3"/>
  <c r="S183" i="3"/>
  <c r="AA179" i="3"/>
  <c r="W179" i="3"/>
  <c r="AA175" i="3"/>
  <c r="W175" i="3"/>
  <c r="AC187" i="3"/>
  <c r="Y187" i="3"/>
  <c r="I187" i="3"/>
  <c r="L187" i="3"/>
  <c r="G187" i="3"/>
  <c r="O187" i="3"/>
  <c r="P187" i="3"/>
  <c r="Q187" i="3"/>
  <c r="J187" i="3"/>
  <c r="K187" i="3"/>
  <c r="M187" i="3"/>
  <c r="AB187" i="3"/>
  <c r="L148" i="3"/>
  <c r="L168" i="3"/>
  <c r="M156" i="3"/>
  <c r="M172" i="3"/>
  <c r="Q148" i="3"/>
  <c r="Q152" i="3"/>
  <c r="Q156" i="3"/>
  <c r="Q160" i="3"/>
  <c r="Q164" i="3"/>
  <c r="Q168" i="3"/>
  <c r="Q172" i="3"/>
  <c r="Q176" i="3"/>
  <c r="Q180" i="3"/>
  <c r="Q184" i="3"/>
  <c r="Q188" i="3"/>
  <c r="AC148" i="3"/>
  <c r="Y148" i="3"/>
  <c r="U148" i="3"/>
  <c r="AB172" i="3"/>
  <c r="X172" i="3"/>
  <c r="T172" i="3"/>
  <c r="AB168" i="3"/>
  <c r="X168" i="3"/>
  <c r="T168" i="3"/>
  <c r="AB164" i="3"/>
  <c r="X164" i="3"/>
  <c r="T164" i="3"/>
  <c r="AB160" i="3"/>
  <c r="X160" i="3"/>
  <c r="T160" i="3"/>
  <c r="AB156" i="3"/>
  <c r="X156" i="3"/>
  <c r="T156" i="3"/>
  <c r="AB152" i="3"/>
  <c r="X152" i="3"/>
  <c r="T152" i="3"/>
  <c r="AA188" i="3"/>
  <c r="W188" i="3"/>
  <c r="S188" i="3"/>
  <c r="AA184" i="3"/>
  <c r="W184" i="3"/>
  <c r="S184" i="3"/>
  <c r="AA180" i="3"/>
  <c r="W180" i="3"/>
  <c r="S180" i="3"/>
  <c r="AA176" i="3"/>
  <c r="W176" i="3"/>
  <c r="S176" i="3"/>
  <c r="L152" i="3"/>
  <c r="L160" i="3"/>
  <c r="L172" i="3"/>
  <c r="M148" i="3"/>
  <c r="M160" i="3"/>
  <c r="M164" i="3"/>
  <c r="M176" i="3"/>
  <c r="M184" i="3"/>
  <c r="H184" i="3"/>
  <c r="H176" i="3"/>
  <c r="H168" i="3"/>
  <c r="H160" i="3"/>
  <c r="H152" i="3"/>
  <c r="I148" i="3"/>
  <c r="I152" i="3"/>
  <c r="I156" i="3"/>
  <c r="I160" i="3"/>
  <c r="I164" i="3"/>
  <c r="I168" i="3"/>
  <c r="I172" i="3"/>
  <c r="I176" i="3"/>
  <c r="I180" i="3"/>
  <c r="K148" i="3"/>
  <c r="K152" i="3"/>
  <c r="K156" i="3"/>
  <c r="K160" i="3"/>
  <c r="K164" i="3"/>
  <c r="K168" i="3"/>
  <c r="K172" i="3"/>
  <c r="K176" i="3"/>
  <c r="K180" i="3"/>
  <c r="K184" i="3"/>
  <c r="K188" i="3"/>
  <c r="P148" i="3"/>
  <c r="P152" i="3"/>
  <c r="P156" i="3"/>
  <c r="P160" i="3"/>
  <c r="P164" i="3"/>
  <c r="P168" i="3"/>
  <c r="P172" i="3"/>
  <c r="P176" i="3"/>
  <c r="P180" i="3"/>
  <c r="P184" i="3"/>
  <c r="P188" i="3"/>
  <c r="AB148" i="3"/>
  <c r="X148" i="3"/>
  <c r="T148" i="3"/>
  <c r="AA172" i="3"/>
  <c r="W172" i="3"/>
  <c r="S172" i="3"/>
  <c r="AA168" i="3"/>
  <c r="W168" i="3"/>
  <c r="S168" i="3"/>
  <c r="AA164" i="3"/>
  <c r="W164" i="3"/>
  <c r="S164" i="3"/>
  <c r="AA160" i="3"/>
  <c r="W160" i="3"/>
  <c r="S160" i="3"/>
  <c r="AA156" i="3"/>
  <c r="W156" i="3"/>
  <c r="S156" i="3"/>
  <c r="AA152" i="3"/>
  <c r="W152" i="3"/>
  <c r="S152" i="3"/>
  <c r="V188" i="3"/>
  <c r="V184" i="3"/>
  <c r="Z180" i="3"/>
  <c r="V180" i="3"/>
  <c r="Z176" i="3"/>
  <c r="V176" i="3"/>
  <c r="I188" i="3"/>
  <c r="I184" i="3"/>
  <c r="G188" i="3"/>
  <c r="L156" i="3"/>
  <c r="L164" i="3"/>
  <c r="L176" i="3"/>
  <c r="M152" i="3"/>
  <c r="M168" i="3"/>
  <c r="M180" i="3"/>
  <c r="M188" i="3"/>
  <c r="J148" i="3"/>
  <c r="J180" i="3"/>
  <c r="J184" i="3"/>
  <c r="J188" i="3"/>
  <c r="O148" i="3"/>
  <c r="O152" i="3"/>
  <c r="O156" i="3"/>
  <c r="O160" i="3"/>
  <c r="O164" i="3"/>
  <c r="O168" i="3"/>
  <c r="O172" i="3"/>
  <c r="O176" i="3"/>
  <c r="O180" i="3"/>
  <c r="O184" i="3"/>
  <c r="O188" i="3"/>
  <c r="AA148" i="3"/>
  <c r="W148" i="3"/>
  <c r="Z172" i="3"/>
  <c r="Z168" i="3"/>
  <c r="Z164" i="3"/>
  <c r="Z160" i="3"/>
  <c r="Z156" i="3"/>
  <c r="Z152" i="3"/>
  <c r="AC188" i="3"/>
  <c r="Y188" i="3"/>
  <c r="AC184" i="3"/>
  <c r="Y184" i="3"/>
  <c r="AC180" i="3"/>
  <c r="Y180" i="3"/>
  <c r="AC176" i="3"/>
  <c r="Y176" i="3"/>
  <c r="G152" i="3"/>
  <c r="G176" i="3"/>
  <c r="G168" i="3"/>
  <c r="G160" i="3"/>
  <c r="G148" i="3"/>
  <c r="G136" i="3"/>
  <c r="G184" i="3"/>
  <c r="H140" i="3"/>
  <c r="H144" i="3"/>
  <c r="H156" i="3"/>
  <c r="H164" i="3"/>
  <c r="H172" i="3"/>
  <c r="H180" i="3"/>
  <c r="H188" i="3"/>
</calcChain>
</file>

<file path=xl/sharedStrings.xml><?xml version="1.0" encoding="utf-8"?>
<sst xmlns="http://schemas.openxmlformats.org/spreadsheetml/2006/main" count="4305" uniqueCount="503">
  <si>
    <t>File Name: \\share.files.pitt.edu\PEDS-Users\sak250\Desktop\BH batch Plate 1 23plex.rbx</t>
  </si>
  <si>
    <t>Acquisition Date: 08-Apr-2021, 01:01 AM</t>
  </si>
  <si>
    <t>Reader Serial Number: MAGPX13283707</t>
  </si>
  <si>
    <t xml:space="preserve">Plate ID: </t>
  </si>
  <si>
    <t>RP1 PMT (Volts): 0.00</t>
  </si>
  <si>
    <t>RP1 Target: NA</t>
  </si>
  <si>
    <t>Eotaxin (74)</t>
  </si>
  <si>
    <t>G-CSF (54)</t>
  </si>
  <si>
    <t>GM-CSF (73)</t>
  </si>
  <si>
    <t>IFN-y (34)</t>
  </si>
  <si>
    <t>Il 10 (56)</t>
  </si>
  <si>
    <t>Il 12p40 (76)</t>
  </si>
  <si>
    <t>Il 12p70 (78)</t>
  </si>
  <si>
    <t>Il 13 (37)</t>
  </si>
  <si>
    <t>Il 17A (72)</t>
  </si>
  <si>
    <t>Il 1b (19)</t>
  </si>
  <si>
    <t>Il 2 (36)</t>
  </si>
  <si>
    <t>Il 3 (18)</t>
  </si>
  <si>
    <t>Il 4 (39)</t>
  </si>
  <si>
    <t>Il 5 (52)</t>
  </si>
  <si>
    <t>Il 6 (38)</t>
  </si>
  <si>
    <t>Il 9 (33)</t>
  </si>
  <si>
    <t>Il1 l (53)</t>
  </si>
  <si>
    <t>KC (57)</t>
  </si>
  <si>
    <t>MCP-1 (51)</t>
  </si>
  <si>
    <t>MIP-1b (75)</t>
  </si>
  <si>
    <t>MIP-1l (77)</t>
  </si>
  <si>
    <t>Rantes (55)</t>
  </si>
  <si>
    <t>TNF-l (21)</t>
  </si>
  <si>
    <t>Type</t>
  </si>
  <si>
    <t>Well</t>
  </si>
  <si>
    <t>Description</t>
  </si>
  <si>
    <t>FI</t>
  </si>
  <si>
    <t>B</t>
  </si>
  <si>
    <t>H2</t>
  </si>
  <si>
    <t>Reagent Name: Background0</t>
  </si>
  <si>
    <t>S1</t>
  </si>
  <si>
    <t>A1</t>
  </si>
  <si>
    <t>Reagent Name: Standard1</t>
  </si>
  <si>
    <t>---</t>
  </si>
  <si>
    <t>S2</t>
  </si>
  <si>
    <t>B1</t>
  </si>
  <si>
    <t>Reagent Name: Standard2</t>
  </si>
  <si>
    <t>S3</t>
  </si>
  <si>
    <t>C1</t>
  </si>
  <si>
    <t>Reagent Name: Standard3</t>
  </si>
  <si>
    <t>S4</t>
  </si>
  <si>
    <t>D1</t>
  </si>
  <si>
    <t>Reagent Name: Standard4</t>
  </si>
  <si>
    <t>S5</t>
  </si>
  <si>
    <t>E1</t>
  </si>
  <si>
    <t>Reagent Name: Standard5</t>
  </si>
  <si>
    <t>S6</t>
  </si>
  <si>
    <t>F1</t>
  </si>
  <si>
    <t>Reagent Name: Standard6</t>
  </si>
  <si>
    <t>S7</t>
  </si>
  <si>
    <t>G1</t>
  </si>
  <si>
    <t>Reagent Name: Standard7</t>
  </si>
  <si>
    <t>S8</t>
  </si>
  <si>
    <t>H1</t>
  </si>
  <si>
    <t>Reagent Name: Standard8</t>
  </si>
  <si>
    <t>X1</t>
  </si>
  <si>
    <t>A2</t>
  </si>
  <si>
    <t>Sample ID: Unknown1</t>
  </si>
  <si>
    <t>X2</t>
  </si>
  <si>
    <t>B2</t>
  </si>
  <si>
    <t>Sample ID: Unknown2</t>
  </si>
  <si>
    <t>X3</t>
  </si>
  <si>
    <t>C2</t>
  </si>
  <si>
    <t>Sample ID: Unknown3</t>
  </si>
  <si>
    <t>X4</t>
  </si>
  <si>
    <t>D2</t>
  </si>
  <si>
    <t>Sample ID: Unknown4</t>
  </si>
  <si>
    <t>X5</t>
  </si>
  <si>
    <t>E2</t>
  </si>
  <si>
    <t>Sample ID: Unknown5</t>
  </si>
  <si>
    <t>X6</t>
  </si>
  <si>
    <t>F2</t>
  </si>
  <si>
    <t>Sample ID: Unknown6</t>
  </si>
  <si>
    <t>X7</t>
  </si>
  <si>
    <t>G2</t>
  </si>
  <si>
    <t>Sample ID: Unknown7</t>
  </si>
  <si>
    <t>X8</t>
  </si>
  <si>
    <t>A3</t>
  </si>
  <si>
    <t>Sample ID: Unknown8</t>
  </si>
  <si>
    <t>X9</t>
  </si>
  <si>
    <t>B3</t>
  </si>
  <si>
    <t>Sample ID: Unknown9</t>
  </si>
  <si>
    <t>X10</t>
  </si>
  <si>
    <t>C3</t>
  </si>
  <si>
    <t>Sample ID: Unknown10</t>
  </si>
  <si>
    <t>X11</t>
  </si>
  <si>
    <t>D3</t>
  </si>
  <si>
    <t>Sample ID: Unknown11</t>
  </si>
  <si>
    <t>X12</t>
  </si>
  <si>
    <t>E3</t>
  </si>
  <si>
    <t>Sample ID: Unknown12</t>
  </si>
  <si>
    <t>X13</t>
  </si>
  <si>
    <t>F3</t>
  </si>
  <si>
    <t>Sample ID: Unknown13</t>
  </si>
  <si>
    <t>X14</t>
  </si>
  <si>
    <t>G3</t>
  </si>
  <si>
    <t>Sample ID: Unknown14</t>
  </si>
  <si>
    <t>X15</t>
  </si>
  <si>
    <t>H3</t>
  </si>
  <si>
    <t>Sample ID: Unknown15</t>
  </si>
  <si>
    <t>X16</t>
  </si>
  <si>
    <t>A4</t>
  </si>
  <si>
    <t>Sample ID: Unknown16</t>
  </si>
  <si>
    <t>X17</t>
  </si>
  <si>
    <t>B4</t>
  </si>
  <si>
    <t>Sample ID: Unknown17</t>
  </si>
  <si>
    <t>X18</t>
  </si>
  <si>
    <t>C4</t>
  </si>
  <si>
    <t>Sample ID: Unknown18</t>
  </si>
  <si>
    <t>X19</t>
  </si>
  <si>
    <t>D4</t>
  </si>
  <si>
    <t>Sample ID: Unknown19</t>
  </si>
  <si>
    <t>X20</t>
  </si>
  <si>
    <t>E4</t>
  </si>
  <si>
    <t>Sample ID: Unknown20</t>
  </si>
  <si>
    <t>X21</t>
  </si>
  <si>
    <t>F4</t>
  </si>
  <si>
    <t>Sample ID: Unknown21</t>
  </si>
  <si>
    <t>X22</t>
  </si>
  <si>
    <t>G4</t>
  </si>
  <si>
    <t>Sample ID: Unknown22</t>
  </si>
  <si>
    <t>X23</t>
  </si>
  <si>
    <t>H4</t>
  </si>
  <si>
    <t>Sample ID: Unknown23</t>
  </si>
  <si>
    <t>X24</t>
  </si>
  <si>
    <t>A5</t>
  </si>
  <si>
    <t>Sample ID: Unknown24</t>
  </si>
  <si>
    <t>X25</t>
  </si>
  <si>
    <t>B5</t>
  </si>
  <si>
    <t>Sample ID: Unknown25</t>
  </si>
  <si>
    <t>X26</t>
  </si>
  <si>
    <t>C5</t>
  </si>
  <si>
    <t>Sample ID: Unknown26</t>
  </si>
  <si>
    <t>X27</t>
  </si>
  <si>
    <t>D5</t>
  </si>
  <si>
    <t>Sample ID: Unknown27</t>
  </si>
  <si>
    <t>X28</t>
  </si>
  <si>
    <t>E5</t>
  </si>
  <si>
    <t>Sample ID: Unknown28</t>
  </si>
  <si>
    <t>X29</t>
  </si>
  <si>
    <t>F5</t>
  </si>
  <si>
    <t>Sample ID: Unknown29</t>
  </si>
  <si>
    <t>X30</t>
  </si>
  <si>
    <t>G5</t>
  </si>
  <si>
    <t>Sample ID: Unknown30</t>
  </si>
  <si>
    <t>X31</t>
  </si>
  <si>
    <t>H5</t>
  </si>
  <si>
    <t>Sample ID: Unknown31</t>
  </si>
  <si>
    <t>X32</t>
  </si>
  <si>
    <t>A6</t>
  </si>
  <si>
    <t>Sample ID: Unknown32</t>
  </si>
  <si>
    <t>X33</t>
  </si>
  <si>
    <t>B6</t>
  </si>
  <si>
    <t>Sample ID: Unknown33</t>
  </si>
  <si>
    <t>X34</t>
  </si>
  <si>
    <t>C6</t>
  </si>
  <si>
    <t>Sample ID: Unknown34</t>
  </si>
  <si>
    <t>X35</t>
  </si>
  <si>
    <t>D6</t>
  </si>
  <si>
    <t>Sample ID: Unknown35</t>
  </si>
  <si>
    <t>X36</t>
  </si>
  <si>
    <t>E6</t>
  </si>
  <si>
    <t>Sample ID: Unknown36</t>
  </si>
  <si>
    <t>X37</t>
  </si>
  <si>
    <t>F6</t>
  </si>
  <si>
    <t>Sample ID: Unknown37</t>
  </si>
  <si>
    <t>X38</t>
  </si>
  <si>
    <t>G6</t>
  </si>
  <si>
    <t>Sample ID: Unknown38</t>
  </si>
  <si>
    <t>X39</t>
  </si>
  <si>
    <t>H6</t>
  </si>
  <si>
    <t>Sample ID: Unknown39</t>
  </si>
  <si>
    <t>X40</t>
  </si>
  <si>
    <t>A7</t>
  </si>
  <si>
    <t>Sample ID: Unknown40</t>
  </si>
  <si>
    <t>X41</t>
  </si>
  <si>
    <t>B7</t>
  </si>
  <si>
    <t>Sample ID: Unknown41</t>
  </si>
  <si>
    <t>X42</t>
  </si>
  <si>
    <t>C7</t>
  </si>
  <si>
    <t>Sample ID: Unknown42</t>
  </si>
  <si>
    <t>X43</t>
  </si>
  <si>
    <t>D7</t>
  </si>
  <si>
    <t>Sample ID: Unknown43</t>
  </si>
  <si>
    <t>X44</t>
  </si>
  <si>
    <t>E7</t>
  </si>
  <si>
    <t>Sample ID: Unknown44</t>
  </si>
  <si>
    <t>X45</t>
  </si>
  <si>
    <t>F7</t>
  </si>
  <si>
    <t>Sample ID: Unknown45</t>
  </si>
  <si>
    <t>X46</t>
  </si>
  <si>
    <t>G7</t>
  </si>
  <si>
    <t>Sample ID: Unknown46</t>
  </si>
  <si>
    <t>X47</t>
  </si>
  <si>
    <t>H7</t>
  </si>
  <si>
    <t>Sample ID: Unknown47</t>
  </si>
  <si>
    <t>X48</t>
  </si>
  <si>
    <t>A8</t>
  </si>
  <si>
    <t>Sample ID: Unknown48</t>
  </si>
  <si>
    <t>X49</t>
  </si>
  <si>
    <t>B8</t>
  </si>
  <si>
    <t>Sample ID: Unknown49</t>
  </si>
  <si>
    <t>X50</t>
  </si>
  <si>
    <t>C8</t>
  </si>
  <si>
    <t>Sample ID: Unknown50</t>
  </si>
  <si>
    <t>X51</t>
  </si>
  <si>
    <t>D8</t>
  </si>
  <si>
    <t>Sample ID: Unknown51</t>
  </si>
  <si>
    <t>X52</t>
  </si>
  <si>
    <t>E8</t>
  </si>
  <si>
    <t>Sample ID: Unknown52</t>
  </si>
  <si>
    <t>X53</t>
  </si>
  <si>
    <t>F8</t>
  </si>
  <si>
    <t>Sample ID: Unknown53</t>
  </si>
  <si>
    <t>X54</t>
  </si>
  <si>
    <t>G8</t>
  </si>
  <si>
    <t>Sample ID: Unknown54</t>
  </si>
  <si>
    <t>X55</t>
  </si>
  <si>
    <t>H8</t>
  </si>
  <si>
    <t>Sample ID: Unknown55</t>
  </si>
  <si>
    <t>X56</t>
  </si>
  <si>
    <t>A9</t>
  </si>
  <si>
    <t>Sample ID: Unknown56</t>
  </si>
  <si>
    <t>X57</t>
  </si>
  <si>
    <t>B9</t>
  </si>
  <si>
    <t>Sample ID: Unknown57</t>
  </si>
  <si>
    <t>X58</t>
  </si>
  <si>
    <t>C9</t>
  </si>
  <si>
    <t>Sample ID: Unknown58</t>
  </si>
  <si>
    <t>X59</t>
  </si>
  <si>
    <t>D9</t>
  </si>
  <si>
    <t>Sample ID: Unknown59</t>
  </si>
  <si>
    <t>X60</t>
  </si>
  <si>
    <t>E9</t>
  </si>
  <si>
    <t>Sample ID: Unknown60</t>
  </si>
  <si>
    <t>X61</t>
  </si>
  <si>
    <t>F9</t>
  </si>
  <si>
    <t>Sample ID: Unknown61</t>
  </si>
  <si>
    <t>X62</t>
  </si>
  <si>
    <t>G9</t>
  </si>
  <si>
    <t>Sample ID: Unknown62</t>
  </si>
  <si>
    <t>X63</t>
  </si>
  <si>
    <t>H9</t>
  </si>
  <si>
    <t>Sample ID: Unknown63</t>
  </si>
  <si>
    <t>X64</t>
  </si>
  <si>
    <t>A10</t>
  </si>
  <si>
    <t>Sample ID: Unknown64</t>
  </si>
  <si>
    <t>X65</t>
  </si>
  <si>
    <t>B10</t>
  </si>
  <si>
    <t>Sample ID: Unknown65</t>
  </si>
  <si>
    <t>X66</t>
  </si>
  <si>
    <t>C10</t>
  </si>
  <si>
    <t>Sample ID: Unknown66</t>
  </si>
  <si>
    <t>X67</t>
  </si>
  <si>
    <t>D10</t>
  </si>
  <si>
    <t>Sample ID: Unknown67</t>
  </si>
  <si>
    <t>X68</t>
  </si>
  <si>
    <t>E10</t>
  </si>
  <si>
    <t>Sample ID: Unknown68</t>
  </si>
  <si>
    <t>X69</t>
  </si>
  <si>
    <t>F10</t>
  </si>
  <si>
    <t>Sample ID: Unknown69</t>
  </si>
  <si>
    <t>X70</t>
  </si>
  <si>
    <t>G10</t>
  </si>
  <si>
    <t>Sample ID: Unknown70</t>
  </si>
  <si>
    <t>X71</t>
  </si>
  <si>
    <t>H10</t>
  </si>
  <si>
    <t>Sample ID: Unknown71</t>
  </si>
  <si>
    <t>X72</t>
  </si>
  <si>
    <t>A11</t>
  </si>
  <si>
    <t>Sample ID: Unknown72</t>
  </si>
  <si>
    <t>X73</t>
  </si>
  <si>
    <t>B11</t>
  </si>
  <si>
    <t>Sample ID: Unknown73</t>
  </si>
  <si>
    <t>X74</t>
  </si>
  <si>
    <t>C11</t>
  </si>
  <si>
    <t>Sample ID: Unknown74</t>
  </si>
  <si>
    <t>X75</t>
  </si>
  <si>
    <t>D11</t>
  </si>
  <si>
    <t>Sample ID: Unknown75</t>
  </si>
  <si>
    <t>X76</t>
  </si>
  <si>
    <t>E11</t>
  </si>
  <si>
    <t>Sample ID: Unknown76</t>
  </si>
  <si>
    <t>X77</t>
  </si>
  <si>
    <t>F11</t>
  </si>
  <si>
    <t>Sample ID: Unknown77</t>
  </si>
  <si>
    <t>X78</t>
  </si>
  <si>
    <t>G11</t>
  </si>
  <si>
    <t>Sample ID: Unknown78</t>
  </si>
  <si>
    <t>X79</t>
  </si>
  <si>
    <t>H11</t>
  </si>
  <si>
    <t>Sample ID: Unknown79</t>
  </si>
  <si>
    <t>X80</t>
  </si>
  <si>
    <t>A12</t>
  </si>
  <si>
    <t>Sample ID: Unknown80</t>
  </si>
  <si>
    <t>X81</t>
  </si>
  <si>
    <t>B12</t>
  </si>
  <si>
    <t>Sample ID: Unknown81</t>
  </si>
  <si>
    <t>X82</t>
  </si>
  <si>
    <t>C12</t>
  </si>
  <si>
    <t>Sample ID: Unknown82</t>
  </si>
  <si>
    <t>X83</t>
  </si>
  <si>
    <t>D12</t>
  </si>
  <si>
    <t>Sample ID: Unknown83</t>
  </si>
  <si>
    <t>X84</t>
  </si>
  <si>
    <t>E12</t>
  </si>
  <si>
    <t>Sample ID: Unknown84</t>
  </si>
  <si>
    <t>X85</t>
  </si>
  <si>
    <t>F12</t>
  </si>
  <si>
    <t>Sample ID: Unknown85</t>
  </si>
  <si>
    <t>X86</t>
  </si>
  <si>
    <t>G12</t>
  </si>
  <si>
    <t>Sample ID: Unknown86</t>
  </si>
  <si>
    <t>X87</t>
  </si>
  <si>
    <t>H12</t>
  </si>
  <si>
    <t>Sample ID: Unknown87</t>
  </si>
  <si>
    <t>FI - Bkgd</t>
  </si>
  <si>
    <t>Std Dev</t>
  </si>
  <si>
    <t>%CV</t>
  </si>
  <si>
    <t>Conc in Range</t>
  </si>
  <si>
    <t>OOR &gt;</t>
  </si>
  <si>
    <t>OOR &lt;</t>
  </si>
  <si>
    <t>Obs Conc</t>
  </si>
  <si>
    <t>*1.49</t>
  </si>
  <si>
    <t>*1.07</t>
  </si>
  <si>
    <t>*1.22</t>
  </si>
  <si>
    <t>*6.40</t>
  </si>
  <si>
    <t>*1.21</t>
  </si>
  <si>
    <t>*0.41</t>
  </si>
  <si>
    <t>*7.41</t>
  </si>
  <si>
    <t>*0.99</t>
  </si>
  <si>
    <t>*1.38</t>
  </si>
  <si>
    <t>*1.97</t>
  </si>
  <si>
    <t>*3.44</t>
  </si>
  <si>
    <t>*23.42</t>
  </si>
  <si>
    <t>*0.76</t>
  </si>
  <si>
    <t>*0.44</t>
  </si>
  <si>
    <t>*26.11</t>
  </si>
  <si>
    <t>*0.95</t>
  </si>
  <si>
    <t>*0.22</t>
  </si>
  <si>
    <t>*6.27</t>
  </si>
  <si>
    <t>*15.27</t>
  </si>
  <si>
    <t>*0.48</t>
  </si>
  <si>
    <t>*5.05</t>
  </si>
  <si>
    <t>*0.92</t>
  </si>
  <si>
    <t>*0.15</t>
  </si>
  <si>
    <t>*3.40</t>
  </si>
  <si>
    <t>*1.61</t>
  </si>
  <si>
    <t>*1.84</t>
  </si>
  <si>
    <t>*2.20</t>
  </si>
  <si>
    <t>*0.59</t>
  </si>
  <si>
    <t>*0.82</t>
  </si>
  <si>
    <t>*6.72</t>
  </si>
  <si>
    <t>*4.91</t>
  </si>
  <si>
    <t>*27.78</t>
  </si>
  <si>
    <t>*0.29</t>
  </si>
  <si>
    <t>*5.82</t>
  </si>
  <si>
    <t>*0.12</t>
  </si>
  <si>
    <t>*2.93</t>
  </si>
  <si>
    <t>*0.42</t>
  </si>
  <si>
    <t>*2.53</t>
  </si>
  <si>
    <t>*0.50</t>
  </si>
  <si>
    <t>*1.79</t>
  </si>
  <si>
    <t>*8.39</t>
  </si>
  <si>
    <t>*2.75</t>
  </si>
  <si>
    <t>*5.14</t>
  </si>
  <si>
    <t>*1.53</t>
  </si>
  <si>
    <t>*0.37</t>
  </si>
  <si>
    <t>*7.86</t>
  </si>
  <si>
    <t>*1.30</t>
  </si>
  <si>
    <t>*7.03</t>
  </si>
  <si>
    <t>*3.87</t>
  </si>
  <si>
    <t>*1.91</t>
  </si>
  <si>
    <t>*3.06</t>
  </si>
  <si>
    <t>*1.68</t>
  </si>
  <si>
    <t>*2.98</t>
  </si>
  <si>
    <t>*3.09</t>
  </si>
  <si>
    <t>*3.62</t>
  </si>
  <si>
    <t>*2.60</t>
  </si>
  <si>
    <t>*4.79</t>
  </si>
  <si>
    <t>*0.80</t>
  </si>
  <si>
    <t>*2.52</t>
  </si>
  <si>
    <t>*2.83</t>
  </si>
  <si>
    <t>*2.45</t>
  </si>
  <si>
    <t>*27920.27</t>
  </si>
  <si>
    <t>*2.29</t>
  </si>
  <si>
    <t>*0.64</t>
  </si>
  <si>
    <t>*2.87</t>
  </si>
  <si>
    <t>*0.86</t>
  </si>
  <si>
    <t>*8.83</t>
  </si>
  <si>
    <t>*2.46</t>
  </si>
  <si>
    <t>*3.13</t>
  </si>
  <si>
    <t>*32425.30</t>
  </si>
  <si>
    <t>*0.47</t>
  </si>
  <si>
    <t>*7.63</t>
  </si>
  <si>
    <t>*2.07</t>
  </si>
  <si>
    <t>*0.52</t>
  </si>
  <si>
    <t>*2.08</t>
  </si>
  <si>
    <t>*25.61</t>
  </si>
  <si>
    <t>*4.68</t>
  </si>
  <si>
    <t>*1.76</t>
  </si>
  <si>
    <t>*4.33</t>
  </si>
  <si>
    <t>*1.17</t>
  </si>
  <si>
    <t>*18.90</t>
  </si>
  <si>
    <t>*1.71</t>
  </si>
  <si>
    <t>*4.52</t>
  </si>
  <si>
    <t>*0.61</t>
  </si>
  <si>
    <t>*0.56</t>
  </si>
  <si>
    <t>*21.14</t>
  </si>
  <si>
    <t>*1.99</t>
  </si>
  <si>
    <t>Exp Conc</t>
  </si>
  <si>
    <t>(Obs/Exp) * 100</t>
  </si>
  <si>
    <t>Dilution</t>
  </si>
  <si>
    <t>*** = Value not available;   --- = Designated as an outlier</t>
  </si>
  <si>
    <t>*Value = Value extrapolated beyond standard range</t>
  </si>
  <si>
    <t>OOR = Out of Range;   OOR&gt; = Out of Range Above;   OOR&lt; = Out of Range Below</t>
  </si>
  <si>
    <t>Exp Conc = Expected Concentration;   Obs Conc = Observed  Concentration</t>
  </si>
  <si>
    <t>Lung weight (g*10^2)</t>
  </si>
  <si>
    <t>Normalized to lung weight</t>
  </si>
  <si>
    <t>Day</t>
  </si>
  <si>
    <t>ID</t>
  </si>
  <si>
    <t>Regression Type: Logistic - 5PL</t>
  </si>
  <si>
    <t>Std. Curve: FI = 6.89887 + (24794.6 - 6.89887) / ((1 + (Conc / 1909.94)^-1.37944))^0.791935</t>
  </si>
  <si>
    <t>Std. Curve: FI = 11.676 + (42270.2 - 11.676) / ((1 + (Conc / 4426.79)^-0.585879))^2.09842</t>
  </si>
  <si>
    <t>FitProb. = 0.7344, ResVar. = 0.3087</t>
  </si>
  <si>
    <t>FitProb. = 0.0153, ResVar. = 4.1829</t>
  </si>
  <si>
    <t>Std. Curve: FI = 4.38602 + (23192.5 - 4.38602) / ((1 + (Conc / 1476.43)^-1.6121))^0.967968</t>
  </si>
  <si>
    <t>Std. Curve: FI = -14.7656 + (11773.9 + 14.7656) / ((1 + (Conc / 2799.53)^-1.94119))^0.45343</t>
  </si>
  <si>
    <t>FitProb. = 0.1411, ResVar. = 1.9581</t>
  </si>
  <si>
    <t>FitProb. = 0.4352, ResVar. = 0.9099</t>
  </si>
  <si>
    <t>Std. Curve: FI = -4.92222 + (22057.7 + 4.92222) / ((1 + (Conc / 6583.94)^-1.59068))^0.667431</t>
  </si>
  <si>
    <t>Std. Curve: FI = 6.59539 + (51323.5 - 6.59539) / ((1 + (Conc / 13832)^-0.590751))^1.86156</t>
  </si>
  <si>
    <t>FitProb. = 0.0769, ResVar. = 2.5652</t>
  </si>
  <si>
    <t>FitProb. = 0.1960, ResVar. = 1.6298</t>
  </si>
  <si>
    <t>Std. Curve: FI = -12.9083 + (19308.6 + 12.9083) / ((1 + (Conc / 10782.2)^-0.858572))^1.18822</t>
  </si>
  <si>
    <t>Std. Curve: FI = -0.466105 + (25644.1 + 0.466105) / ((1 + (Conc / 17595.8)^-1.33772))^0.884518</t>
  </si>
  <si>
    <t>FitProb. = 0.0236, ResVar. = 3.1572</t>
  </si>
  <si>
    <t>FitProb. = 0.8916, ResVar. = 0.1147</t>
  </si>
  <si>
    <t>Std. Curve: FI = -11.3088 + (17423 + 11.3088) / ((1 + (Conc / 1351.85)^-2.41882))^0.381319</t>
  </si>
  <si>
    <t>Std. Curve: FI = 0.131279 + (26624.6 - 0.131279) / ((1 + (Conc / 1862.4)^-0.934897))^1.08366</t>
  </si>
  <si>
    <t>FitProb. = 0.3973, ResVar. = 0.9877</t>
  </si>
  <si>
    <t>FitProb. = 0.0682, ResVar. = 3.3256</t>
  </si>
  <si>
    <t>Std. Curve: FI = 3.65122 + (34301 - 3.65122) / ((1 + (Conc / 2190.47)^-0.791787))^1.38295</t>
  </si>
  <si>
    <t>Std. Curve: FI = -2.24228 + (9487.24 + 2.24228) / ((1 + (Conc / 2363.95)^-1.78502))^0.504869</t>
  </si>
  <si>
    <t>FitProb. = 0.0788, ResVar. = 2.5404</t>
  </si>
  <si>
    <t>FitProb. = 0.4832, ResVar. = 0.7272</t>
  </si>
  <si>
    <t>Std. Curve: FI = -8.21206 + (17072.1 + 8.21206) / ((1 + (Conc / 932.119)^-1.12984))^0.839819</t>
  </si>
  <si>
    <t>Std. Curve: FI = 3.00546 + (16207.3 - 3.00546) / ((1 + (Conc / 2709.83)^-10.2304))^0.0999962</t>
  </si>
  <si>
    <t>FitProb. = 0.6643, ResVar. = 0.5262</t>
  </si>
  <si>
    <t>FitProb. = 0.0000, ResVar. = 18.1113</t>
  </si>
  <si>
    <t>Std. Curve: FI = -67.7518 + (22727.6 + 67.7518) / ((1 + (Conc / 1381.74)^-1.84664))^0.457539</t>
  </si>
  <si>
    <t>Std. Curve: FI = -6.89596 + (9571.84 + 6.89596) / ((1 + (Conc / 2253.63)^-1.2262))^0.810279</t>
  </si>
  <si>
    <t>FitProb. = 0.2101, ResVar. = 1.5083</t>
  </si>
  <si>
    <t>FitProb. = 0.2900, ResVar. = 1.2378</t>
  </si>
  <si>
    <t>Std. Curve: FI = 1.14226 + (20502.9 - 1.14226) / ((1 + (Conc / 1349.09)^-2.08088))^0.485509</t>
  </si>
  <si>
    <t>Std. Curve: FI = 0.31755 + (18794.7 - 0.31755) / ((1 + (Conc / 2740)^-1.87347))^0.53528</t>
  </si>
  <si>
    <t>FitProb. = 0.1613, ResVar. = 1.8242</t>
  </si>
  <si>
    <t>FitProb. = 0.1573, ResVar. = 1.8495</t>
  </si>
  <si>
    <t>Std. Curve: FI = 6.00768 + (19761.2 - 6.00768) / ((1 + (Conc / 6895.73)^-1.86486))^0.766568</t>
  </si>
  <si>
    <t>Std. Curve: FI = -12.1123 + (14288.5 + 12.1123) / ((1 + (Conc / 1602.32)^-1.30825))^1.26082</t>
  </si>
  <si>
    <t>FitProb. = 0.1527, ResVar. = 2.0448</t>
  </si>
  <si>
    <t>FitProb. = 0.6357, ResVar. = 0.2244</t>
  </si>
  <si>
    <t>Std. Curve: FI = -1.49796 + (22640 + 1.49796) / ((1 + (Conc / 495.769)^-1.23791))^0.802633</t>
  </si>
  <si>
    <t>Std. Curve: FI = 58.2847 + (35694.6 - 58.2847) / ((1 + (Conc / 26.6322)^-0.450055))^10</t>
  </si>
  <si>
    <t>FitProb. = 0.9259, ResVar. = 0.0770</t>
  </si>
  <si>
    <t>FitProb. = 0.6664, ResVar. = 0.1859</t>
  </si>
  <si>
    <t>Std. Curve: FI = -4.61589 + (23423.2 + 4.61589) / ((1 + (Conc / 24910)^-1.70636))^0.533317</t>
  </si>
  <si>
    <t>FitProb. = 0.0700, ResVar. = 2.3531</t>
  </si>
  <si>
    <t>Lung Weight in grams</t>
  </si>
  <si>
    <t>Lung_weight</t>
  </si>
  <si>
    <t>Lung_weight_x_100</t>
  </si>
  <si>
    <t>Mouse_ID</t>
  </si>
  <si>
    <t>Minimum</t>
  </si>
  <si>
    <t>Cytokines</t>
  </si>
  <si>
    <t>Eotaxin..74.</t>
  </si>
  <si>
    <t>G.CSF..54.</t>
  </si>
  <si>
    <t>GM.CSF..73.</t>
  </si>
  <si>
    <t>IFNg..34.</t>
  </si>
  <si>
    <t>IL.10..56.</t>
  </si>
  <si>
    <t>IL.12p40..76.</t>
  </si>
  <si>
    <t>IL.12p70..78.</t>
  </si>
  <si>
    <t>IL.13..37.</t>
  </si>
  <si>
    <t>IL.17A..72.</t>
  </si>
  <si>
    <t>IL.1b..19.</t>
  </si>
  <si>
    <t>IL.2..36.</t>
  </si>
  <si>
    <t>IL.3..18.</t>
  </si>
  <si>
    <t>IL.4..39.</t>
  </si>
  <si>
    <t>IL.5..52.</t>
  </si>
  <si>
    <t>IL.6..38.</t>
  </si>
  <si>
    <t>IL.9..33.</t>
  </si>
  <si>
    <t>IL.1a..53.</t>
  </si>
  <si>
    <t>KC..57.</t>
  </si>
  <si>
    <t>MCP.1..51.</t>
  </si>
  <si>
    <t>MIP.1B..75.</t>
  </si>
  <si>
    <t>MIP.1a..77.</t>
  </si>
  <si>
    <t>RANTES..55.</t>
  </si>
  <si>
    <t>TNFa..21.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</si>
</sst>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38100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2733675</xdr:colOff>
      <xdr:row>1</xdr:row>
      <xdr:rowOff>142875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1543050</xdr:colOff>
      <xdr:row>2</xdr:row>
      <xdr:rowOff>142875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38100</xdr:colOff>
      <xdr:row>1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2733675</xdr:colOff>
      <xdr:row>1</xdr:row>
      <xdr:rowOff>142875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1543050</xdr:colOff>
      <xdr:row>2</xdr:row>
      <xdr:rowOff>142875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1</xdr:col>
      <xdr:colOff>38100</xdr:colOff>
      <xdr:row>8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2733675</xdr:colOff>
      <xdr:row>8</xdr:row>
      <xdr:rowOff>142875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1543050</xdr:colOff>
      <xdr:row>9</xdr:row>
      <xdr:rowOff>142875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38100</xdr:colOff>
      <xdr:row>8</xdr:row>
      <xdr:rowOff>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2733675</xdr:colOff>
      <xdr:row>8</xdr:row>
      <xdr:rowOff>142875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629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1543050</xdr:colOff>
      <xdr:row>9</xdr:row>
      <xdr:rowOff>142875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819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38100</xdr:colOff>
      <xdr:row>15</xdr:row>
      <xdr:rowOff>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2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2733675</xdr:colOff>
      <xdr:row>15</xdr:row>
      <xdr:rowOff>142875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5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1543050</xdr:colOff>
      <xdr:row>16</xdr:row>
      <xdr:rowOff>142875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6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38100</xdr:colOff>
      <xdr:row>15</xdr:row>
      <xdr:rowOff>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7772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2733675</xdr:colOff>
      <xdr:row>15</xdr:row>
      <xdr:rowOff>142875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515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1543050</xdr:colOff>
      <xdr:row>16</xdr:row>
      <xdr:rowOff>142875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706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1</xdr:col>
      <xdr:colOff>38100</xdr:colOff>
      <xdr:row>22</xdr:row>
      <xdr:rowOff>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8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2733675</xdr:colOff>
      <xdr:row>22</xdr:row>
      <xdr:rowOff>142875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018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1543050</xdr:colOff>
      <xdr:row>23</xdr:row>
      <xdr:rowOff>142875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2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38100</xdr:colOff>
      <xdr:row>22</xdr:row>
      <xdr:rowOff>0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1658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2733675</xdr:colOff>
      <xdr:row>22</xdr:row>
      <xdr:rowOff>142875</xdr:rowOff>
    </xdr:to>
    <xdr:pic>
      <xdr:nvPicPr>
        <xdr:cNvPr id="1047" name="Picture 23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44018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1543050</xdr:colOff>
      <xdr:row>23</xdr:row>
      <xdr:rowOff>142875</xdr:rowOff>
    </xdr:to>
    <xdr:pic>
      <xdr:nvPicPr>
        <xdr:cNvPr id="1048" name="Picture 24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4592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38100</xdr:colOff>
      <xdr:row>29</xdr:row>
      <xdr:rowOff>0</xdr:rowOff>
    </xdr:to>
    <xdr:pic>
      <xdr:nvPicPr>
        <xdr:cNvPr id="1049" name="Picture 25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35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2733675</xdr:colOff>
      <xdr:row>29</xdr:row>
      <xdr:rowOff>142875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85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1543050</xdr:colOff>
      <xdr:row>30</xdr:row>
      <xdr:rowOff>142875</xdr:rowOff>
    </xdr:to>
    <xdr:pic>
      <xdr:nvPicPr>
        <xdr:cNvPr id="1051" name="Picture 27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69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38100</xdr:colOff>
      <xdr:row>29</xdr:row>
      <xdr:rowOff>0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5735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2733675</xdr:colOff>
      <xdr:row>29</xdr:row>
      <xdr:rowOff>142875</xdr:rowOff>
    </xdr:to>
    <xdr:pic>
      <xdr:nvPicPr>
        <xdr:cNvPr id="1053" name="Picture 29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84785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1543050</xdr:colOff>
      <xdr:row>30</xdr:row>
      <xdr:rowOff>142875</xdr:rowOff>
    </xdr:to>
    <xdr:pic>
      <xdr:nvPicPr>
        <xdr:cNvPr id="1054" name="Picture 30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8669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38100</xdr:colOff>
      <xdr:row>36</xdr:row>
      <xdr:rowOff>0</xdr:rowOff>
    </xdr:to>
    <xdr:pic>
      <xdr:nvPicPr>
        <xdr:cNvPr id="1055" name="Picture 31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1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2733675</xdr:colOff>
      <xdr:row>36</xdr:row>
      <xdr:rowOff>142875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647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1543050</xdr:colOff>
      <xdr:row>37</xdr:row>
      <xdr:rowOff>142875</xdr:rowOff>
    </xdr:to>
    <xdr:pic>
      <xdr:nvPicPr>
        <xdr:cNvPr id="1057" name="Picture 33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55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38100</xdr:colOff>
      <xdr:row>36</xdr:row>
      <xdr:rowOff>0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621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2733675</xdr:colOff>
      <xdr:row>36</xdr:row>
      <xdr:rowOff>142875</xdr:rowOff>
    </xdr:to>
    <xdr:pic>
      <xdr:nvPicPr>
        <xdr:cNvPr id="1059" name="Picture 35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23647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1543050</xdr:colOff>
      <xdr:row>37</xdr:row>
      <xdr:rowOff>142875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2555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1</xdr:col>
      <xdr:colOff>38100</xdr:colOff>
      <xdr:row>43</xdr:row>
      <xdr:rowOff>0</xdr:rowOff>
    </xdr:to>
    <xdr:pic>
      <xdr:nvPicPr>
        <xdr:cNvPr id="1061" name="Picture 37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07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2733675</xdr:colOff>
      <xdr:row>43</xdr:row>
      <xdr:rowOff>142875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509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1543050</xdr:colOff>
      <xdr:row>44</xdr:row>
      <xdr:rowOff>142875</xdr:rowOff>
    </xdr:to>
    <xdr:pic>
      <xdr:nvPicPr>
        <xdr:cNvPr id="1063" name="Picture 39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41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38100</xdr:colOff>
      <xdr:row>43</xdr:row>
      <xdr:rowOff>0</xdr:rowOff>
    </xdr:to>
    <xdr:pic>
      <xdr:nvPicPr>
        <xdr:cNvPr id="1064" name="Picture 40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3507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2733675</xdr:colOff>
      <xdr:row>43</xdr:row>
      <xdr:rowOff>142875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62509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1543050</xdr:colOff>
      <xdr:row>44</xdr:row>
      <xdr:rowOff>142875</xdr:rowOff>
    </xdr:to>
    <xdr:pic>
      <xdr:nvPicPr>
        <xdr:cNvPr id="1066" name="Picture 42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6441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38100</xdr:colOff>
      <xdr:row>50</xdr:row>
      <xdr:rowOff>0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939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2733675</xdr:colOff>
      <xdr:row>50</xdr:row>
      <xdr:rowOff>142875</xdr:rowOff>
    </xdr:to>
    <xdr:pic>
      <xdr:nvPicPr>
        <xdr:cNvPr id="1068" name="Picture 44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371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1543050</xdr:colOff>
      <xdr:row>51</xdr:row>
      <xdr:rowOff>142875</xdr:rowOff>
    </xdr:to>
    <xdr:pic>
      <xdr:nvPicPr>
        <xdr:cNvPr id="1069" name="Picture 45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276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38100</xdr:colOff>
      <xdr:row>50</xdr:row>
      <xdr:rowOff>0</xdr:rowOff>
    </xdr:to>
    <xdr:pic>
      <xdr:nvPicPr>
        <xdr:cNvPr id="1070" name="Picture 46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3939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2733675</xdr:colOff>
      <xdr:row>50</xdr:row>
      <xdr:rowOff>142875</xdr:rowOff>
    </xdr:to>
    <xdr:pic>
      <xdr:nvPicPr>
        <xdr:cNvPr id="1071" name="Picture 47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01371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1543050</xdr:colOff>
      <xdr:row>51</xdr:row>
      <xdr:rowOff>142875</xdr:rowOff>
    </xdr:to>
    <xdr:pic>
      <xdr:nvPicPr>
        <xdr:cNvPr id="1072" name="Picture 48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03276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38100</xdr:colOff>
      <xdr:row>57</xdr:row>
      <xdr:rowOff>0</xdr:rowOff>
    </xdr:to>
    <xdr:pic>
      <xdr:nvPicPr>
        <xdr:cNvPr id="1073" name="Picture 49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801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2733675</xdr:colOff>
      <xdr:row>57</xdr:row>
      <xdr:rowOff>142875</xdr:rowOff>
    </xdr:to>
    <xdr:pic>
      <xdr:nvPicPr>
        <xdr:cNvPr id="1074" name="Picture 50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233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1543050</xdr:colOff>
      <xdr:row>58</xdr:row>
      <xdr:rowOff>142875</xdr:rowOff>
    </xdr:to>
    <xdr:pic>
      <xdr:nvPicPr>
        <xdr:cNvPr id="1075" name="Picture 51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138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38100</xdr:colOff>
      <xdr:row>57</xdr:row>
      <xdr:rowOff>0</xdr:rowOff>
    </xdr:to>
    <xdr:pic>
      <xdr:nvPicPr>
        <xdr:cNvPr id="1076" name="Picture 52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12801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2733675</xdr:colOff>
      <xdr:row>57</xdr:row>
      <xdr:rowOff>142875</xdr:rowOff>
    </xdr:to>
    <xdr:pic>
      <xdr:nvPicPr>
        <xdr:cNvPr id="1077" name="Picture 53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40233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1543050</xdr:colOff>
      <xdr:row>58</xdr:row>
      <xdr:rowOff>142875</xdr:rowOff>
    </xdr:to>
    <xdr:pic>
      <xdr:nvPicPr>
        <xdr:cNvPr id="1078" name="Picture 54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42138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1</xdr:col>
      <xdr:colOff>38100</xdr:colOff>
      <xdr:row>64</xdr:row>
      <xdr:rowOff>0</xdr:rowOff>
    </xdr:to>
    <xdr:pic>
      <xdr:nvPicPr>
        <xdr:cNvPr id="1079" name="Picture 55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66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2733675</xdr:colOff>
      <xdr:row>64</xdr:row>
      <xdr:rowOff>142875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1543050</xdr:colOff>
      <xdr:row>65</xdr:row>
      <xdr:rowOff>142875</xdr:rowOff>
    </xdr:to>
    <xdr:pic>
      <xdr:nvPicPr>
        <xdr:cNvPr id="1081" name="Picture 57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38100</xdr:colOff>
      <xdr:row>64</xdr:row>
      <xdr:rowOff>0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5166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2733675</xdr:colOff>
      <xdr:row>64</xdr:row>
      <xdr:rowOff>142875</xdr:rowOff>
    </xdr:to>
    <xdr:pic>
      <xdr:nvPicPr>
        <xdr:cNvPr id="1083" name="Picture 59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79095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1543050</xdr:colOff>
      <xdr:row>65</xdr:row>
      <xdr:rowOff>142875</xdr:rowOff>
    </xdr:to>
    <xdr:pic>
      <xdr:nvPicPr>
        <xdr:cNvPr id="1084" name="Picture 60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100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38100</xdr:colOff>
      <xdr:row>71</xdr:row>
      <xdr:rowOff>0</xdr:rowOff>
    </xdr:to>
    <xdr:pic>
      <xdr:nvPicPr>
        <xdr:cNvPr id="1085" name="Picture 61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2733675</xdr:colOff>
      <xdr:row>71</xdr:row>
      <xdr:rowOff>142875</xdr:rowOff>
    </xdr:to>
    <xdr:pic>
      <xdr:nvPicPr>
        <xdr:cNvPr id="1086" name="Picture 62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957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1543050</xdr:colOff>
      <xdr:row>72</xdr:row>
      <xdr:rowOff>142875</xdr:rowOff>
    </xdr:to>
    <xdr:pic>
      <xdr:nvPicPr>
        <xdr:cNvPr id="1087" name="Picture 63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86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38100</xdr:colOff>
      <xdr:row>71</xdr:row>
      <xdr:rowOff>0</xdr:rowOff>
    </xdr:to>
    <xdr:pic>
      <xdr:nvPicPr>
        <xdr:cNvPr id="1088" name="Picture 64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9052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2733675</xdr:colOff>
      <xdr:row>71</xdr:row>
      <xdr:rowOff>142875</xdr:rowOff>
    </xdr:to>
    <xdr:pic>
      <xdr:nvPicPr>
        <xdr:cNvPr id="1089" name="Picture 65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17957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1543050</xdr:colOff>
      <xdr:row>72</xdr:row>
      <xdr:rowOff>142875</xdr:rowOff>
    </xdr:to>
    <xdr:pic>
      <xdr:nvPicPr>
        <xdr:cNvPr id="1090" name="Picture 66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1986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1</xdr:col>
      <xdr:colOff>38100</xdr:colOff>
      <xdr:row>78</xdr:row>
      <xdr:rowOff>0</xdr:rowOff>
    </xdr:to>
    <xdr:pic>
      <xdr:nvPicPr>
        <xdr:cNvPr id="1091" name="Picture 67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38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2733675</xdr:colOff>
      <xdr:row>78</xdr:row>
      <xdr:rowOff>142875</xdr:rowOff>
    </xdr:to>
    <xdr:pic>
      <xdr:nvPicPr>
        <xdr:cNvPr id="1092" name="Picture 68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819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1543050</xdr:colOff>
      <xdr:row>79</xdr:row>
      <xdr:rowOff>142875</xdr:rowOff>
    </xdr:to>
    <xdr:pic>
      <xdr:nvPicPr>
        <xdr:cNvPr id="1093" name="Picture 69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72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4"/>
  <sheetViews>
    <sheetView topLeftCell="A496" zoomScale="85" zoomScaleNormal="85" workbookViewId="0">
      <selection activeCell="G19" sqref="G19"/>
    </sheetView>
  </sheetViews>
  <sheetFormatPr defaultColWidth="8.85546875" defaultRowHeight="15" x14ac:dyDescent="0.25"/>
  <cols>
    <col min="1" max="2" width="5.28515625" bestFit="1" customWidth="1"/>
    <col min="3" max="3" width="26.85546875" bestFit="1" customWidth="1"/>
    <col min="4" max="4" width="11.42578125" bestFit="1" customWidth="1"/>
    <col min="5" max="5" width="10.140625" bestFit="1" customWidth="1"/>
    <col min="6" max="6" width="12" bestFit="1" customWidth="1"/>
    <col min="7" max="7" width="9.42578125" bestFit="1" customWidth="1"/>
    <col min="8" max="8" width="8.42578125" bestFit="1" customWidth="1"/>
    <col min="9" max="10" width="11.42578125" bestFit="1" customWidth="1"/>
    <col min="11" max="11" width="8.42578125" bestFit="1" customWidth="1"/>
    <col min="12" max="12" width="9.7109375" bestFit="1" customWidth="1"/>
    <col min="13" max="13" width="8.42578125" bestFit="1" customWidth="1"/>
    <col min="14" max="15" width="7.42578125" bestFit="1" customWidth="1"/>
    <col min="16" max="16" width="8" bestFit="1" customWidth="1"/>
    <col min="17" max="19" width="7.42578125" bestFit="1" customWidth="1"/>
    <col min="20" max="20" width="8" bestFit="1" customWidth="1"/>
    <col min="21" max="21" width="7.140625" bestFit="1" customWidth="1"/>
    <col min="22" max="22" width="10.7109375" bestFit="1" customWidth="1"/>
    <col min="23" max="23" width="11.28515625" bestFit="1" customWidth="1"/>
    <col min="24" max="24" width="10.7109375" bestFit="1" customWidth="1"/>
    <col min="25" max="25" width="10.85546875" bestFit="1" customWidth="1"/>
    <col min="26" max="26" width="9.42578125" bestFit="1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</row>
    <row r="5" spans="1:26" x14ac:dyDescent="0.25">
      <c r="A5" s="1" t="s">
        <v>4</v>
      </c>
    </row>
    <row r="6" spans="1:26" x14ac:dyDescent="0.25">
      <c r="A6" s="1" t="s">
        <v>5</v>
      </c>
    </row>
    <row r="8" spans="1:26" x14ac:dyDescent="0.25">
      <c r="A8" s="1"/>
      <c r="B8" s="1"/>
      <c r="C8" s="1"/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  <c r="V8" s="1" t="s">
        <v>24</v>
      </c>
      <c r="W8" s="1" t="s">
        <v>25</v>
      </c>
      <c r="X8" s="1" t="s">
        <v>26</v>
      </c>
      <c r="Y8" s="1" t="s">
        <v>27</v>
      </c>
      <c r="Z8" s="1" t="s">
        <v>28</v>
      </c>
    </row>
    <row r="9" spans="1:26" x14ac:dyDescent="0.25">
      <c r="A9" s="1" t="s">
        <v>29</v>
      </c>
      <c r="B9" s="1" t="s">
        <v>30</v>
      </c>
      <c r="C9" s="1" t="s">
        <v>31</v>
      </c>
      <c r="D9" s="1" t="s">
        <v>32</v>
      </c>
      <c r="E9" s="1" t="s">
        <v>32</v>
      </c>
      <c r="F9" s="1" t="s">
        <v>32</v>
      </c>
      <c r="G9" s="1" t="s">
        <v>32</v>
      </c>
      <c r="H9" s="1" t="s">
        <v>32</v>
      </c>
      <c r="I9" s="1" t="s">
        <v>32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32</v>
      </c>
      <c r="P9" s="1" t="s">
        <v>32</v>
      </c>
      <c r="Q9" s="1" t="s">
        <v>32</v>
      </c>
      <c r="R9" s="1" t="s">
        <v>32</v>
      </c>
      <c r="S9" s="1" t="s">
        <v>32</v>
      </c>
      <c r="T9" s="1" t="s">
        <v>32</v>
      </c>
      <c r="U9" s="1" t="s">
        <v>32</v>
      </c>
      <c r="V9" s="1" t="s">
        <v>32</v>
      </c>
      <c r="W9" s="1" t="s">
        <v>32</v>
      </c>
      <c r="X9" s="1" t="s">
        <v>32</v>
      </c>
      <c r="Y9" s="1" t="s">
        <v>32</v>
      </c>
      <c r="Z9" s="1" t="s">
        <v>32</v>
      </c>
    </row>
    <row r="10" spans="1:26" x14ac:dyDescent="0.25">
      <c r="A10" t="s">
        <v>33</v>
      </c>
      <c r="B10" t="s">
        <v>34</v>
      </c>
      <c r="C10" t="s">
        <v>35</v>
      </c>
      <c r="D10">
        <v>45</v>
      </c>
      <c r="E10">
        <v>45</v>
      </c>
      <c r="F10">
        <v>25</v>
      </c>
      <c r="G10">
        <v>53</v>
      </c>
      <c r="H10">
        <v>46</v>
      </c>
      <c r="I10">
        <v>18</v>
      </c>
      <c r="J10">
        <v>77</v>
      </c>
      <c r="K10">
        <v>12</v>
      </c>
      <c r="L10">
        <v>33</v>
      </c>
      <c r="M10">
        <v>11</v>
      </c>
      <c r="N10">
        <v>22</v>
      </c>
      <c r="O10">
        <v>12</v>
      </c>
      <c r="P10">
        <v>38</v>
      </c>
      <c r="Q10">
        <v>13</v>
      </c>
      <c r="R10">
        <v>167</v>
      </c>
      <c r="S10">
        <v>43</v>
      </c>
      <c r="T10">
        <v>26.5</v>
      </c>
      <c r="U10">
        <v>12</v>
      </c>
      <c r="V10">
        <v>13</v>
      </c>
      <c r="W10">
        <v>179</v>
      </c>
      <c r="X10">
        <v>25</v>
      </c>
      <c r="Y10">
        <v>27</v>
      </c>
      <c r="Z10">
        <v>15</v>
      </c>
    </row>
    <row r="11" spans="1:26" x14ac:dyDescent="0.25">
      <c r="A11" t="s">
        <v>36</v>
      </c>
      <c r="B11" t="s">
        <v>37</v>
      </c>
      <c r="C11" t="s">
        <v>38</v>
      </c>
      <c r="D11" t="s">
        <v>39</v>
      </c>
      <c r="E11" t="s">
        <v>39</v>
      </c>
      <c r="F11" t="s">
        <v>39</v>
      </c>
      <c r="G11">
        <v>11516</v>
      </c>
      <c r="H11" t="s">
        <v>39</v>
      </c>
      <c r="I11" t="s">
        <v>39</v>
      </c>
      <c r="J11">
        <v>13087</v>
      </c>
      <c r="K11" t="s">
        <v>39</v>
      </c>
      <c r="L11">
        <v>17369</v>
      </c>
      <c r="M11" t="s">
        <v>39</v>
      </c>
      <c r="N11" t="s">
        <v>39</v>
      </c>
      <c r="O11">
        <v>8818.5</v>
      </c>
      <c r="P11">
        <v>15310.5</v>
      </c>
      <c r="Q11" t="s">
        <v>39</v>
      </c>
      <c r="R11">
        <v>22354</v>
      </c>
      <c r="S11">
        <v>9393.5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>
        <v>21049</v>
      </c>
    </row>
    <row r="12" spans="1:26" x14ac:dyDescent="0.25">
      <c r="A12" t="s">
        <v>40</v>
      </c>
      <c r="B12" t="s">
        <v>41</v>
      </c>
      <c r="C12" t="s">
        <v>42</v>
      </c>
      <c r="D12">
        <v>22321.5</v>
      </c>
      <c r="E12">
        <v>22384</v>
      </c>
      <c r="F12">
        <v>22873.5</v>
      </c>
      <c r="G12">
        <v>8736.5</v>
      </c>
      <c r="H12">
        <v>18639.5</v>
      </c>
      <c r="I12">
        <v>20117</v>
      </c>
      <c r="J12">
        <v>7399</v>
      </c>
      <c r="K12">
        <v>22179</v>
      </c>
      <c r="L12">
        <v>15235</v>
      </c>
      <c r="M12">
        <v>20161.5</v>
      </c>
      <c r="N12">
        <v>19593</v>
      </c>
      <c r="O12">
        <v>5566.5</v>
      </c>
      <c r="P12">
        <v>11769.5</v>
      </c>
      <c r="Q12">
        <v>16175</v>
      </c>
      <c r="R12">
        <v>17225</v>
      </c>
      <c r="S12">
        <v>8970</v>
      </c>
      <c r="T12">
        <v>17882.5</v>
      </c>
      <c r="U12">
        <v>17085</v>
      </c>
      <c r="V12" t="s">
        <v>39</v>
      </c>
      <c r="W12">
        <v>13817.5</v>
      </c>
      <c r="X12">
        <v>19854</v>
      </c>
      <c r="Y12">
        <v>19165</v>
      </c>
      <c r="Z12">
        <v>12205</v>
      </c>
    </row>
    <row r="13" spans="1:26" x14ac:dyDescent="0.25">
      <c r="A13" t="s">
        <v>43</v>
      </c>
      <c r="B13" t="s">
        <v>44</v>
      </c>
      <c r="C13" t="s">
        <v>45</v>
      </c>
      <c r="D13">
        <v>14342</v>
      </c>
      <c r="E13">
        <v>11819.5</v>
      </c>
      <c r="F13">
        <v>21144</v>
      </c>
      <c r="G13">
        <v>3564.5</v>
      </c>
      <c r="H13">
        <v>9411</v>
      </c>
      <c r="I13">
        <v>9356</v>
      </c>
      <c r="J13">
        <v>2764</v>
      </c>
      <c r="K13">
        <v>13200</v>
      </c>
      <c r="L13">
        <v>6585</v>
      </c>
      <c r="M13">
        <v>11517</v>
      </c>
      <c r="N13">
        <v>9892</v>
      </c>
      <c r="O13">
        <v>1947</v>
      </c>
      <c r="P13">
        <v>5257</v>
      </c>
      <c r="Q13">
        <v>6470.5</v>
      </c>
      <c r="R13">
        <v>7814</v>
      </c>
      <c r="S13">
        <v>7113.5</v>
      </c>
      <c r="T13">
        <v>8080</v>
      </c>
      <c r="U13">
        <v>9508.5</v>
      </c>
      <c r="V13">
        <v>17418.5</v>
      </c>
      <c r="W13">
        <v>10811</v>
      </c>
      <c r="X13">
        <v>13149</v>
      </c>
      <c r="Y13">
        <v>11406</v>
      </c>
      <c r="Z13">
        <v>4145</v>
      </c>
    </row>
    <row r="14" spans="1:26" x14ac:dyDescent="0.25">
      <c r="A14" t="s">
        <v>46</v>
      </c>
      <c r="B14" t="s">
        <v>47</v>
      </c>
      <c r="C14" t="s">
        <v>48</v>
      </c>
      <c r="D14">
        <v>5005</v>
      </c>
      <c r="E14">
        <v>4874.5</v>
      </c>
      <c r="F14">
        <v>11509</v>
      </c>
      <c r="G14">
        <v>1045</v>
      </c>
      <c r="H14">
        <v>2561</v>
      </c>
      <c r="I14">
        <v>3293.5</v>
      </c>
      <c r="J14">
        <v>812.5</v>
      </c>
      <c r="K14">
        <v>3940.5</v>
      </c>
      <c r="L14">
        <v>1822</v>
      </c>
      <c r="M14">
        <v>4920</v>
      </c>
      <c r="N14">
        <v>3167.5</v>
      </c>
      <c r="O14">
        <v>560</v>
      </c>
      <c r="P14">
        <v>1797</v>
      </c>
      <c r="Q14">
        <v>1105</v>
      </c>
      <c r="R14">
        <v>2318</v>
      </c>
      <c r="S14">
        <v>3169.5</v>
      </c>
      <c r="T14">
        <v>2106</v>
      </c>
      <c r="U14">
        <v>2683.5</v>
      </c>
      <c r="V14">
        <v>7720</v>
      </c>
      <c r="W14">
        <v>4583</v>
      </c>
      <c r="X14">
        <v>5015</v>
      </c>
      <c r="Y14">
        <v>4686.5</v>
      </c>
      <c r="Z14">
        <v>1156</v>
      </c>
    </row>
    <row r="15" spans="1:26" x14ac:dyDescent="0.25">
      <c r="A15" t="s">
        <v>49</v>
      </c>
      <c r="B15" t="s">
        <v>50</v>
      </c>
      <c r="C15" t="s">
        <v>51</v>
      </c>
      <c r="D15">
        <v>1234</v>
      </c>
      <c r="E15">
        <v>1500</v>
      </c>
      <c r="F15">
        <v>2462</v>
      </c>
      <c r="G15">
        <v>372</v>
      </c>
      <c r="H15">
        <v>698.5</v>
      </c>
      <c r="I15">
        <v>993</v>
      </c>
      <c r="J15">
        <v>307.5</v>
      </c>
      <c r="K15">
        <v>867</v>
      </c>
      <c r="L15">
        <v>588</v>
      </c>
      <c r="M15">
        <v>1280</v>
      </c>
      <c r="N15">
        <v>964</v>
      </c>
      <c r="O15">
        <v>181</v>
      </c>
      <c r="P15">
        <v>540</v>
      </c>
      <c r="Q15">
        <v>412</v>
      </c>
      <c r="R15">
        <v>909</v>
      </c>
      <c r="S15">
        <v>1095</v>
      </c>
      <c r="T15">
        <v>597.5</v>
      </c>
      <c r="U15">
        <v>772</v>
      </c>
      <c r="V15">
        <v>1411</v>
      </c>
      <c r="W15">
        <v>887.5</v>
      </c>
      <c r="X15">
        <v>1464</v>
      </c>
      <c r="Y15">
        <v>1160</v>
      </c>
      <c r="Z15">
        <v>341</v>
      </c>
    </row>
    <row r="16" spans="1:26" x14ac:dyDescent="0.25">
      <c r="A16" t="s">
        <v>52</v>
      </c>
      <c r="B16" t="s">
        <v>53</v>
      </c>
      <c r="C16" t="s">
        <v>54</v>
      </c>
      <c r="D16">
        <v>308.5</v>
      </c>
      <c r="E16">
        <v>335</v>
      </c>
      <c r="F16">
        <v>299.5</v>
      </c>
      <c r="G16">
        <v>130.5</v>
      </c>
      <c r="H16">
        <v>166</v>
      </c>
      <c r="I16">
        <v>233.5</v>
      </c>
      <c r="J16">
        <v>101.5</v>
      </c>
      <c r="K16">
        <v>181</v>
      </c>
      <c r="L16">
        <v>165</v>
      </c>
      <c r="M16" t="s">
        <v>39</v>
      </c>
      <c r="N16">
        <v>210</v>
      </c>
      <c r="O16" t="s">
        <v>39</v>
      </c>
      <c r="P16">
        <v>159</v>
      </c>
      <c r="Q16">
        <v>101</v>
      </c>
      <c r="R16">
        <v>325.5</v>
      </c>
      <c r="S16" t="s">
        <v>39</v>
      </c>
      <c r="T16">
        <v>146</v>
      </c>
      <c r="U16">
        <v>174</v>
      </c>
      <c r="V16">
        <v>199</v>
      </c>
      <c r="W16">
        <v>253</v>
      </c>
      <c r="X16">
        <v>388</v>
      </c>
      <c r="Y16">
        <v>190</v>
      </c>
      <c r="Z16">
        <v>121.5</v>
      </c>
    </row>
    <row r="17" spans="1:26" x14ac:dyDescent="0.25">
      <c r="A17" t="s">
        <v>55</v>
      </c>
      <c r="B17" t="s">
        <v>56</v>
      </c>
      <c r="C17" t="s">
        <v>57</v>
      </c>
      <c r="D17">
        <v>115</v>
      </c>
      <c r="E17">
        <v>139</v>
      </c>
      <c r="F17">
        <v>70</v>
      </c>
      <c r="G17">
        <v>62</v>
      </c>
      <c r="H17">
        <v>80</v>
      </c>
      <c r="I17">
        <v>83</v>
      </c>
      <c r="J17">
        <v>80</v>
      </c>
      <c r="K17">
        <v>43</v>
      </c>
      <c r="L17">
        <v>59</v>
      </c>
      <c r="M17">
        <v>100</v>
      </c>
      <c r="N17">
        <v>75</v>
      </c>
      <c r="O17">
        <v>22</v>
      </c>
      <c r="P17">
        <v>64.5</v>
      </c>
      <c r="Q17">
        <v>36</v>
      </c>
      <c r="R17">
        <v>167</v>
      </c>
      <c r="S17">
        <v>100.5</v>
      </c>
      <c r="T17">
        <v>63</v>
      </c>
      <c r="U17">
        <v>57</v>
      </c>
      <c r="V17">
        <v>49</v>
      </c>
      <c r="W17">
        <v>174</v>
      </c>
      <c r="X17">
        <v>115.5</v>
      </c>
      <c r="Y17">
        <v>90</v>
      </c>
      <c r="Z17">
        <v>33</v>
      </c>
    </row>
    <row r="18" spans="1:26" x14ac:dyDescent="0.25">
      <c r="A18" t="s">
        <v>58</v>
      </c>
      <c r="B18" t="s">
        <v>59</v>
      </c>
      <c r="C18" t="s">
        <v>60</v>
      </c>
      <c r="D18">
        <v>63.5</v>
      </c>
      <c r="E18">
        <v>66</v>
      </c>
      <c r="F18">
        <v>32</v>
      </c>
      <c r="G18">
        <v>48</v>
      </c>
      <c r="H18">
        <v>47</v>
      </c>
      <c r="I18">
        <v>35.5</v>
      </c>
      <c r="J18">
        <v>68</v>
      </c>
      <c r="K18">
        <v>18</v>
      </c>
      <c r="L18">
        <v>34</v>
      </c>
      <c r="M18">
        <v>32</v>
      </c>
      <c r="N18">
        <v>35</v>
      </c>
      <c r="O18">
        <v>14</v>
      </c>
      <c r="P18">
        <v>40</v>
      </c>
      <c r="Q18">
        <v>20</v>
      </c>
      <c r="R18">
        <v>123</v>
      </c>
      <c r="S18">
        <v>54</v>
      </c>
      <c r="T18">
        <v>35</v>
      </c>
      <c r="U18">
        <v>23</v>
      </c>
      <c r="V18">
        <v>22</v>
      </c>
      <c r="W18" t="s">
        <v>39</v>
      </c>
      <c r="X18">
        <v>47</v>
      </c>
      <c r="Y18" t="s">
        <v>39</v>
      </c>
      <c r="Z18">
        <v>19</v>
      </c>
    </row>
    <row r="19" spans="1:26" x14ac:dyDescent="0.25">
      <c r="A19" t="s">
        <v>61</v>
      </c>
      <c r="B19" t="s">
        <v>62</v>
      </c>
      <c r="C19" t="s">
        <v>63</v>
      </c>
      <c r="D19">
        <v>3063</v>
      </c>
      <c r="E19">
        <v>45</v>
      </c>
      <c r="F19">
        <v>32</v>
      </c>
      <c r="G19">
        <v>73</v>
      </c>
      <c r="H19">
        <v>42.5</v>
      </c>
      <c r="I19">
        <v>51</v>
      </c>
      <c r="J19">
        <v>96</v>
      </c>
      <c r="K19">
        <v>20</v>
      </c>
      <c r="L19">
        <v>68</v>
      </c>
      <c r="M19">
        <v>18</v>
      </c>
      <c r="N19">
        <v>37</v>
      </c>
      <c r="O19">
        <v>19.5</v>
      </c>
      <c r="P19">
        <v>45</v>
      </c>
      <c r="Q19">
        <v>19</v>
      </c>
      <c r="R19">
        <v>143</v>
      </c>
      <c r="S19">
        <v>60</v>
      </c>
      <c r="T19">
        <v>95</v>
      </c>
      <c r="U19">
        <v>94</v>
      </c>
      <c r="V19">
        <v>69.5</v>
      </c>
      <c r="W19">
        <v>200.5</v>
      </c>
      <c r="X19">
        <v>249</v>
      </c>
      <c r="Y19">
        <v>1185</v>
      </c>
      <c r="Z19">
        <v>22</v>
      </c>
    </row>
    <row r="20" spans="1:26" x14ac:dyDescent="0.25">
      <c r="A20" t="s">
        <v>64</v>
      </c>
      <c r="B20" t="s">
        <v>65</v>
      </c>
      <c r="C20" t="s">
        <v>66</v>
      </c>
      <c r="D20">
        <v>3282</v>
      </c>
      <c r="E20">
        <v>45</v>
      </c>
      <c r="F20">
        <v>31</v>
      </c>
      <c r="G20">
        <v>66</v>
      </c>
      <c r="H20">
        <v>38.5</v>
      </c>
      <c r="I20">
        <v>50</v>
      </c>
      <c r="J20">
        <v>90</v>
      </c>
      <c r="K20">
        <v>18</v>
      </c>
      <c r="L20">
        <v>79.5</v>
      </c>
      <c r="M20">
        <v>18</v>
      </c>
      <c r="N20">
        <v>30</v>
      </c>
      <c r="O20">
        <v>18</v>
      </c>
      <c r="P20">
        <v>40</v>
      </c>
      <c r="Q20">
        <v>17</v>
      </c>
      <c r="R20">
        <v>146</v>
      </c>
      <c r="S20">
        <v>52.5</v>
      </c>
      <c r="T20">
        <v>92</v>
      </c>
      <c r="U20">
        <v>79</v>
      </c>
      <c r="V20">
        <v>38</v>
      </c>
      <c r="W20">
        <v>166</v>
      </c>
      <c r="X20">
        <v>155</v>
      </c>
      <c r="Y20">
        <v>618</v>
      </c>
      <c r="Z20">
        <v>22</v>
      </c>
    </row>
    <row r="21" spans="1:26" x14ac:dyDescent="0.25">
      <c r="A21" t="s">
        <v>67</v>
      </c>
      <c r="B21" t="s">
        <v>68</v>
      </c>
      <c r="C21" t="s">
        <v>69</v>
      </c>
      <c r="D21">
        <v>3165</v>
      </c>
      <c r="E21">
        <v>43.5</v>
      </c>
      <c r="F21">
        <v>33</v>
      </c>
      <c r="G21">
        <v>89</v>
      </c>
      <c r="H21">
        <v>42</v>
      </c>
      <c r="I21">
        <v>92</v>
      </c>
      <c r="J21">
        <v>100</v>
      </c>
      <c r="K21">
        <v>25</v>
      </c>
      <c r="L21">
        <v>92</v>
      </c>
      <c r="M21">
        <v>20</v>
      </c>
      <c r="N21">
        <v>48</v>
      </c>
      <c r="O21">
        <v>21.5</v>
      </c>
      <c r="P21">
        <v>41</v>
      </c>
      <c r="Q21">
        <v>22</v>
      </c>
      <c r="R21">
        <v>163</v>
      </c>
      <c r="S21">
        <v>65</v>
      </c>
      <c r="T21">
        <v>125</v>
      </c>
      <c r="U21">
        <v>96.5</v>
      </c>
      <c r="V21">
        <v>51</v>
      </c>
      <c r="W21">
        <v>179</v>
      </c>
      <c r="X21">
        <v>225</v>
      </c>
      <c r="Y21">
        <v>778.5</v>
      </c>
      <c r="Z21">
        <v>28</v>
      </c>
    </row>
    <row r="22" spans="1:26" x14ac:dyDescent="0.25">
      <c r="A22" t="s">
        <v>70</v>
      </c>
      <c r="B22" t="s">
        <v>71</v>
      </c>
      <c r="C22" t="s">
        <v>72</v>
      </c>
      <c r="D22">
        <v>2459</v>
      </c>
      <c r="E22">
        <v>45</v>
      </c>
      <c r="F22">
        <v>32</v>
      </c>
      <c r="G22">
        <v>80</v>
      </c>
      <c r="H22">
        <v>43</v>
      </c>
      <c r="I22">
        <v>42.5</v>
      </c>
      <c r="J22">
        <v>101.5</v>
      </c>
      <c r="K22">
        <v>19</v>
      </c>
      <c r="L22">
        <v>87</v>
      </c>
      <c r="M22">
        <v>18</v>
      </c>
      <c r="N22">
        <v>39</v>
      </c>
      <c r="O22">
        <v>19</v>
      </c>
      <c r="P22">
        <v>42</v>
      </c>
      <c r="Q22">
        <v>19</v>
      </c>
      <c r="R22">
        <v>148.5</v>
      </c>
      <c r="S22">
        <v>57</v>
      </c>
      <c r="T22">
        <v>131</v>
      </c>
      <c r="U22">
        <v>255</v>
      </c>
      <c r="V22">
        <v>61</v>
      </c>
      <c r="W22">
        <v>175</v>
      </c>
      <c r="X22">
        <v>172</v>
      </c>
      <c r="Y22">
        <v>403</v>
      </c>
      <c r="Z22">
        <v>23</v>
      </c>
    </row>
    <row r="23" spans="1:26" x14ac:dyDescent="0.25">
      <c r="A23" t="s">
        <v>73</v>
      </c>
      <c r="B23" t="s">
        <v>74</v>
      </c>
      <c r="C23" t="s">
        <v>75</v>
      </c>
      <c r="D23">
        <v>5142.5</v>
      </c>
      <c r="E23">
        <v>47</v>
      </c>
      <c r="F23">
        <v>35</v>
      </c>
      <c r="G23">
        <v>88.5</v>
      </c>
      <c r="H23">
        <v>43</v>
      </c>
      <c r="I23">
        <v>82</v>
      </c>
      <c r="J23">
        <v>101</v>
      </c>
      <c r="K23">
        <v>21</v>
      </c>
      <c r="L23">
        <v>87</v>
      </c>
      <c r="M23">
        <v>19</v>
      </c>
      <c r="N23">
        <v>54</v>
      </c>
      <c r="O23">
        <v>22</v>
      </c>
      <c r="P23">
        <v>44</v>
      </c>
      <c r="Q23">
        <v>22</v>
      </c>
      <c r="R23">
        <v>172</v>
      </c>
      <c r="S23">
        <v>67</v>
      </c>
      <c r="T23">
        <v>124</v>
      </c>
      <c r="U23">
        <v>90</v>
      </c>
      <c r="V23">
        <v>109</v>
      </c>
      <c r="W23">
        <v>208</v>
      </c>
      <c r="X23">
        <v>377</v>
      </c>
      <c r="Y23">
        <v>1767</v>
      </c>
      <c r="Z23">
        <v>33</v>
      </c>
    </row>
    <row r="24" spans="1:26" x14ac:dyDescent="0.25">
      <c r="A24" t="s">
        <v>76</v>
      </c>
      <c r="B24" t="s">
        <v>77</v>
      </c>
      <c r="C24" t="s">
        <v>78</v>
      </c>
      <c r="D24">
        <v>2871</v>
      </c>
      <c r="E24">
        <v>45</v>
      </c>
      <c r="F24">
        <v>30</v>
      </c>
      <c r="G24">
        <v>69</v>
      </c>
      <c r="H24">
        <v>34</v>
      </c>
      <c r="I24">
        <v>57</v>
      </c>
      <c r="J24">
        <v>94</v>
      </c>
      <c r="K24">
        <v>16</v>
      </c>
      <c r="L24">
        <v>74</v>
      </c>
      <c r="M24">
        <v>16</v>
      </c>
      <c r="N24">
        <v>25</v>
      </c>
      <c r="O24">
        <v>19</v>
      </c>
      <c r="P24">
        <v>36</v>
      </c>
      <c r="Q24">
        <v>17</v>
      </c>
      <c r="R24">
        <v>160</v>
      </c>
      <c r="S24">
        <v>54.5</v>
      </c>
      <c r="T24">
        <v>118.5</v>
      </c>
      <c r="U24">
        <v>110</v>
      </c>
      <c r="V24">
        <v>58.5</v>
      </c>
      <c r="W24">
        <v>172</v>
      </c>
      <c r="X24">
        <v>222</v>
      </c>
      <c r="Y24">
        <v>1046</v>
      </c>
      <c r="Z24">
        <v>25</v>
      </c>
    </row>
    <row r="25" spans="1:26" x14ac:dyDescent="0.25">
      <c r="A25" t="s">
        <v>79</v>
      </c>
      <c r="B25" t="s">
        <v>80</v>
      </c>
      <c r="C25" t="s">
        <v>81</v>
      </c>
      <c r="D25">
        <v>3130</v>
      </c>
      <c r="E25">
        <v>43</v>
      </c>
      <c r="F25">
        <v>31</v>
      </c>
      <c r="G25">
        <v>67</v>
      </c>
      <c r="H25">
        <v>41</v>
      </c>
      <c r="I25">
        <v>71</v>
      </c>
      <c r="J25">
        <v>86</v>
      </c>
      <c r="K25">
        <v>18</v>
      </c>
      <c r="L25">
        <v>77</v>
      </c>
      <c r="M25">
        <v>18</v>
      </c>
      <c r="N25">
        <v>29</v>
      </c>
      <c r="O25">
        <v>22</v>
      </c>
      <c r="P25">
        <v>33</v>
      </c>
      <c r="Q25">
        <v>19</v>
      </c>
      <c r="R25">
        <v>131.5</v>
      </c>
      <c r="S25">
        <v>50</v>
      </c>
      <c r="T25">
        <v>106</v>
      </c>
      <c r="U25">
        <v>83</v>
      </c>
      <c r="V25">
        <v>77.5</v>
      </c>
      <c r="W25">
        <v>169</v>
      </c>
      <c r="X25">
        <v>301.5</v>
      </c>
      <c r="Y25">
        <v>1473.5</v>
      </c>
      <c r="Z25">
        <v>25</v>
      </c>
    </row>
    <row r="26" spans="1:26" x14ac:dyDescent="0.25">
      <c r="A26" t="s">
        <v>82</v>
      </c>
      <c r="B26" t="s">
        <v>83</v>
      </c>
      <c r="C26" t="s">
        <v>84</v>
      </c>
      <c r="D26">
        <v>3345</v>
      </c>
      <c r="E26">
        <v>42.5</v>
      </c>
      <c r="F26">
        <v>30</v>
      </c>
      <c r="G26">
        <v>88</v>
      </c>
      <c r="H26">
        <v>43</v>
      </c>
      <c r="I26">
        <v>56.5</v>
      </c>
      <c r="J26">
        <v>92</v>
      </c>
      <c r="K26">
        <v>22</v>
      </c>
      <c r="L26">
        <v>88.5</v>
      </c>
      <c r="M26">
        <v>19</v>
      </c>
      <c r="N26">
        <v>64</v>
      </c>
      <c r="O26">
        <v>22</v>
      </c>
      <c r="P26">
        <v>36.5</v>
      </c>
      <c r="Q26">
        <v>21</v>
      </c>
      <c r="R26">
        <v>141</v>
      </c>
      <c r="S26">
        <v>62</v>
      </c>
      <c r="T26">
        <v>136.5</v>
      </c>
      <c r="U26">
        <v>58</v>
      </c>
      <c r="V26">
        <v>49</v>
      </c>
      <c r="W26">
        <v>162.5</v>
      </c>
      <c r="X26">
        <v>175</v>
      </c>
      <c r="Y26">
        <v>958</v>
      </c>
      <c r="Z26">
        <v>25</v>
      </c>
    </row>
    <row r="27" spans="1:26" x14ac:dyDescent="0.25">
      <c r="A27" t="s">
        <v>85</v>
      </c>
      <c r="B27" t="s">
        <v>86</v>
      </c>
      <c r="C27" t="s">
        <v>87</v>
      </c>
      <c r="D27">
        <v>4117</v>
      </c>
      <c r="E27">
        <v>42</v>
      </c>
      <c r="F27">
        <v>30.5</v>
      </c>
      <c r="G27">
        <v>86</v>
      </c>
      <c r="H27">
        <v>35</v>
      </c>
      <c r="I27">
        <v>39.5</v>
      </c>
      <c r="J27">
        <v>97</v>
      </c>
      <c r="K27">
        <v>20</v>
      </c>
      <c r="L27">
        <v>90</v>
      </c>
      <c r="M27">
        <v>17</v>
      </c>
      <c r="N27">
        <v>51.5</v>
      </c>
      <c r="O27">
        <v>19</v>
      </c>
      <c r="P27">
        <v>32</v>
      </c>
      <c r="Q27">
        <v>23</v>
      </c>
      <c r="R27">
        <v>145</v>
      </c>
      <c r="S27">
        <v>58.5</v>
      </c>
      <c r="T27">
        <v>120</v>
      </c>
      <c r="U27">
        <v>73.5</v>
      </c>
      <c r="V27">
        <v>69</v>
      </c>
      <c r="W27">
        <v>169</v>
      </c>
      <c r="X27">
        <v>205</v>
      </c>
      <c r="Y27">
        <v>669</v>
      </c>
      <c r="Z27">
        <v>25</v>
      </c>
    </row>
    <row r="28" spans="1:26" x14ac:dyDescent="0.25">
      <c r="A28" t="s">
        <v>88</v>
      </c>
      <c r="B28" t="s">
        <v>89</v>
      </c>
      <c r="C28" t="s">
        <v>90</v>
      </c>
      <c r="D28">
        <v>4229</v>
      </c>
      <c r="E28">
        <v>45</v>
      </c>
      <c r="F28">
        <v>34</v>
      </c>
      <c r="G28">
        <v>117</v>
      </c>
      <c r="H28">
        <v>44.5</v>
      </c>
      <c r="I28">
        <v>64</v>
      </c>
      <c r="J28">
        <v>121</v>
      </c>
      <c r="K28">
        <v>28</v>
      </c>
      <c r="L28">
        <v>98</v>
      </c>
      <c r="M28">
        <v>21.5</v>
      </c>
      <c r="N28">
        <v>116</v>
      </c>
      <c r="O28">
        <v>21</v>
      </c>
      <c r="P28">
        <v>44</v>
      </c>
      <c r="Q28">
        <v>28</v>
      </c>
      <c r="R28">
        <v>212</v>
      </c>
      <c r="S28">
        <v>97</v>
      </c>
      <c r="T28">
        <v>165</v>
      </c>
      <c r="U28">
        <v>89</v>
      </c>
      <c r="V28">
        <v>70</v>
      </c>
      <c r="W28">
        <v>188.5</v>
      </c>
      <c r="X28">
        <v>253</v>
      </c>
      <c r="Y28">
        <v>885</v>
      </c>
      <c r="Z28">
        <v>37</v>
      </c>
    </row>
    <row r="29" spans="1:26" x14ac:dyDescent="0.25">
      <c r="A29" t="s">
        <v>91</v>
      </c>
      <c r="B29" t="s">
        <v>92</v>
      </c>
      <c r="C29" t="s">
        <v>93</v>
      </c>
      <c r="D29">
        <v>4059</v>
      </c>
      <c r="E29">
        <v>49</v>
      </c>
      <c r="F29">
        <v>33</v>
      </c>
      <c r="G29">
        <v>103</v>
      </c>
      <c r="H29">
        <v>48</v>
      </c>
      <c r="I29">
        <v>49</v>
      </c>
      <c r="J29">
        <v>103.5</v>
      </c>
      <c r="K29">
        <v>34</v>
      </c>
      <c r="L29">
        <v>110</v>
      </c>
      <c r="M29">
        <v>23</v>
      </c>
      <c r="N29">
        <v>79</v>
      </c>
      <c r="O29">
        <v>25</v>
      </c>
      <c r="P29">
        <v>43</v>
      </c>
      <c r="Q29">
        <v>29</v>
      </c>
      <c r="R29">
        <v>181</v>
      </c>
      <c r="S29">
        <v>78.5</v>
      </c>
      <c r="T29">
        <v>122</v>
      </c>
      <c r="U29">
        <v>104.5</v>
      </c>
      <c r="V29">
        <v>50</v>
      </c>
      <c r="W29">
        <v>196.5</v>
      </c>
      <c r="X29">
        <v>234</v>
      </c>
      <c r="Y29">
        <v>683</v>
      </c>
      <c r="Z29">
        <v>35</v>
      </c>
    </row>
    <row r="30" spans="1:26" x14ac:dyDescent="0.25">
      <c r="A30" t="s">
        <v>94</v>
      </c>
      <c r="B30" t="s">
        <v>95</v>
      </c>
      <c r="C30" t="s">
        <v>96</v>
      </c>
      <c r="D30">
        <v>2254.5</v>
      </c>
      <c r="E30">
        <v>43</v>
      </c>
      <c r="F30">
        <v>31</v>
      </c>
      <c r="G30">
        <v>63</v>
      </c>
      <c r="H30">
        <v>37</v>
      </c>
      <c r="I30">
        <v>46</v>
      </c>
      <c r="J30">
        <v>86</v>
      </c>
      <c r="K30">
        <v>18</v>
      </c>
      <c r="L30">
        <v>83</v>
      </c>
      <c r="M30">
        <v>17</v>
      </c>
      <c r="N30">
        <v>34</v>
      </c>
      <c r="O30">
        <v>19</v>
      </c>
      <c r="P30">
        <v>38</v>
      </c>
      <c r="Q30">
        <v>18</v>
      </c>
      <c r="R30">
        <v>141</v>
      </c>
      <c r="S30">
        <v>51</v>
      </c>
      <c r="T30">
        <v>113</v>
      </c>
      <c r="U30">
        <v>41</v>
      </c>
      <c r="V30">
        <v>51.5</v>
      </c>
      <c r="W30">
        <v>158</v>
      </c>
      <c r="X30">
        <v>142</v>
      </c>
      <c r="Y30">
        <v>443</v>
      </c>
      <c r="Z30">
        <v>22</v>
      </c>
    </row>
    <row r="31" spans="1:26" x14ac:dyDescent="0.25">
      <c r="A31" t="s">
        <v>97</v>
      </c>
      <c r="B31" t="s">
        <v>98</v>
      </c>
      <c r="C31" t="s">
        <v>99</v>
      </c>
      <c r="D31">
        <v>2216</v>
      </c>
      <c r="E31">
        <v>43</v>
      </c>
      <c r="F31">
        <v>30</v>
      </c>
      <c r="G31">
        <v>59</v>
      </c>
      <c r="H31">
        <v>36</v>
      </c>
      <c r="I31">
        <v>51</v>
      </c>
      <c r="J31">
        <v>81</v>
      </c>
      <c r="K31">
        <v>16</v>
      </c>
      <c r="L31">
        <v>76</v>
      </c>
      <c r="M31">
        <v>16</v>
      </c>
      <c r="N31">
        <v>24</v>
      </c>
      <c r="O31">
        <v>18</v>
      </c>
      <c r="P31">
        <v>42</v>
      </c>
      <c r="Q31">
        <v>16</v>
      </c>
      <c r="R31">
        <v>123</v>
      </c>
      <c r="S31">
        <v>47</v>
      </c>
      <c r="T31">
        <v>108</v>
      </c>
      <c r="U31">
        <v>65.5</v>
      </c>
      <c r="V31">
        <v>34</v>
      </c>
      <c r="W31">
        <v>163</v>
      </c>
      <c r="X31">
        <v>202</v>
      </c>
      <c r="Y31">
        <v>791</v>
      </c>
      <c r="Z31">
        <v>20</v>
      </c>
    </row>
    <row r="32" spans="1:26" x14ac:dyDescent="0.25">
      <c r="A32" t="s">
        <v>100</v>
      </c>
      <c r="B32" t="s">
        <v>101</v>
      </c>
      <c r="C32" t="s">
        <v>102</v>
      </c>
      <c r="D32">
        <v>1899</v>
      </c>
      <c r="E32">
        <v>44.5</v>
      </c>
      <c r="F32">
        <v>32.5</v>
      </c>
      <c r="G32">
        <v>60</v>
      </c>
      <c r="H32">
        <v>41</v>
      </c>
      <c r="I32">
        <v>40</v>
      </c>
      <c r="J32">
        <v>88</v>
      </c>
      <c r="K32">
        <v>17</v>
      </c>
      <c r="L32">
        <v>87</v>
      </c>
      <c r="M32">
        <v>18</v>
      </c>
      <c r="N32">
        <v>29</v>
      </c>
      <c r="O32">
        <v>20</v>
      </c>
      <c r="P32">
        <v>34</v>
      </c>
      <c r="Q32">
        <v>17</v>
      </c>
      <c r="R32">
        <v>137</v>
      </c>
      <c r="S32">
        <v>49</v>
      </c>
      <c r="T32">
        <v>110</v>
      </c>
      <c r="U32">
        <v>61</v>
      </c>
      <c r="V32">
        <v>36.5</v>
      </c>
      <c r="W32">
        <v>164</v>
      </c>
      <c r="X32">
        <v>195</v>
      </c>
      <c r="Y32">
        <v>495.5</v>
      </c>
      <c r="Z32">
        <v>23</v>
      </c>
    </row>
    <row r="33" spans="1:26" x14ac:dyDescent="0.25">
      <c r="A33" t="s">
        <v>103</v>
      </c>
      <c r="B33" t="s">
        <v>104</v>
      </c>
      <c r="C33" t="s">
        <v>105</v>
      </c>
      <c r="D33">
        <v>1312</v>
      </c>
      <c r="E33">
        <v>42</v>
      </c>
      <c r="F33">
        <v>30</v>
      </c>
      <c r="G33">
        <v>57</v>
      </c>
      <c r="H33">
        <v>38</v>
      </c>
      <c r="I33">
        <v>57.5</v>
      </c>
      <c r="J33">
        <v>90.5</v>
      </c>
      <c r="K33">
        <v>17</v>
      </c>
      <c r="L33">
        <v>80</v>
      </c>
      <c r="M33">
        <v>17</v>
      </c>
      <c r="N33">
        <v>26</v>
      </c>
      <c r="O33">
        <v>18</v>
      </c>
      <c r="P33">
        <v>32</v>
      </c>
      <c r="Q33">
        <v>17</v>
      </c>
      <c r="R33">
        <v>146.5</v>
      </c>
      <c r="S33">
        <v>47</v>
      </c>
      <c r="T33">
        <v>93</v>
      </c>
      <c r="U33">
        <v>69</v>
      </c>
      <c r="V33">
        <v>48</v>
      </c>
      <c r="W33">
        <v>150</v>
      </c>
      <c r="X33">
        <v>136</v>
      </c>
      <c r="Y33">
        <v>343</v>
      </c>
      <c r="Z33">
        <v>21</v>
      </c>
    </row>
    <row r="34" spans="1:26" x14ac:dyDescent="0.25">
      <c r="A34" t="s">
        <v>106</v>
      </c>
      <c r="B34" t="s">
        <v>107</v>
      </c>
      <c r="C34" t="s">
        <v>108</v>
      </c>
      <c r="D34">
        <v>3026</v>
      </c>
      <c r="E34">
        <v>45</v>
      </c>
      <c r="F34">
        <v>36</v>
      </c>
      <c r="G34">
        <v>74</v>
      </c>
      <c r="H34">
        <v>44</v>
      </c>
      <c r="I34">
        <v>45</v>
      </c>
      <c r="J34">
        <v>92</v>
      </c>
      <c r="K34">
        <v>19</v>
      </c>
      <c r="L34">
        <v>87</v>
      </c>
      <c r="M34">
        <v>17</v>
      </c>
      <c r="N34">
        <v>27</v>
      </c>
      <c r="O34">
        <v>18</v>
      </c>
      <c r="P34">
        <v>44</v>
      </c>
      <c r="Q34">
        <v>22.5</v>
      </c>
      <c r="R34">
        <v>194</v>
      </c>
      <c r="S34">
        <v>56</v>
      </c>
      <c r="T34">
        <v>98</v>
      </c>
      <c r="U34">
        <v>77.5</v>
      </c>
      <c r="V34">
        <v>73</v>
      </c>
      <c r="W34">
        <v>172</v>
      </c>
      <c r="X34">
        <v>132</v>
      </c>
      <c r="Y34">
        <v>1156</v>
      </c>
      <c r="Z34">
        <v>26</v>
      </c>
    </row>
    <row r="35" spans="1:26" x14ac:dyDescent="0.25">
      <c r="A35" t="s">
        <v>109</v>
      </c>
      <c r="B35" t="s">
        <v>110</v>
      </c>
      <c r="C35" t="s">
        <v>111</v>
      </c>
      <c r="D35">
        <v>751</v>
      </c>
      <c r="E35">
        <v>58.5</v>
      </c>
      <c r="F35">
        <v>24</v>
      </c>
      <c r="G35">
        <v>31</v>
      </c>
      <c r="H35">
        <v>22</v>
      </c>
      <c r="I35">
        <v>42.5</v>
      </c>
      <c r="J35">
        <v>53</v>
      </c>
      <c r="K35">
        <v>11</v>
      </c>
      <c r="L35">
        <v>28</v>
      </c>
      <c r="M35">
        <v>19</v>
      </c>
      <c r="N35">
        <v>15</v>
      </c>
      <c r="O35">
        <v>16</v>
      </c>
      <c r="P35">
        <v>18</v>
      </c>
      <c r="Q35">
        <v>17</v>
      </c>
      <c r="R35">
        <v>241.5</v>
      </c>
      <c r="S35">
        <v>38.5</v>
      </c>
      <c r="T35">
        <v>46</v>
      </c>
      <c r="U35">
        <v>77</v>
      </c>
      <c r="V35">
        <v>153.5</v>
      </c>
      <c r="W35">
        <v>27</v>
      </c>
      <c r="X35">
        <v>83</v>
      </c>
      <c r="Y35">
        <v>187</v>
      </c>
      <c r="Z35">
        <v>12.5</v>
      </c>
    </row>
    <row r="36" spans="1:26" x14ac:dyDescent="0.25">
      <c r="A36" t="s">
        <v>112</v>
      </c>
      <c r="B36" t="s">
        <v>113</v>
      </c>
      <c r="C36" t="s">
        <v>114</v>
      </c>
      <c r="D36">
        <v>4515.5</v>
      </c>
      <c r="E36">
        <v>64.5</v>
      </c>
      <c r="F36">
        <v>34</v>
      </c>
      <c r="G36">
        <v>101</v>
      </c>
      <c r="H36">
        <v>57</v>
      </c>
      <c r="I36">
        <v>304</v>
      </c>
      <c r="J36">
        <v>116.5</v>
      </c>
      <c r="K36">
        <v>23</v>
      </c>
      <c r="L36">
        <v>102</v>
      </c>
      <c r="M36">
        <v>29</v>
      </c>
      <c r="N36">
        <v>40.5</v>
      </c>
      <c r="O36">
        <v>21</v>
      </c>
      <c r="P36">
        <v>55</v>
      </c>
      <c r="Q36">
        <v>35</v>
      </c>
      <c r="R36">
        <v>397.5</v>
      </c>
      <c r="S36">
        <v>64</v>
      </c>
      <c r="T36">
        <v>142</v>
      </c>
      <c r="U36">
        <v>414</v>
      </c>
      <c r="V36">
        <v>1297</v>
      </c>
      <c r="W36">
        <v>541</v>
      </c>
      <c r="X36">
        <v>2306.5</v>
      </c>
      <c r="Y36">
        <v>4294</v>
      </c>
      <c r="Z36">
        <v>36</v>
      </c>
    </row>
    <row r="37" spans="1:26" x14ac:dyDescent="0.25">
      <c r="A37" t="s">
        <v>115</v>
      </c>
      <c r="B37" t="s">
        <v>116</v>
      </c>
      <c r="C37" t="s">
        <v>117</v>
      </c>
      <c r="D37">
        <v>3969.5</v>
      </c>
      <c r="E37">
        <v>61</v>
      </c>
      <c r="F37">
        <v>35</v>
      </c>
      <c r="G37">
        <v>87</v>
      </c>
      <c r="H37">
        <v>48</v>
      </c>
      <c r="I37">
        <v>112</v>
      </c>
      <c r="J37">
        <v>112</v>
      </c>
      <c r="K37">
        <v>22</v>
      </c>
      <c r="L37">
        <v>115</v>
      </c>
      <c r="M37">
        <v>21</v>
      </c>
      <c r="N37">
        <v>46</v>
      </c>
      <c r="O37">
        <v>25</v>
      </c>
      <c r="P37">
        <v>48</v>
      </c>
      <c r="Q37">
        <v>24</v>
      </c>
      <c r="R37">
        <v>284</v>
      </c>
      <c r="S37">
        <v>66</v>
      </c>
      <c r="T37">
        <v>141</v>
      </c>
      <c r="U37">
        <v>170</v>
      </c>
      <c r="V37">
        <v>339</v>
      </c>
      <c r="W37">
        <v>260</v>
      </c>
      <c r="X37">
        <v>620</v>
      </c>
      <c r="Y37">
        <v>3036.5</v>
      </c>
      <c r="Z37">
        <v>39</v>
      </c>
    </row>
    <row r="38" spans="1:26" x14ac:dyDescent="0.25">
      <c r="A38" t="s">
        <v>118</v>
      </c>
      <c r="B38" t="s">
        <v>119</v>
      </c>
      <c r="C38" t="s">
        <v>120</v>
      </c>
      <c r="D38">
        <v>6079</v>
      </c>
      <c r="E38">
        <v>52</v>
      </c>
      <c r="F38">
        <v>36</v>
      </c>
      <c r="G38">
        <v>112</v>
      </c>
      <c r="H38">
        <v>52</v>
      </c>
      <c r="I38">
        <v>86</v>
      </c>
      <c r="J38">
        <v>127.5</v>
      </c>
      <c r="K38">
        <v>27.5</v>
      </c>
      <c r="L38">
        <v>95</v>
      </c>
      <c r="M38">
        <v>23</v>
      </c>
      <c r="N38">
        <v>90</v>
      </c>
      <c r="O38">
        <v>24</v>
      </c>
      <c r="P38">
        <v>48</v>
      </c>
      <c r="Q38">
        <v>26</v>
      </c>
      <c r="R38">
        <v>304</v>
      </c>
      <c r="S38">
        <v>95.5</v>
      </c>
      <c r="T38">
        <v>162</v>
      </c>
      <c r="U38">
        <v>290</v>
      </c>
      <c r="V38">
        <v>108.5</v>
      </c>
      <c r="W38">
        <v>227</v>
      </c>
      <c r="X38">
        <v>230</v>
      </c>
      <c r="Y38">
        <v>3543</v>
      </c>
      <c r="Z38">
        <v>45</v>
      </c>
    </row>
    <row r="39" spans="1:26" x14ac:dyDescent="0.25">
      <c r="A39" t="s">
        <v>121</v>
      </c>
      <c r="B39" t="s">
        <v>122</v>
      </c>
      <c r="C39" t="s">
        <v>123</v>
      </c>
      <c r="D39">
        <v>3391</v>
      </c>
      <c r="E39">
        <v>46</v>
      </c>
      <c r="F39">
        <v>33</v>
      </c>
      <c r="G39">
        <v>87</v>
      </c>
      <c r="H39">
        <v>41</v>
      </c>
      <c r="I39">
        <v>99</v>
      </c>
      <c r="J39">
        <v>99</v>
      </c>
      <c r="K39">
        <v>24</v>
      </c>
      <c r="L39">
        <v>115</v>
      </c>
      <c r="M39">
        <v>20</v>
      </c>
      <c r="N39">
        <v>35</v>
      </c>
      <c r="O39">
        <v>22.5</v>
      </c>
      <c r="P39">
        <v>43</v>
      </c>
      <c r="Q39">
        <v>19</v>
      </c>
      <c r="R39">
        <v>194</v>
      </c>
      <c r="S39">
        <v>63</v>
      </c>
      <c r="T39">
        <v>129</v>
      </c>
      <c r="U39">
        <v>111.5</v>
      </c>
      <c r="V39">
        <v>70</v>
      </c>
      <c r="W39">
        <v>195</v>
      </c>
      <c r="X39">
        <v>298</v>
      </c>
      <c r="Y39">
        <v>2151</v>
      </c>
      <c r="Z39">
        <v>32</v>
      </c>
    </row>
    <row r="40" spans="1:26" x14ac:dyDescent="0.25">
      <c r="A40" t="s">
        <v>124</v>
      </c>
      <c r="B40" t="s">
        <v>125</v>
      </c>
      <c r="C40" t="s">
        <v>126</v>
      </c>
      <c r="D40">
        <v>2876</v>
      </c>
      <c r="E40">
        <v>45</v>
      </c>
      <c r="F40">
        <v>31</v>
      </c>
      <c r="G40">
        <v>72.5</v>
      </c>
      <c r="H40">
        <v>40</v>
      </c>
      <c r="I40">
        <v>62</v>
      </c>
      <c r="J40">
        <v>98</v>
      </c>
      <c r="K40">
        <v>17</v>
      </c>
      <c r="L40">
        <v>84</v>
      </c>
      <c r="M40">
        <v>17</v>
      </c>
      <c r="N40">
        <v>27</v>
      </c>
      <c r="O40">
        <v>19</v>
      </c>
      <c r="P40">
        <v>35</v>
      </c>
      <c r="Q40">
        <v>20</v>
      </c>
      <c r="R40">
        <v>186</v>
      </c>
      <c r="S40">
        <v>53.5</v>
      </c>
      <c r="T40">
        <v>108</v>
      </c>
      <c r="U40">
        <v>94</v>
      </c>
      <c r="V40">
        <v>67</v>
      </c>
      <c r="W40">
        <v>184</v>
      </c>
      <c r="X40">
        <v>183</v>
      </c>
      <c r="Y40">
        <v>727.5</v>
      </c>
      <c r="Z40">
        <v>24</v>
      </c>
    </row>
    <row r="41" spans="1:26" x14ac:dyDescent="0.25">
      <c r="A41" t="s">
        <v>127</v>
      </c>
      <c r="B41" t="s">
        <v>128</v>
      </c>
      <c r="C41" t="s">
        <v>129</v>
      </c>
      <c r="D41">
        <v>1824</v>
      </c>
      <c r="E41">
        <v>53</v>
      </c>
      <c r="F41">
        <v>32</v>
      </c>
      <c r="G41">
        <v>78</v>
      </c>
      <c r="H41">
        <v>44</v>
      </c>
      <c r="I41">
        <v>96</v>
      </c>
      <c r="J41">
        <v>97</v>
      </c>
      <c r="K41">
        <v>17</v>
      </c>
      <c r="L41">
        <v>101</v>
      </c>
      <c r="M41">
        <v>19.5</v>
      </c>
      <c r="N41">
        <v>30</v>
      </c>
      <c r="O41">
        <v>20</v>
      </c>
      <c r="P41">
        <v>34</v>
      </c>
      <c r="Q41">
        <v>22</v>
      </c>
      <c r="R41">
        <v>197</v>
      </c>
      <c r="S41">
        <v>54.5</v>
      </c>
      <c r="T41">
        <v>115</v>
      </c>
      <c r="U41">
        <v>175</v>
      </c>
      <c r="V41">
        <v>222.5</v>
      </c>
      <c r="W41">
        <v>192</v>
      </c>
      <c r="X41">
        <v>435</v>
      </c>
      <c r="Y41">
        <v>1534.5</v>
      </c>
      <c r="Z41">
        <v>25</v>
      </c>
    </row>
    <row r="42" spans="1:26" x14ac:dyDescent="0.25">
      <c r="A42" t="s">
        <v>130</v>
      </c>
      <c r="B42" t="s">
        <v>131</v>
      </c>
      <c r="C42" t="s">
        <v>132</v>
      </c>
      <c r="D42">
        <v>4615</v>
      </c>
      <c r="E42">
        <v>63</v>
      </c>
      <c r="F42">
        <v>34</v>
      </c>
      <c r="G42">
        <v>109</v>
      </c>
      <c r="H42">
        <v>45</v>
      </c>
      <c r="I42">
        <v>134</v>
      </c>
      <c r="J42">
        <v>117</v>
      </c>
      <c r="K42">
        <v>26</v>
      </c>
      <c r="L42">
        <v>113</v>
      </c>
      <c r="M42">
        <v>23.5</v>
      </c>
      <c r="N42">
        <v>61</v>
      </c>
      <c r="O42">
        <v>22</v>
      </c>
      <c r="P42">
        <v>48</v>
      </c>
      <c r="Q42">
        <v>25.5</v>
      </c>
      <c r="R42">
        <v>346</v>
      </c>
      <c r="S42">
        <v>78.5</v>
      </c>
      <c r="T42">
        <v>132</v>
      </c>
      <c r="U42">
        <v>234</v>
      </c>
      <c r="V42">
        <v>220</v>
      </c>
      <c r="W42">
        <v>293</v>
      </c>
      <c r="X42">
        <v>703</v>
      </c>
      <c r="Y42">
        <v>1902</v>
      </c>
      <c r="Z42">
        <v>35</v>
      </c>
    </row>
    <row r="43" spans="1:26" x14ac:dyDescent="0.25">
      <c r="A43" t="s">
        <v>133</v>
      </c>
      <c r="B43" t="s">
        <v>134</v>
      </c>
      <c r="C43" t="s">
        <v>135</v>
      </c>
      <c r="D43">
        <v>7785</v>
      </c>
      <c r="E43">
        <v>61</v>
      </c>
      <c r="F43">
        <v>39</v>
      </c>
      <c r="G43">
        <v>131.5</v>
      </c>
      <c r="H43">
        <v>56.5</v>
      </c>
      <c r="I43">
        <v>105</v>
      </c>
      <c r="J43">
        <v>132</v>
      </c>
      <c r="K43">
        <v>42.5</v>
      </c>
      <c r="L43">
        <v>140</v>
      </c>
      <c r="M43">
        <v>31</v>
      </c>
      <c r="N43">
        <v>122</v>
      </c>
      <c r="O43">
        <v>35</v>
      </c>
      <c r="P43">
        <v>42</v>
      </c>
      <c r="Q43">
        <v>36.5</v>
      </c>
      <c r="R43">
        <v>301</v>
      </c>
      <c r="S43">
        <v>112</v>
      </c>
      <c r="T43">
        <v>200</v>
      </c>
      <c r="U43">
        <v>228</v>
      </c>
      <c r="V43">
        <v>134.5</v>
      </c>
      <c r="W43">
        <v>255.5</v>
      </c>
      <c r="X43">
        <v>404</v>
      </c>
      <c r="Y43">
        <v>5051</v>
      </c>
      <c r="Z43">
        <v>62</v>
      </c>
    </row>
    <row r="44" spans="1:26" x14ac:dyDescent="0.25">
      <c r="A44" t="s">
        <v>136</v>
      </c>
      <c r="B44" t="s">
        <v>137</v>
      </c>
      <c r="C44" t="s">
        <v>138</v>
      </c>
      <c r="D44">
        <v>7732</v>
      </c>
      <c r="E44">
        <v>153</v>
      </c>
      <c r="F44">
        <v>39.5</v>
      </c>
      <c r="G44">
        <v>117.5</v>
      </c>
      <c r="H44">
        <v>55</v>
      </c>
      <c r="I44">
        <v>333</v>
      </c>
      <c r="J44">
        <v>132</v>
      </c>
      <c r="K44">
        <v>24</v>
      </c>
      <c r="L44">
        <v>98</v>
      </c>
      <c r="M44">
        <v>33</v>
      </c>
      <c r="N44">
        <v>82.5</v>
      </c>
      <c r="O44">
        <v>24</v>
      </c>
      <c r="P44">
        <v>51</v>
      </c>
      <c r="Q44">
        <v>30</v>
      </c>
      <c r="R44">
        <v>724</v>
      </c>
      <c r="S44">
        <v>88</v>
      </c>
      <c r="T44">
        <v>172</v>
      </c>
      <c r="U44">
        <v>1755.5</v>
      </c>
      <c r="V44">
        <v>1507.5</v>
      </c>
      <c r="W44">
        <v>491.5</v>
      </c>
      <c r="X44">
        <v>1689</v>
      </c>
      <c r="Y44">
        <v>4300</v>
      </c>
      <c r="Z44">
        <v>50</v>
      </c>
    </row>
    <row r="45" spans="1:26" x14ac:dyDescent="0.25">
      <c r="A45" t="s">
        <v>139</v>
      </c>
      <c r="B45" t="s">
        <v>140</v>
      </c>
      <c r="C45" t="s">
        <v>141</v>
      </c>
      <c r="D45">
        <v>5300.5</v>
      </c>
      <c r="E45">
        <v>47</v>
      </c>
      <c r="F45">
        <v>33.5</v>
      </c>
      <c r="G45">
        <v>104</v>
      </c>
      <c r="H45">
        <v>43</v>
      </c>
      <c r="I45">
        <v>61</v>
      </c>
      <c r="J45">
        <v>109</v>
      </c>
      <c r="K45">
        <v>31</v>
      </c>
      <c r="L45">
        <v>102</v>
      </c>
      <c r="M45">
        <v>21</v>
      </c>
      <c r="N45">
        <v>78.5</v>
      </c>
      <c r="O45">
        <v>21</v>
      </c>
      <c r="P45">
        <v>47</v>
      </c>
      <c r="Q45">
        <v>32</v>
      </c>
      <c r="R45">
        <v>215</v>
      </c>
      <c r="S45">
        <v>80</v>
      </c>
      <c r="T45">
        <v>140.5</v>
      </c>
      <c r="U45">
        <v>103</v>
      </c>
      <c r="V45">
        <v>136</v>
      </c>
      <c r="W45">
        <v>186</v>
      </c>
      <c r="X45">
        <v>189.5</v>
      </c>
      <c r="Y45">
        <v>809.5</v>
      </c>
      <c r="Z45">
        <v>36</v>
      </c>
    </row>
    <row r="46" spans="1:26" x14ac:dyDescent="0.25">
      <c r="A46" t="s">
        <v>142</v>
      </c>
      <c r="B46" t="s">
        <v>143</v>
      </c>
      <c r="C46" t="s">
        <v>144</v>
      </c>
      <c r="D46">
        <v>6034</v>
      </c>
      <c r="E46">
        <v>61</v>
      </c>
      <c r="F46">
        <v>34</v>
      </c>
      <c r="G46">
        <v>100</v>
      </c>
      <c r="H46">
        <v>48</v>
      </c>
      <c r="I46">
        <v>95</v>
      </c>
      <c r="J46">
        <v>109</v>
      </c>
      <c r="K46">
        <v>21</v>
      </c>
      <c r="L46">
        <v>114</v>
      </c>
      <c r="M46">
        <v>22</v>
      </c>
      <c r="N46">
        <v>51</v>
      </c>
      <c r="O46">
        <v>25</v>
      </c>
      <c r="P46">
        <v>47</v>
      </c>
      <c r="Q46">
        <v>24</v>
      </c>
      <c r="R46">
        <v>235.5</v>
      </c>
      <c r="S46">
        <v>70</v>
      </c>
      <c r="T46">
        <v>138</v>
      </c>
      <c r="U46">
        <v>455</v>
      </c>
      <c r="V46">
        <v>342</v>
      </c>
      <c r="W46">
        <v>287.5</v>
      </c>
      <c r="X46">
        <v>791</v>
      </c>
      <c r="Y46">
        <v>2890</v>
      </c>
      <c r="Z46">
        <v>34</v>
      </c>
    </row>
    <row r="47" spans="1:26" x14ac:dyDescent="0.25">
      <c r="A47" t="s">
        <v>145</v>
      </c>
      <c r="B47" t="s">
        <v>146</v>
      </c>
      <c r="C47" t="s">
        <v>147</v>
      </c>
      <c r="D47">
        <v>4171.5</v>
      </c>
      <c r="E47">
        <v>51</v>
      </c>
      <c r="F47">
        <v>32.5</v>
      </c>
      <c r="G47">
        <v>115</v>
      </c>
      <c r="H47">
        <v>44</v>
      </c>
      <c r="I47">
        <v>78</v>
      </c>
      <c r="J47">
        <v>109</v>
      </c>
      <c r="K47">
        <v>28</v>
      </c>
      <c r="L47">
        <v>120</v>
      </c>
      <c r="M47">
        <v>23</v>
      </c>
      <c r="N47">
        <v>78</v>
      </c>
      <c r="O47">
        <v>24</v>
      </c>
      <c r="P47">
        <v>42</v>
      </c>
      <c r="Q47">
        <v>27</v>
      </c>
      <c r="R47">
        <v>218</v>
      </c>
      <c r="S47">
        <v>76.5</v>
      </c>
      <c r="T47">
        <v>146</v>
      </c>
      <c r="U47">
        <v>90</v>
      </c>
      <c r="V47">
        <v>144</v>
      </c>
      <c r="W47">
        <v>208</v>
      </c>
      <c r="X47">
        <v>352</v>
      </c>
      <c r="Y47">
        <v>829.5</v>
      </c>
      <c r="Z47">
        <v>34</v>
      </c>
    </row>
    <row r="48" spans="1:26" x14ac:dyDescent="0.25">
      <c r="A48" t="s">
        <v>148</v>
      </c>
      <c r="B48" t="s">
        <v>149</v>
      </c>
      <c r="C48" t="s">
        <v>150</v>
      </c>
      <c r="D48">
        <v>4359</v>
      </c>
      <c r="E48">
        <v>56.5</v>
      </c>
      <c r="F48">
        <v>37</v>
      </c>
      <c r="G48">
        <v>139</v>
      </c>
      <c r="H48">
        <v>59</v>
      </c>
      <c r="I48">
        <v>94</v>
      </c>
      <c r="J48">
        <v>134</v>
      </c>
      <c r="K48">
        <v>52</v>
      </c>
      <c r="L48">
        <v>124</v>
      </c>
      <c r="M48">
        <v>30.5</v>
      </c>
      <c r="N48">
        <v>128</v>
      </c>
      <c r="O48">
        <v>34</v>
      </c>
      <c r="P48">
        <v>54</v>
      </c>
      <c r="Q48">
        <v>42</v>
      </c>
      <c r="R48">
        <v>314.5</v>
      </c>
      <c r="S48">
        <v>116</v>
      </c>
      <c r="T48">
        <v>211</v>
      </c>
      <c r="U48">
        <v>159</v>
      </c>
      <c r="V48">
        <v>94</v>
      </c>
      <c r="W48">
        <v>220.5</v>
      </c>
      <c r="X48">
        <v>382.5</v>
      </c>
      <c r="Y48">
        <v>2314.5</v>
      </c>
      <c r="Z48">
        <v>62</v>
      </c>
    </row>
    <row r="49" spans="1:26" x14ac:dyDescent="0.25">
      <c r="A49" t="s">
        <v>151</v>
      </c>
      <c r="B49" t="s">
        <v>152</v>
      </c>
      <c r="C49" t="s">
        <v>153</v>
      </c>
      <c r="D49">
        <v>8052</v>
      </c>
      <c r="E49">
        <v>59</v>
      </c>
      <c r="F49">
        <v>45.5</v>
      </c>
      <c r="G49">
        <v>146</v>
      </c>
      <c r="H49">
        <v>54.5</v>
      </c>
      <c r="I49">
        <v>194</v>
      </c>
      <c r="J49">
        <v>142</v>
      </c>
      <c r="K49">
        <v>45</v>
      </c>
      <c r="L49">
        <v>110</v>
      </c>
      <c r="M49">
        <v>29</v>
      </c>
      <c r="N49">
        <v>119</v>
      </c>
      <c r="O49">
        <v>30</v>
      </c>
      <c r="P49">
        <v>59</v>
      </c>
      <c r="Q49">
        <v>63</v>
      </c>
      <c r="R49">
        <v>366.5</v>
      </c>
      <c r="S49">
        <v>107</v>
      </c>
      <c r="T49">
        <v>308</v>
      </c>
      <c r="U49">
        <v>325</v>
      </c>
      <c r="V49">
        <v>339</v>
      </c>
      <c r="W49">
        <v>379</v>
      </c>
      <c r="X49">
        <v>1066</v>
      </c>
      <c r="Y49">
        <v>3867</v>
      </c>
      <c r="Z49">
        <v>55</v>
      </c>
    </row>
    <row r="50" spans="1:26" x14ac:dyDescent="0.25">
      <c r="A50" t="s">
        <v>154</v>
      </c>
      <c r="B50" t="s">
        <v>155</v>
      </c>
      <c r="C50" t="s">
        <v>156</v>
      </c>
      <c r="D50">
        <v>6889.5</v>
      </c>
      <c r="E50">
        <v>59.5</v>
      </c>
      <c r="F50">
        <v>36</v>
      </c>
      <c r="G50">
        <v>114</v>
      </c>
      <c r="H50">
        <v>52.5</v>
      </c>
      <c r="I50">
        <v>145</v>
      </c>
      <c r="J50">
        <v>126.5</v>
      </c>
      <c r="K50">
        <v>33</v>
      </c>
      <c r="L50">
        <v>90</v>
      </c>
      <c r="M50">
        <v>28</v>
      </c>
      <c r="N50">
        <v>76</v>
      </c>
      <c r="O50">
        <v>29.5</v>
      </c>
      <c r="P50">
        <v>46</v>
      </c>
      <c r="Q50">
        <v>28</v>
      </c>
      <c r="R50">
        <v>333</v>
      </c>
      <c r="S50">
        <v>86</v>
      </c>
      <c r="T50">
        <v>147</v>
      </c>
      <c r="U50">
        <v>1563</v>
      </c>
      <c r="V50">
        <v>401.5</v>
      </c>
      <c r="W50">
        <v>258</v>
      </c>
      <c r="X50">
        <v>577</v>
      </c>
      <c r="Y50">
        <v>4264</v>
      </c>
      <c r="Z50">
        <v>49</v>
      </c>
    </row>
    <row r="51" spans="1:26" x14ac:dyDescent="0.25">
      <c r="A51" t="s">
        <v>157</v>
      </c>
      <c r="B51" t="s">
        <v>158</v>
      </c>
      <c r="C51" t="s">
        <v>159</v>
      </c>
      <c r="D51">
        <v>4602.5</v>
      </c>
      <c r="E51">
        <v>52</v>
      </c>
      <c r="F51">
        <v>33.5</v>
      </c>
      <c r="G51">
        <v>102</v>
      </c>
      <c r="H51">
        <v>46</v>
      </c>
      <c r="I51">
        <v>113</v>
      </c>
      <c r="J51">
        <v>123</v>
      </c>
      <c r="K51">
        <v>21</v>
      </c>
      <c r="L51">
        <v>92</v>
      </c>
      <c r="M51">
        <v>20</v>
      </c>
      <c r="N51">
        <v>50</v>
      </c>
      <c r="O51">
        <v>23</v>
      </c>
      <c r="P51">
        <v>48</v>
      </c>
      <c r="Q51">
        <v>23</v>
      </c>
      <c r="R51">
        <v>343</v>
      </c>
      <c r="S51">
        <v>73.5</v>
      </c>
      <c r="T51">
        <v>137</v>
      </c>
      <c r="U51">
        <v>186</v>
      </c>
      <c r="V51">
        <v>120</v>
      </c>
      <c r="W51">
        <v>207</v>
      </c>
      <c r="X51">
        <v>182.5</v>
      </c>
      <c r="Y51">
        <v>1194</v>
      </c>
      <c r="Z51">
        <v>43</v>
      </c>
    </row>
    <row r="52" spans="1:26" x14ac:dyDescent="0.25">
      <c r="A52" t="s">
        <v>160</v>
      </c>
      <c r="B52" t="s">
        <v>161</v>
      </c>
      <c r="C52" t="s">
        <v>162</v>
      </c>
      <c r="D52">
        <v>3054</v>
      </c>
      <c r="E52">
        <v>676</v>
      </c>
      <c r="F52">
        <v>84</v>
      </c>
      <c r="G52">
        <v>164.5</v>
      </c>
      <c r="H52">
        <v>93</v>
      </c>
      <c r="I52">
        <v>1212.5</v>
      </c>
      <c r="J52">
        <v>221</v>
      </c>
      <c r="K52">
        <v>34</v>
      </c>
      <c r="L52">
        <v>99</v>
      </c>
      <c r="M52">
        <v>91</v>
      </c>
      <c r="N52">
        <v>66</v>
      </c>
      <c r="O52">
        <v>41</v>
      </c>
      <c r="P52">
        <v>70</v>
      </c>
      <c r="Q52">
        <v>90.5</v>
      </c>
      <c r="R52">
        <v>7611</v>
      </c>
      <c r="S52">
        <v>101</v>
      </c>
      <c r="T52">
        <v>314.5</v>
      </c>
      <c r="U52">
        <v>2636.5</v>
      </c>
      <c r="V52">
        <v>13248.5</v>
      </c>
      <c r="W52">
        <v>7877.5</v>
      </c>
      <c r="X52">
        <v>10707</v>
      </c>
      <c r="Y52">
        <v>13494</v>
      </c>
      <c r="Z52">
        <v>80.5</v>
      </c>
    </row>
    <row r="53" spans="1:26" x14ac:dyDescent="0.25">
      <c r="A53" t="s">
        <v>163</v>
      </c>
      <c r="B53" t="s">
        <v>164</v>
      </c>
      <c r="C53" t="s">
        <v>165</v>
      </c>
      <c r="D53">
        <v>6227</v>
      </c>
      <c r="E53">
        <v>336.5</v>
      </c>
      <c r="F53">
        <v>46</v>
      </c>
      <c r="G53">
        <v>158</v>
      </c>
      <c r="H53">
        <v>71</v>
      </c>
      <c r="I53">
        <v>472</v>
      </c>
      <c r="J53">
        <v>185</v>
      </c>
      <c r="K53">
        <v>43.5</v>
      </c>
      <c r="L53">
        <v>106</v>
      </c>
      <c r="M53">
        <v>43</v>
      </c>
      <c r="N53">
        <v>146.5</v>
      </c>
      <c r="O53">
        <v>39.5</v>
      </c>
      <c r="P53">
        <v>58</v>
      </c>
      <c r="Q53">
        <v>52</v>
      </c>
      <c r="R53">
        <v>1290</v>
      </c>
      <c r="S53">
        <v>121</v>
      </c>
      <c r="T53">
        <v>158.5</v>
      </c>
      <c r="U53">
        <v>1140.5</v>
      </c>
      <c r="V53">
        <v>1738</v>
      </c>
      <c r="W53">
        <v>640</v>
      </c>
      <c r="X53">
        <v>2119.5</v>
      </c>
      <c r="Y53">
        <v>6328.5</v>
      </c>
      <c r="Z53">
        <v>88.5</v>
      </c>
    </row>
    <row r="54" spans="1:26" x14ac:dyDescent="0.25">
      <c r="A54" t="s">
        <v>166</v>
      </c>
      <c r="B54" t="s">
        <v>167</v>
      </c>
      <c r="C54" t="s">
        <v>168</v>
      </c>
      <c r="D54">
        <v>12608</v>
      </c>
      <c r="E54">
        <v>497.5</v>
      </c>
      <c r="F54">
        <v>57</v>
      </c>
      <c r="G54">
        <v>159.5</v>
      </c>
      <c r="H54">
        <v>108</v>
      </c>
      <c r="I54">
        <v>1944</v>
      </c>
      <c r="J54">
        <v>207.5</v>
      </c>
      <c r="K54">
        <v>42</v>
      </c>
      <c r="L54">
        <v>96</v>
      </c>
      <c r="M54">
        <v>72</v>
      </c>
      <c r="N54">
        <v>91</v>
      </c>
      <c r="O54">
        <v>34</v>
      </c>
      <c r="P54">
        <v>70</v>
      </c>
      <c r="Q54">
        <v>90</v>
      </c>
      <c r="R54">
        <v>1409</v>
      </c>
      <c r="S54">
        <v>138</v>
      </c>
      <c r="T54">
        <v>404.5</v>
      </c>
      <c r="U54">
        <v>1733</v>
      </c>
      <c r="V54">
        <v>6324</v>
      </c>
      <c r="W54">
        <v>3104</v>
      </c>
      <c r="X54">
        <v>9132</v>
      </c>
      <c r="Y54">
        <v>9554</v>
      </c>
      <c r="Z54">
        <v>65</v>
      </c>
    </row>
    <row r="55" spans="1:26" x14ac:dyDescent="0.25">
      <c r="A55" t="s">
        <v>169</v>
      </c>
      <c r="B55" t="s">
        <v>170</v>
      </c>
      <c r="C55" t="s">
        <v>171</v>
      </c>
      <c r="D55">
        <v>6065</v>
      </c>
      <c r="E55">
        <v>54</v>
      </c>
      <c r="F55">
        <v>37</v>
      </c>
      <c r="G55">
        <v>136</v>
      </c>
      <c r="H55">
        <v>51</v>
      </c>
      <c r="I55">
        <v>116.5</v>
      </c>
      <c r="J55">
        <v>125</v>
      </c>
      <c r="K55">
        <v>41</v>
      </c>
      <c r="L55">
        <v>123</v>
      </c>
      <c r="M55">
        <v>29</v>
      </c>
      <c r="N55">
        <v>100</v>
      </c>
      <c r="O55">
        <v>29</v>
      </c>
      <c r="P55">
        <v>48</v>
      </c>
      <c r="Q55">
        <v>35</v>
      </c>
      <c r="R55">
        <v>308</v>
      </c>
      <c r="S55">
        <v>114</v>
      </c>
      <c r="T55">
        <v>176</v>
      </c>
      <c r="U55">
        <v>140</v>
      </c>
      <c r="V55">
        <v>124</v>
      </c>
      <c r="W55">
        <v>245</v>
      </c>
      <c r="X55">
        <v>360</v>
      </c>
      <c r="Y55">
        <v>2661.5</v>
      </c>
      <c r="Z55">
        <v>52</v>
      </c>
    </row>
    <row r="56" spans="1:26" x14ac:dyDescent="0.25">
      <c r="A56" t="s">
        <v>172</v>
      </c>
      <c r="B56" t="s">
        <v>173</v>
      </c>
      <c r="C56" t="s">
        <v>174</v>
      </c>
      <c r="D56">
        <v>5173</v>
      </c>
      <c r="E56">
        <v>56</v>
      </c>
      <c r="F56">
        <v>38</v>
      </c>
      <c r="G56">
        <v>134</v>
      </c>
      <c r="H56">
        <v>56.5</v>
      </c>
      <c r="I56">
        <v>75</v>
      </c>
      <c r="J56">
        <v>121.5</v>
      </c>
      <c r="K56">
        <v>47</v>
      </c>
      <c r="L56">
        <v>106</v>
      </c>
      <c r="M56">
        <v>29</v>
      </c>
      <c r="N56">
        <v>147</v>
      </c>
      <c r="O56">
        <v>29.5</v>
      </c>
      <c r="P56">
        <v>42</v>
      </c>
      <c r="Q56">
        <v>36</v>
      </c>
      <c r="R56">
        <v>296.5</v>
      </c>
      <c r="S56">
        <v>110</v>
      </c>
      <c r="T56">
        <v>242</v>
      </c>
      <c r="U56">
        <v>106</v>
      </c>
      <c r="V56">
        <v>72.5</v>
      </c>
      <c r="W56">
        <v>216</v>
      </c>
      <c r="X56">
        <v>163</v>
      </c>
      <c r="Y56">
        <v>1580.5</v>
      </c>
      <c r="Z56">
        <v>55</v>
      </c>
    </row>
    <row r="57" spans="1:26" x14ac:dyDescent="0.25">
      <c r="A57" t="s">
        <v>175</v>
      </c>
      <c r="B57" t="s">
        <v>176</v>
      </c>
      <c r="C57" t="s">
        <v>177</v>
      </c>
      <c r="D57">
        <v>4900</v>
      </c>
      <c r="E57">
        <v>165</v>
      </c>
      <c r="F57">
        <v>39</v>
      </c>
      <c r="G57">
        <v>140.5</v>
      </c>
      <c r="H57">
        <v>58</v>
      </c>
      <c r="I57">
        <v>464</v>
      </c>
      <c r="J57">
        <v>144.5</v>
      </c>
      <c r="K57">
        <v>36</v>
      </c>
      <c r="L57">
        <v>114</v>
      </c>
      <c r="M57">
        <v>33</v>
      </c>
      <c r="N57">
        <v>148</v>
      </c>
      <c r="O57">
        <v>31</v>
      </c>
      <c r="P57">
        <v>40</v>
      </c>
      <c r="Q57">
        <v>44</v>
      </c>
      <c r="R57">
        <v>554</v>
      </c>
      <c r="S57">
        <v>114</v>
      </c>
      <c r="T57">
        <v>273.5</v>
      </c>
      <c r="U57">
        <v>564</v>
      </c>
      <c r="V57">
        <v>1994</v>
      </c>
      <c r="W57">
        <v>773</v>
      </c>
      <c r="X57">
        <v>5126.5</v>
      </c>
      <c r="Y57">
        <v>7797</v>
      </c>
      <c r="Z57">
        <v>53</v>
      </c>
    </row>
    <row r="58" spans="1:26" x14ac:dyDescent="0.25">
      <c r="A58" t="s">
        <v>178</v>
      </c>
      <c r="B58" t="s">
        <v>179</v>
      </c>
      <c r="C58" t="s">
        <v>180</v>
      </c>
      <c r="D58">
        <v>525</v>
      </c>
      <c r="E58">
        <v>22</v>
      </c>
      <c r="F58">
        <v>1.5</v>
      </c>
      <c r="G58">
        <v>28</v>
      </c>
      <c r="H58">
        <v>15.5</v>
      </c>
      <c r="I58">
        <v>61</v>
      </c>
      <c r="J58">
        <v>45</v>
      </c>
      <c r="K58">
        <v>1</v>
      </c>
      <c r="L58">
        <v>27</v>
      </c>
      <c r="M58">
        <v>21</v>
      </c>
      <c r="N58">
        <v>65</v>
      </c>
      <c r="O58">
        <v>5</v>
      </c>
      <c r="P58">
        <v>15</v>
      </c>
      <c r="Q58">
        <v>27</v>
      </c>
      <c r="R58">
        <v>8</v>
      </c>
      <c r="S58">
        <v>11</v>
      </c>
      <c r="T58">
        <v>49</v>
      </c>
      <c r="U58">
        <v>15</v>
      </c>
      <c r="V58">
        <v>40</v>
      </c>
      <c r="W58">
        <v>48</v>
      </c>
      <c r="X58">
        <v>75</v>
      </c>
      <c r="Y58">
        <v>95</v>
      </c>
      <c r="Z58">
        <v>1.5</v>
      </c>
    </row>
    <row r="59" spans="1:26" x14ac:dyDescent="0.25">
      <c r="A59" t="s">
        <v>181</v>
      </c>
      <c r="B59" t="s">
        <v>182</v>
      </c>
      <c r="C59" t="s">
        <v>183</v>
      </c>
      <c r="D59">
        <v>4644</v>
      </c>
      <c r="E59">
        <v>56</v>
      </c>
      <c r="F59">
        <v>44</v>
      </c>
      <c r="G59">
        <v>145</v>
      </c>
      <c r="H59">
        <v>64</v>
      </c>
      <c r="I59">
        <v>140.5</v>
      </c>
      <c r="J59">
        <v>156</v>
      </c>
      <c r="K59">
        <v>58</v>
      </c>
      <c r="L59">
        <v>159.5</v>
      </c>
      <c r="M59">
        <v>40.5</v>
      </c>
      <c r="N59">
        <v>160</v>
      </c>
      <c r="O59">
        <v>54</v>
      </c>
      <c r="P59">
        <v>45</v>
      </c>
      <c r="Q59">
        <v>40</v>
      </c>
      <c r="R59">
        <v>363</v>
      </c>
      <c r="S59">
        <v>113</v>
      </c>
      <c r="T59">
        <v>295.5</v>
      </c>
      <c r="U59">
        <v>135</v>
      </c>
      <c r="V59">
        <v>71</v>
      </c>
      <c r="W59">
        <v>209</v>
      </c>
      <c r="X59">
        <v>214</v>
      </c>
      <c r="Y59">
        <v>2283</v>
      </c>
      <c r="Z59">
        <v>86.5</v>
      </c>
    </row>
    <row r="60" spans="1:26" x14ac:dyDescent="0.25">
      <c r="A60" t="s">
        <v>184</v>
      </c>
      <c r="B60" t="s">
        <v>185</v>
      </c>
      <c r="C60" t="s">
        <v>186</v>
      </c>
      <c r="D60">
        <v>14070</v>
      </c>
      <c r="E60">
        <v>2295.5</v>
      </c>
      <c r="F60">
        <v>99</v>
      </c>
      <c r="G60">
        <v>171</v>
      </c>
      <c r="H60">
        <v>116</v>
      </c>
      <c r="I60">
        <v>1288</v>
      </c>
      <c r="J60">
        <v>286.5</v>
      </c>
      <c r="K60">
        <v>52</v>
      </c>
      <c r="L60">
        <v>115</v>
      </c>
      <c r="M60">
        <v>145</v>
      </c>
      <c r="N60">
        <v>67</v>
      </c>
      <c r="O60">
        <v>43.5</v>
      </c>
      <c r="P60">
        <v>103</v>
      </c>
      <c r="Q60">
        <v>183</v>
      </c>
      <c r="R60">
        <v>3879</v>
      </c>
      <c r="S60">
        <v>137</v>
      </c>
      <c r="T60">
        <v>631</v>
      </c>
      <c r="U60">
        <v>7579</v>
      </c>
      <c r="V60">
        <v>14894</v>
      </c>
      <c r="W60">
        <v>9992.5</v>
      </c>
      <c r="X60">
        <v>14641</v>
      </c>
      <c r="Y60">
        <v>9929</v>
      </c>
      <c r="Z60">
        <v>108</v>
      </c>
    </row>
    <row r="61" spans="1:26" x14ac:dyDescent="0.25">
      <c r="A61" t="s">
        <v>187</v>
      </c>
      <c r="B61" t="s">
        <v>188</v>
      </c>
      <c r="C61" t="s">
        <v>189</v>
      </c>
      <c r="D61">
        <v>6570</v>
      </c>
      <c r="E61">
        <v>49</v>
      </c>
      <c r="F61">
        <v>39</v>
      </c>
      <c r="G61">
        <v>120.5</v>
      </c>
      <c r="H61">
        <v>51</v>
      </c>
      <c r="I61">
        <v>70.5</v>
      </c>
      <c r="J61">
        <v>135</v>
      </c>
      <c r="K61">
        <v>34</v>
      </c>
      <c r="L61">
        <v>119</v>
      </c>
      <c r="M61">
        <v>27.5</v>
      </c>
      <c r="N61">
        <v>155</v>
      </c>
      <c r="O61">
        <v>27</v>
      </c>
      <c r="P61">
        <v>45</v>
      </c>
      <c r="Q61">
        <v>36.5</v>
      </c>
      <c r="R61">
        <v>224</v>
      </c>
      <c r="S61">
        <v>114</v>
      </c>
      <c r="T61">
        <v>208.5</v>
      </c>
      <c r="U61">
        <v>115</v>
      </c>
      <c r="V61">
        <v>92.5</v>
      </c>
      <c r="W61">
        <v>225</v>
      </c>
      <c r="X61">
        <v>277</v>
      </c>
      <c r="Y61">
        <v>2008</v>
      </c>
      <c r="Z61">
        <v>55</v>
      </c>
    </row>
    <row r="62" spans="1:26" x14ac:dyDescent="0.25">
      <c r="A62" t="s">
        <v>190</v>
      </c>
      <c r="B62" t="s">
        <v>191</v>
      </c>
      <c r="C62" t="s">
        <v>192</v>
      </c>
      <c r="D62">
        <v>5635</v>
      </c>
      <c r="E62">
        <v>40</v>
      </c>
      <c r="F62">
        <v>31</v>
      </c>
      <c r="G62">
        <v>123</v>
      </c>
      <c r="H62">
        <v>44</v>
      </c>
      <c r="I62">
        <v>98</v>
      </c>
      <c r="J62">
        <v>108.5</v>
      </c>
      <c r="K62">
        <v>33</v>
      </c>
      <c r="L62">
        <v>102.5</v>
      </c>
      <c r="M62">
        <v>22</v>
      </c>
      <c r="N62">
        <v>95</v>
      </c>
      <c r="O62">
        <v>28.5</v>
      </c>
      <c r="P62">
        <v>32</v>
      </c>
      <c r="Q62">
        <v>27</v>
      </c>
      <c r="R62">
        <v>213</v>
      </c>
      <c r="S62">
        <v>91</v>
      </c>
      <c r="T62">
        <v>197.5</v>
      </c>
      <c r="U62">
        <v>118</v>
      </c>
      <c r="V62">
        <v>73.5</v>
      </c>
      <c r="W62">
        <v>196</v>
      </c>
      <c r="X62">
        <v>257</v>
      </c>
      <c r="Y62">
        <v>1698</v>
      </c>
      <c r="Z62">
        <v>44</v>
      </c>
    </row>
    <row r="63" spans="1:26" x14ac:dyDescent="0.25">
      <c r="A63" t="s">
        <v>193</v>
      </c>
      <c r="B63" t="s">
        <v>194</v>
      </c>
      <c r="C63" t="s">
        <v>195</v>
      </c>
      <c r="D63">
        <v>6876</v>
      </c>
      <c r="E63">
        <v>181</v>
      </c>
      <c r="F63">
        <v>47.5</v>
      </c>
      <c r="G63">
        <v>116</v>
      </c>
      <c r="H63">
        <v>65</v>
      </c>
      <c r="I63">
        <v>497</v>
      </c>
      <c r="J63">
        <v>147</v>
      </c>
      <c r="K63">
        <v>24.5</v>
      </c>
      <c r="L63">
        <v>102.5</v>
      </c>
      <c r="M63">
        <v>34</v>
      </c>
      <c r="N63">
        <v>53</v>
      </c>
      <c r="O63">
        <v>27.5</v>
      </c>
      <c r="P63">
        <v>47</v>
      </c>
      <c r="Q63">
        <v>36</v>
      </c>
      <c r="R63">
        <v>690</v>
      </c>
      <c r="S63">
        <v>78</v>
      </c>
      <c r="T63">
        <v>246</v>
      </c>
      <c r="U63">
        <v>619</v>
      </c>
      <c r="V63">
        <v>1469</v>
      </c>
      <c r="W63">
        <v>1884.5</v>
      </c>
      <c r="X63">
        <v>5256</v>
      </c>
      <c r="Y63">
        <v>11022.5</v>
      </c>
      <c r="Z63">
        <v>42</v>
      </c>
    </row>
    <row r="64" spans="1:26" x14ac:dyDescent="0.25">
      <c r="A64" t="s">
        <v>196</v>
      </c>
      <c r="B64" t="s">
        <v>197</v>
      </c>
      <c r="C64" t="s">
        <v>198</v>
      </c>
      <c r="D64">
        <v>5282.5</v>
      </c>
      <c r="E64">
        <v>49</v>
      </c>
      <c r="F64">
        <v>37</v>
      </c>
      <c r="G64">
        <v>156.5</v>
      </c>
      <c r="H64">
        <v>52</v>
      </c>
      <c r="I64">
        <v>80.5</v>
      </c>
      <c r="J64">
        <v>144</v>
      </c>
      <c r="K64">
        <v>46</v>
      </c>
      <c r="L64">
        <v>113</v>
      </c>
      <c r="M64">
        <v>29.5</v>
      </c>
      <c r="N64">
        <v>183</v>
      </c>
      <c r="O64">
        <v>27</v>
      </c>
      <c r="P64">
        <v>38</v>
      </c>
      <c r="Q64">
        <v>42</v>
      </c>
      <c r="R64">
        <v>278</v>
      </c>
      <c r="S64">
        <v>130</v>
      </c>
      <c r="T64">
        <v>312.5</v>
      </c>
      <c r="U64">
        <v>133</v>
      </c>
      <c r="V64">
        <v>65</v>
      </c>
      <c r="W64">
        <v>216</v>
      </c>
      <c r="X64">
        <v>342.5</v>
      </c>
      <c r="Y64">
        <v>4116</v>
      </c>
      <c r="Z64">
        <v>57</v>
      </c>
    </row>
    <row r="65" spans="1:26" x14ac:dyDescent="0.25">
      <c r="A65" t="s">
        <v>199</v>
      </c>
      <c r="B65" t="s">
        <v>200</v>
      </c>
      <c r="C65" t="s">
        <v>201</v>
      </c>
      <c r="D65">
        <v>3774.5</v>
      </c>
      <c r="E65">
        <v>50</v>
      </c>
      <c r="F65">
        <v>37</v>
      </c>
      <c r="G65">
        <v>144</v>
      </c>
      <c r="H65">
        <v>52.5</v>
      </c>
      <c r="I65">
        <v>86</v>
      </c>
      <c r="J65">
        <v>133</v>
      </c>
      <c r="K65">
        <v>39</v>
      </c>
      <c r="L65">
        <v>108</v>
      </c>
      <c r="M65">
        <v>27</v>
      </c>
      <c r="N65">
        <v>144</v>
      </c>
      <c r="O65">
        <v>31</v>
      </c>
      <c r="P65">
        <v>41</v>
      </c>
      <c r="Q65">
        <v>35</v>
      </c>
      <c r="R65">
        <v>317.5</v>
      </c>
      <c r="S65">
        <v>118.5</v>
      </c>
      <c r="T65">
        <v>258.5</v>
      </c>
      <c r="U65">
        <v>126</v>
      </c>
      <c r="V65">
        <v>82.5</v>
      </c>
      <c r="W65">
        <v>274</v>
      </c>
      <c r="X65">
        <v>625</v>
      </c>
      <c r="Y65">
        <v>6262</v>
      </c>
      <c r="Z65">
        <v>51</v>
      </c>
    </row>
    <row r="66" spans="1:26" x14ac:dyDescent="0.25">
      <c r="A66" t="s">
        <v>202</v>
      </c>
      <c r="B66" t="s">
        <v>203</v>
      </c>
      <c r="C66" t="s">
        <v>204</v>
      </c>
      <c r="D66">
        <v>5512</v>
      </c>
      <c r="E66">
        <v>352</v>
      </c>
      <c r="F66">
        <v>59</v>
      </c>
      <c r="G66">
        <v>230</v>
      </c>
      <c r="H66">
        <v>489.5</v>
      </c>
      <c r="I66">
        <v>1632</v>
      </c>
      <c r="J66">
        <v>221</v>
      </c>
      <c r="K66">
        <v>42</v>
      </c>
      <c r="L66">
        <v>109</v>
      </c>
      <c r="M66">
        <v>98</v>
      </c>
      <c r="N66">
        <v>111.5</v>
      </c>
      <c r="O66">
        <v>46</v>
      </c>
      <c r="P66">
        <v>75</v>
      </c>
      <c r="Q66">
        <v>84</v>
      </c>
      <c r="R66">
        <v>2816</v>
      </c>
      <c r="S66">
        <v>117</v>
      </c>
      <c r="T66">
        <v>268</v>
      </c>
      <c r="U66">
        <v>1338.5</v>
      </c>
      <c r="V66">
        <v>15971</v>
      </c>
      <c r="W66">
        <v>11509</v>
      </c>
      <c r="X66">
        <v>19587</v>
      </c>
      <c r="Y66">
        <v>20038</v>
      </c>
      <c r="Z66">
        <v>93</v>
      </c>
    </row>
    <row r="67" spans="1:26" x14ac:dyDescent="0.25">
      <c r="A67" t="s">
        <v>205</v>
      </c>
      <c r="B67" t="s">
        <v>206</v>
      </c>
      <c r="C67" t="s">
        <v>207</v>
      </c>
      <c r="D67">
        <v>3328.5</v>
      </c>
      <c r="E67">
        <v>32.5</v>
      </c>
      <c r="F67">
        <v>30</v>
      </c>
      <c r="G67">
        <v>131</v>
      </c>
      <c r="H67">
        <v>42.5</v>
      </c>
      <c r="I67">
        <v>83</v>
      </c>
      <c r="J67">
        <v>115.5</v>
      </c>
      <c r="K67">
        <v>35.5</v>
      </c>
      <c r="L67">
        <v>34</v>
      </c>
      <c r="M67">
        <v>23</v>
      </c>
      <c r="N67">
        <v>69.5</v>
      </c>
      <c r="O67">
        <v>20</v>
      </c>
      <c r="P67">
        <v>42</v>
      </c>
      <c r="Q67">
        <v>46</v>
      </c>
      <c r="R67">
        <v>247</v>
      </c>
      <c r="S67">
        <v>97</v>
      </c>
      <c r="T67">
        <v>168</v>
      </c>
      <c r="U67">
        <v>249</v>
      </c>
      <c r="V67">
        <v>122</v>
      </c>
      <c r="W67">
        <v>248</v>
      </c>
      <c r="X67">
        <v>952.5</v>
      </c>
      <c r="Y67">
        <v>2909</v>
      </c>
      <c r="Z67">
        <v>33.5</v>
      </c>
    </row>
    <row r="68" spans="1:26" x14ac:dyDescent="0.25">
      <c r="A68" t="s">
        <v>208</v>
      </c>
      <c r="B68" t="s">
        <v>209</v>
      </c>
      <c r="C68" t="s">
        <v>210</v>
      </c>
      <c r="D68">
        <v>9231</v>
      </c>
      <c r="E68">
        <v>465.5</v>
      </c>
      <c r="F68">
        <v>50</v>
      </c>
      <c r="G68">
        <v>161</v>
      </c>
      <c r="H68">
        <v>72</v>
      </c>
      <c r="I68">
        <v>515</v>
      </c>
      <c r="J68">
        <v>167</v>
      </c>
      <c r="K68">
        <v>44</v>
      </c>
      <c r="L68">
        <v>113.5</v>
      </c>
      <c r="M68">
        <v>48</v>
      </c>
      <c r="N68">
        <v>113</v>
      </c>
      <c r="O68">
        <v>36</v>
      </c>
      <c r="P68">
        <v>64</v>
      </c>
      <c r="Q68">
        <v>66</v>
      </c>
      <c r="R68">
        <v>1168</v>
      </c>
      <c r="S68">
        <v>145</v>
      </c>
      <c r="T68">
        <v>232</v>
      </c>
      <c r="U68">
        <v>1005</v>
      </c>
      <c r="V68">
        <v>2834</v>
      </c>
      <c r="W68">
        <v>1547</v>
      </c>
      <c r="X68">
        <v>5735</v>
      </c>
      <c r="Y68">
        <v>10204</v>
      </c>
      <c r="Z68">
        <v>65</v>
      </c>
    </row>
    <row r="69" spans="1:26" x14ac:dyDescent="0.25">
      <c r="A69" t="s">
        <v>211</v>
      </c>
      <c r="B69" t="s">
        <v>212</v>
      </c>
      <c r="C69" t="s">
        <v>213</v>
      </c>
      <c r="D69">
        <v>7040</v>
      </c>
      <c r="E69">
        <v>47</v>
      </c>
      <c r="F69">
        <v>33</v>
      </c>
      <c r="G69">
        <v>129</v>
      </c>
      <c r="H69">
        <v>50.5</v>
      </c>
      <c r="I69">
        <v>122</v>
      </c>
      <c r="J69">
        <v>134.5</v>
      </c>
      <c r="K69">
        <v>30</v>
      </c>
      <c r="L69">
        <v>99</v>
      </c>
      <c r="M69">
        <v>26</v>
      </c>
      <c r="N69">
        <v>145</v>
      </c>
      <c r="O69">
        <v>23</v>
      </c>
      <c r="P69">
        <v>46</v>
      </c>
      <c r="Q69">
        <v>25</v>
      </c>
      <c r="R69">
        <v>251</v>
      </c>
      <c r="S69">
        <v>113.5</v>
      </c>
      <c r="T69">
        <v>248</v>
      </c>
      <c r="U69">
        <v>122</v>
      </c>
      <c r="V69">
        <v>76</v>
      </c>
      <c r="W69">
        <v>214.5</v>
      </c>
      <c r="X69">
        <v>252.5</v>
      </c>
      <c r="Y69">
        <v>1978.5</v>
      </c>
      <c r="Z69">
        <v>45</v>
      </c>
    </row>
    <row r="70" spans="1:26" x14ac:dyDescent="0.25">
      <c r="A70" t="s">
        <v>214</v>
      </c>
      <c r="B70" t="s">
        <v>215</v>
      </c>
      <c r="C70" t="s">
        <v>216</v>
      </c>
      <c r="D70">
        <v>148</v>
      </c>
      <c r="E70">
        <v>9.5</v>
      </c>
      <c r="F70">
        <v>14</v>
      </c>
      <c r="G70">
        <v>49</v>
      </c>
      <c r="H70">
        <v>18</v>
      </c>
      <c r="I70">
        <v>25</v>
      </c>
      <c r="J70">
        <v>44</v>
      </c>
      <c r="K70">
        <v>16</v>
      </c>
      <c r="L70">
        <v>12</v>
      </c>
      <c r="M70">
        <v>7</v>
      </c>
      <c r="N70">
        <v>16</v>
      </c>
      <c r="O70">
        <v>4</v>
      </c>
      <c r="P70">
        <v>5.5</v>
      </c>
      <c r="Q70">
        <v>14</v>
      </c>
      <c r="R70">
        <v>21.5</v>
      </c>
      <c r="S70">
        <v>42.5</v>
      </c>
      <c r="T70">
        <v>7</v>
      </c>
      <c r="U70">
        <v>26</v>
      </c>
      <c r="V70">
        <v>14</v>
      </c>
      <c r="W70">
        <v>69</v>
      </c>
      <c r="X70">
        <v>44</v>
      </c>
      <c r="Y70">
        <v>140</v>
      </c>
      <c r="Z70">
        <v>10</v>
      </c>
    </row>
    <row r="71" spans="1:26" x14ac:dyDescent="0.25">
      <c r="A71" t="s">
        <v>217</v>
      </c>
      <c r="B71" t="s">
        <v>218</v>
      </c>
      <c r="C71" t="s">
        <v>219</v>
      </c>
      <c r="D71">
        <v>5811</v>
      </c>
      <c r="E71">
        <v>55</v>
      </c>
      <c r="F71">
        <v>37</v>
      </c>
      <c r="G71">
        <v>130</v>
      </c>
      <c r="H71">
        <v>60</v>
      </c>
      <c r="I71">
        <v>191</v>
      </c>
      <c r="J71">
        <v>134</v>
      </c>
      <c r="K71">
        <v>41</v>
      </c>
      <c r="L71">
        <v>133</v>
      </c>
      <c r="M71">
        <v>29.5</v>
      </c>
      <c r="N71">
        <v>87</v>
      </c>
      <c r="O71">
        <v>30</v>
      </c>
      <c r="P71">
        <v>50</v>
      </c>
      <c r="Q71">
        <v>33</v>
      </c>
      <c r="R71">
        <v>308</v>
      </c>
      <c r="S71">
        <v>97</v>
      </c>
      <c r="T71">
        <v>147</v>
      </c>
      <c r="U71">
        <v>386</v>
      </c>
      <c r="V71">
        <v>190.5</v>
      </c>
      <c r="W71">
        <v>326</v>
      </c>
      <c r="X71">
        <v>779</v>
      </c>
      <c r="Y71">
        <v>7408</v>
      </c>
      <c r="Z71">
        <v>55</v>
      </c>
    </row>
    <row r="72" spans="1:26" x14ac:dyDescent="0.25">
      <c r="A72" t="s">
        <v>220</v>
      </c>
      <c r="B72" t="s">
        <v>221</v>
      </c>
      <c r="C72" t="s">
        <v>222</v>
      </c>
      <c r="D72">
        <v>4370</v>
      </c>
      <c r="E72">
        <v>47</v>
      </c>
      <c r="F72">
        <v>34</v>
      </c>
      <c r="G72">
        <v>120</v>
      </c>
      <c r="H72">
        <v>50.5</v>
      </c>
      <c r="I72">
        <v>85</v>
      </c>
      <c r="J72">
        <v>119.5</v>
      </c>
      <c r="K72">
        <v>35</v>
      </c>
      <c r="L72">
        <v>121</v>
      </c>
      <c r="M72">
        <v>27.5</v>
      </c>
      <c r="N72">
        <v>92.5</v>
      </c>
      <c r="O72">
        <v>29</v>
      </c>
      <c r="P72">
        <v>47</v>
      </c>
      <c r="Q72">
        <v>33</v>
      </c>
      <c r="R72">
        <v>213</v>
      </c>
      <c r="S72">
        <v>91</v>
      </c>
      <c r="T72">
        <v>161</v>
      </c>
      <c r="U72">
        <v>127</v>
      </c>
      <c r="V72">
        <v>105</v>
      </c>
      <c r="W72">
        <v>260.5</v>
      </c>
      <c r="X72">
        <v>608</v>
      </c>
      <c r="Y72">
        <v>7035</v>
      </c>
      <c r="Z72">
        <v>45</v>
      </c>
    </row>
    <row r="73" spans="1:26" x14ac:dyDescent="0.25">
      <c r="A73" t="s">
        <v>223</v>
      </c>
      <c r="B73" t="s">
        <v>224</v>
      </c>
      <c r="C73" t="s">
        <v>225</v>
      </c>
      <c r="D73">
        <v>7841</v>
      </c>
      <c r="E73">
        <v>341</v>
      </c>
      <c r="F73">
        <v>38</v>
      </c>
      <c r="G73">
        <v>111</v>
      </c>
      <c r="H73">
        <v>48</v>
      </c>
      <c r="I73">
        <v>207</v>
      </c>
      <c r="J73">
        <v>139</v>
      </c>
      <c r="K73">
        <v>32</v>
      </c>
      <c r="L73">
        <v>86.5</v>
      </c>
      <c r="M73">
        <v>30.5</v>
      </c>
      <c r="N73">
        <v>68</v>
      </c>
      <c r="O73">
        <v>26</v>
      </c>
      <c r="P73">
        <v>40</v>
      </c>
      <c r="Q73">
        <v>38</v>
      </c>
      <c r="R73">
        <v>957</v>
      </c>
      <c r="S73">
        <v>92</v>
      </c>
      <c r="T73">
        <v>186.5</v>
      </c>
      <c r="U73">
        <v>921.5</v>
      </c>
      <c r="V73">
        <v>888</v>
      </c>
      <c r="W73">
        <v>620.5</v>
      </c>
      <c r="X73">
        <v>1922</v>
      </c>
      <c r="Y73">
        <v>6713.5</v>
      </c>
      <c r="Z73">
        <v>46</v>
      </c>
    </row>
    <row r="74" spans="1:26" x14ac:dyDescent="0.25">
      <c r="A74" t="s">
        <v>226</v>
      </c>
      <c r="B74" t="s">
        <v>227</v>
      </c>
      <c r="C74" t="s">
        <v>228</v>
      </c>
      <c r="D74">
        <v>2186.5</v>
      </c>
      <c r="E74">
        <v>65</v>
      </c>
      <c r="F74">
        <v>31</v>
      </c>
      <c r="G74">
        <v>122</v>
      </c>
      <c r="H74">
        <v>40</v>
      </c>
      <c r="I74">
        <v>62.5</v>
      </c>
      <c r="J74">
        <v>63</v>
      </c>
      <c r="K74">
        <v>31</v>
      </c>
      <c r="L74">
        <v>46</v>
      </c>
      <c r="M74">
        <v>23</v>
      </c>
      <c r="N74">
        <v>69.5</v>
      </c>
      <c r="O74">
        <v>28</v>
      </c>
      <c r="P74">
        <v>34</v>
      </c>
      <c r="Q74">
        <v>31</v>
      </c>
      <c r="R74">
        <v>70.5</v>
      </c>
      <c r="S74">
        <v>64</v>
      </c>
      <c r="T74">
        <v>71</v>
      </c>
      <c r="U74">
        <v>625.5</v>
      </c>
      <c r="V74">
        <v>1306.5</v>
      </c>
      <c r="W74">
        <v>489</v>
      </c>
      <c r="X74">
        <v>669</v>
      </c>
      <c r="Y74">
        <v>8627</v>
      </c>
      <c r="Z74">
        <v>34</v>
      </c>
    </row>
    <row r="75" spans="1:26" x14ac:dyDescent="0.25">
      <c r="A75" t="s">
        <v>229</v>
      </c>
      <c r="B75" t="s">
        <v>230</v>
      </c>
      <c r="C75" t="s">
        <v>231</v>
      </c>
      <c r="D75">
        <v>9287</v>
      </c>
      <c r="E75">
        <v>54.5</v>
      </c>
      <c r="F75">
        <v>35</v>
      </c>
      <c r="G75">
        <v>99.5</v>
      </c>
      <c r="H75">
        <v>40</v>
      </c>
      <c r="I75">
        <v>114</v>
      </c>
      <c r="J75">
        <v>109</v>
      </c>
      <c r="K75">
        <v>22.5</v>
      </c>
      <c r="L75">
        <v>88</v>
      </c>
      <c r="M75">
        <v>22</v>
      </c>
      <c r="N75">
        <v>54</v>
      </c>
      <c r="O75">
        <v>20</v>
      </c>
      <c r="P75">
        <v>50</v>
      </c>
      <c r="Q75">
        <v>20</v>
      </c>
      <c r="R75">
        <v>230.5</v>
      </c>
      <c r="S75">
        <v>70</v>
      </c>
      <c r="T75">
        <v>140</v>
      </c>
      <c r="U75">
        <v>140.5</v>
      </c>
      <c r="V75">
        <v>106.5</v>
      </c>
      <c r="W75">
        <v>239</v>
      </c>
      <c r="X75">
        <v>515</v>
      </c>
      <c r="Y75">
        <v>5353.5</v>
      </c>
      <c r="Z75">
        <v>37</v>
      </c>
    </row>
    <row r="76" spans="1:26" x14ac:dyDescent="0.25">
      <c r="A76" t="s">
        <v>232</v>
      </c>
      <c r="B76" t="s">
        <v>233</v>
      </c>
      <c r="C76" t="s">
        <v>234</v>
      </c>
      <c r="D76">
        <v>4750</v>
      </c>
      <c r="E76">
        <v>51.5</v>
      </c>
      <c r="F76">
        <v>44</v>
      </c>
      <c r="G76">
        <v>111</v>
      </c>
      <c r="H76">
        <v>43.5</v>
      </c>
      <c r="I76">
        <v>101</v>
      </c>
      <c r="J76">
        <v>111</v>
      </c>
      <c r="K76">
        <v>31</v>
      </c>
      <c r="L76">
        <v>91</v>
      </c>
      <c r="M76">
        <v>23</v>
      </c>
      <c r="N76">
        <v>47</v>
      </c>
      <c r="O76">
        <v>33</v>
      </c>
      <c r="P76">
        <v>47</v>
      </c>
      <c r="Q76">
        <v>25.5</v>
      </c>
      <c r="R76">
        <v>247</v>
      </c>
      <c r="S76">
        <v>78.5</v>
      </c>
      <c r="T76">
        <v>160</v>
      </c>
      <c r="U76">
        <v>122</v>
      </c>
      <c r="V76">
        <v>116.5</v>
      </c>
      <c r="W76">
        <v>223</v>
      </c>
      <c r="X76">
        <v>552.5</v>
      </c>
      <c r="Y76">
        <v>6533</v>
      </c>
      <c r="Z76">
        <v>42</v>
      </c>
    </row>
    <row r="77" spans="1:26" x14ac:dyDescent="0.25">
      <c r="A77" t="s">
        <v>235</v>
      </c>
      <c r="B77" t="s">
        <v>236</v>
      </c>
      <c r="C77" t="s">
        <v>237</v>
      </c>
      <c r="D77">
        <v>6724</v>
      </c>
      <c r="E77">
        <v>152</v>
      </c>
      <c r="F77">
        <v>46</v>
      </c>
      <c r="G77">
        <v>127</v>
      </c>
      <c r="H77">
        <v>83</v>
      </c>
      <c r="I77">
        <v>198</v>
      </c>
      <c r="J77">
        <v>166</v>
      </c>
      <c r="K77">
        <v>38</v>
      </c>
      <c r="L77">
        <v>107</v>
      </c>
      <c r="M77">
        <v>31.5</v>
      </c>
      <c r="N77">
        <v>102.5</v>
      </c>
      <c r="O77">
        <v>28</v>
      </c>
      <c r="P77">
        <v>51</v>
      </c>
      <c r="Q77">
        <v>50.5</v>
      </c>
      <c r="R77">
        <v>766.5</v>
      </c>
      <c r="S77">
        <v>95</v>
      </c>
      <c r="T77">
        <v>191.5</v>
      </c>
      <c r="U77">
        <v>920</v>
      </c>
      <c r="V77">
        <v>1898</v>
      </c>
      <c r="W77">
        <v>1702</v>
      </c>
      <c r="X77">
        <v>5643</v>
      </c>
      <c r="Y77">
        <v>9365</v>
      </c>
      <c r="Z77">
        <v>58</v>
      </c>
    </row>
    <row r="78" spans="1:26" x14ac:dyDescent="0.25">
      <c r="A78" t="s">
        <v>238</v>
      </c>
      <c r="B78" t="s">
        <v>239</v>
      </c>
      <c r="C78" t="s">
        <v>240</v>
      </c>
      <c r="D78">
        <v>7875</v>
      </c>
      <c r="E78">
        <v>618</v>
      </c>
      <c r="F78">
        <v>56</v>
      </c>
      <c r="G78">
        <v>251.5</v>
      </c>
      <c r="H78">
        <v>185</v>
      </c>
      <c r="I78">
        <v>314</v>
      </c>
      <c r="J78">
        <v>170</v>
      </c>
      <c r="K78">
        <v>49</v>
      </c>
      <c r="L78">
        <v>109</v>
      </c>
      <c r="M78">
        <v>85</v>
      </c>
      <c r="N78">
        <v>94</v>
      </c>
      <c r="O78">
        <v>42</v>
      </c>
      <c r="P78">
        <v>71</v>
      </c>
      <c r="Q78">
        <v>70</v>
      </c>
      <c r="R78">
        <v>2403.5</v>
      </c>
      <c r="S78">
        <v>106.5</v>
      </c>
      <c r="T78">
        <v>256</v>
      </c>
      <c r="U78">
        <v>3152</v>
      </c>
      <c r="V78">
        <v>5845</v>
      </c>
      <c r="W78">
        <v>6088.5</v>
      </c>
      <c r="X78">
        <v>9939</v>
      </c>
      <c r="Y78">
        <v>15950</v>
      </c>
      <c r="Z78">
        <v>95</v>
      </c>
    </row>
    <row r="79" spans="1:26" x14ac:dyDescent="0.25">
      <c r="A79" t="s">
        <v>241</v>
      </c>
      <c r="B79" t="s">
        <v>242</v>
      </c>
      <c r="C79" t="s">
        <v>243</v>
      </c>
      <c r="D79">
        <v>3005.5</v>
      </c>
      <c r="E79">
        <v>920.5</v>
      </c>
      <c r="F79">
        <v>56</v>
      </c>
      <c r="G79">
        <v>440.5</v>
      </c>
      <c r="H79">
        <v>3218</v>
      </c>
      <c r="I79">
        <v>1125</v>
      </c>
      <c r="J79">
        <v>276.5</v>
      </c>
      <c r="K79">
        <v>37</v>
      </c>
      <c r="L79">
        <v>95</v>
      </c>
      <c r="M79">
        <v>118</v>
      </c>
      <c r="N79">
        <v>172</v>
      </c>
      <c r="O79">
        <v>52</v>
      </c>
      <c r="P79">
        <v>72</v>
      </c>
      <c r="Q79">
        <v>63.5</v>
      </c>
      <c r="R79">
        <v>2488</v>
      </c>
      <c r="S79">
        <v>112.5</v>
      </c>
      <c r="T79">
        <v>491.5</v>
      </c>
      <c r="U79">
        <v>1663</v>
      </c>
      <c r="V79">
        <v>20018</v>
      </c>
      <c r="W79">
        <v>13285</v>
      </c>
      <c r="X79">
        <v>24717</v>
      </c>
      <c r="Y79">
        <v>20785</v>
      </c>
      <c r="Z79">
        <v>119.5</v>
      </c>
    </row>
    <row r="80" spans="1:26" x14ac:dyDescent="0.25">
      <c r="A80" t="s">
        <v>244</v>
      </c>
      <c r="B80" t="s">
        <v>245</v>
      </c>
      <c r="C80" t="s">
        <v>246</v>
      </c>
      <c r="D80">
        <v>4408</v>
      </c>
      <c r="E80">
        <v>61</v>
      </c>
      <c r="F80">
        <v>33</v>
      </c>
      <c r="G80">
        <v>81</v>
      </c>
      <c r="H80">
        <v>45</v>
      </c>
      <c r="I80">
        <v>185.5</v>
      </c>
      <c r="J80">
        <v>120</v>
      </c>
      <c r="K80">
        <v>17</v>
      </c>
      <c r="L80">
        <v>75.5</v>
      </c>
      <c r="M80">
        <v>19</v>
      </c>
      <c r="N80">
        <v>29</v>
      </c>
      <c r="O80">
        <v>21.5</v>
      </c>
      <c r="P80">
        <v>48</v>
      </c>
      <c r="Q80">
        <v>19</v>
      </c>
      <c r="R80">
        <v>267</v>
      </c>
      <c r="S80">
        <v>62</v>
      </c>
      <c r="T80">
        <v>219</v>
      </c>
      <c r="U80">
        <v>230</v>
      </c>
      <c r="V80">
        <v>78</v>
      </c>
      <c r="W80">
        <v>318</v>
      </c>
      <c r="X80">
        <v>708</v>
      </c>
      <c r="Y80">
        <v>9298</v>
      </c>
      <c r="Z80">
        <v>30</v>
      </c>
    </row>
    <row r="81" spans="1:26" x14ac:dyDescent="0.25">
      <c r="A81" t="s">
        <v>247</v>
      </c>
      <c r="B81" t="s">
        <v>248</v>
      </c>
      <c r="C81" t="s">
        <v>249</v>
      </c>
      <c r="D81">
        <v>2082</v>
      </c>
      <c r="E81">
        <v>47</v>
      </c>
      <c r="F81">
        <v>28.5</v>
      </c>
      <c r="G81">
        <v>82.5</v>
      </c>
      <c r="H81">
        <v>41.5</v>
      </c>
      <c r="I81">
        <v>195</v>
      </c>
      <c r="J81">
        <v>102</v>
      </c>
      <c r="K81">
        <v>26</v>
      </c>
      <c r="L81">
        <v>98</v>
      </c>
      <c r="M81">
        <v>19</v>
      </c>
      <c r="N81">
        <v>38</v>
      </c>
      <c r="O81">
        <v>23</v>
      </c>
      <c r="P81">
        <v>34</v>
      </c>
      <c r="Q81">
        <v>28</v>
      </c>
      <c r="R81">
        <v>267</v>
      </c>
      <c r="S81">
        <v>56.5</v>
      </c>
      <c r="T81">
        <v>115</v>
      </c>
      <c r="U81">
        <v>101</v>
      </c>
      <c r="V81">
        <v>75.5</v>
      </c>
      <c r="W81">
        <v>249</v>
      </c>
      <c r="X81">
        <v>527</v>
      </c>
      <c r="Y81">
        <v>2449</v>
      </c>
      <c r="Z81">
        <v>34</v>
      </c>
    </row>
    <row r="82" spans="1:26" x14ac:dyDescent="0.25">
      <c r="A82" t="s">
        <v>250</v>
      </c>
      <c r="B82" t="s">
        <v>251</v>
      </c>
      <c r="C82" t="s">
        <v>252</v>
      </c>
      <c r="D82">
        <v>4371</v>
      </c>
      <c r="E82">
        <v>49</v>
      </c>
      <c r="F82">
        <v>36</v>
      </c>
      <c r="G82">
        <v>92.5</v>
      </c>
      <c r="H82">
        <v>43</v>
      </c>
      <c r="I82">
        <v>148</v>
      </c>
      <c r="J82">
        <v>105</v>
      </c>
      <c r="K82">
        <v>21</v>
      </c>
      <c r="L82">
        <v>79</v>
      </c>
      <c r="M82">
        <v>19</v>
      </c>
      <c r="N82">
        <v>41</v>
      </c>
      <c r="O82">
        <v>24</v>
      </c>
      <c r="P82">
        <v>41</v>
      </c>
      <c r="Q82">
        <v>21</v>
      </c>
      <c r="R82">
        <v>275</v>
      </c>
      <c r="S82">
        <v>63</v>
      </c>
      <c r="T82">
        <v>134</v>
      </c>
      <c r="U82">
        <v>141</v>
      </c>
      <c r="V82">
        <v>71</v>
      </c>
      <c r="W82">
        <v>320</v>
      </c>
      <c r="X82">
        <v>832</v>
      </c>
      <c r="Y82">
        <v>10887</v>
      </c>
      <c r="Z82">
        <v>31</v>
      </c>
    </row>
    <row r="83" spans="1:26" x14ac:dyDescent="0.25">
      <c r="A83" t="s">
        <v>253</v>
      </c>
      <c r="B83" t="s">
        <v>254</v>
      </c>
      <c r="C83" t="s">
        <v>255</v>
      </c>
      <c r="D83">
        <v>8040</v>
      </c>
      <c r="E83">
        <v>121</v>
      </c>
      <c r="F83">
        <v>42.5</v>
      </c>
      <c r="G83">
        <v>95</v>
      </c>
      <c r="H83">
        <v>68</v>
      </c>
      <c r="I83">
        <v>694</v>
      </c>
      <c r="J83">
        <v>98</v>
      </c>
      <c r="K83">
        <v>23</v>
      </c>
      <c r="L83">
        <v>45.5</v>
      </c>
      <c r="M83">
        <v>53</v>
      </c>
      <c r="N83">
        <v>39.5</v>
      </c>
      <c r="O83">
        <v>30.5</v>
      </c>
      <c r="P83">
        <v>58</v>
      </c>
      <c r="Q83">
        <v>41</v>
      </c>
      <c r="R83">
        <v>1106</v>
      </c>
      <c r="S83">
        <v>56</v>
      </c>
      <c r="T83">
        <v>122</v>
      </c>
      <c r="U83">
        <v>641</v>
      </c>
      <c r="V83">
        <v>879.5</v>
      </c>
      <c r="W83">
        <v>979.5</v>
      </c>
      <c r="X83">
        <v>2086.5</v>
      </c>
      <c r="Y83">
        <v>9837</v>
      </c>
      <c r="Z83">
        <v>35</v>
      </c>
    </row>
    <row r="84" spans="1:26" x14ac:dyDescent="0.25">
      <c r="A84" t="s">
        <v>256</v>
      </c>
      <c r="B84" t="s">
        <v>257</v>
      </c>
      <c r="C84" t="s">
        <v>258</v>
      </c>
      <c r="D84">
        <v>2470.5</v>
      </c>
      <c r="E84">
        <v>52</v>
      </c>
      <c r="F84">
        <v>31</v>
      </c>
      <c r="G84">
        <v>67.5</v>
      </c>
      <c r="H84">
        <v>42</v>
      </c>
      <c r="I84">
        <v>220</v>
      </c>
      <c r="J84">
        <v>113</v>
      </c>
      <c r="K84">
        <v>17</v>
      </c>
      <c r="L84">
        <v>71</v>
      </c>
      <c r="M84">
        <v>19.5</v>
      </c>
      <c r="N84">
        <v>27</v>
      </c>
      <c r="O84">
        <v>20</v>
      </c>
      <c r="P84">
        <v>42</v>
      </c>
      <c r="Q84">
        <v>18</v>
      </c>
      <c r="R84">
        <v>279</v>
      </c>
      <c r="S84">
        <v>57</v>
      </c>
      <c r="T84">
        <v>114</v>
      </c>
      <c r="U84">
        <v>215</v>
      </c>
      <c r="V84">
        <v>44</v>
      </c>
      <c r="W84">
        <v>201.5</v>
      </c>
      <c r="X84">
        <v>274</v>
      </c>
      <c r="Y84">
        <v>5982.5</v>
      </c>
      <c r="Z84">
        <v>29</v>
      </c>
    </row>
    <row r="85" spans="1:26" x14ac:dyDescent="0.25">
      <c r="A85" t="s">
        <v>259</v>
      </c>
      <c r="B85" t="s">
        <v>260</v>
      </c>
      <c r="C85" t="s">
        <v>261</v>
      </c>
      <c r="D85">
        <v>4092</v>
      </c>
      <c r="E85">
        <v>43</v>
      </c>
      <c r="F85">
        <v>30</v>
      </c>
      <c r="G85">
        <v>69</v>
      </c>
      <c r="H85">
        <v>40</v>
      </c>
      <c r="I85">
        <v>78</v>
      </c>
      <c r="J85">
        <v>94</v>
      </c>
      <c r="K85">
        <v>16</v>
      </c>
      <c r="L85">
        <v>82</v>
      </c>
      <c r="M85">
        <v>16</v>
      </c>
      <c r="N85">
        <v>29</v>
      </c>
      <c r="O85">
        <v>18</v>
      </c>
      <c r="P85">
        <v>46</v>
      </c>
      <c r="Q85">
        <v>18</v>
      </c>
      <c r="R85">
        <v>190</v>
      </c>
      <c r="S85">
        <v>53</v>
      </c>
      <c r="T85">
        <v>106</v>
      </c>
      <c r="U85">
        <v>94.5</v>
      </c>
      <c r="V85">
        <v>69</v>
      </c>
      <c r="W85">
        <v>203</v>
      </c>
      <c r="X85">
        <v>270</v>
      </c>
      <c r="Y85">
        <v>5336</v>
      </c>
      <c r="Z85">
        <v>24</v>
      </c>
    </row>
    <row r="86" spans="1:26" x14ac:dyDescent="0.25">
      <c r="A86" t="s">
        <v>262</v>
      </c>
      <c r="B86" t="s">
        <v>263</v>
      </c>
      <c r="C86" t="s">
        <v>264</v>
      </c>
      <c r="D86">
        <v>5587.5</v>
      </c>
      <c r="E86">
        <v>253</v>
      </c>
      <c r="F86">
        <v>47</v>
      </c>
      <c r="G86">
        <v>144</v>
      </c>
      <c r="H86">
        <v>146</v>
      </c>
      <c r="I86">
        <v>764</v>
      </c>
      <c r="J86">
        <v>149</v>
      </c>
      <c r="K86">
        <v>23</v>
      </c>
      <c r="L86">
        <v>82</v>
      </c>
      <c r="M86">
        <v>62</v>
      </c>
      <c r="N86">
        <v>88.5</v>
      </c>
      <c r="O86">
        <v>25.5</v>
      </c>
      <c r="P86">
        <v>63.5</v>
      </c>
      <c r="Q86">
        <v>36</v>
      </c>
      <c r="R86">
        <v>824</v>
      </c>
      <c r="S86">
        <v>84</v>
      </c>
      <c r="T86">
        <v>157.5</v>
      </c>
      <c r="U86">
        <v>1141</v>
      </c>
      <c r="V86">
        <v>1909</v>
      </c>
      <c r="W86">
        <v>5749</v>
      </c>
      <c r="X86">
        <v>9560</v>
      </c>
      <c r="Y86">
        <v>15039</v>
      </c>
      <c r="Z86">
        <v>50</v>
      </c>
    </row>
    <row r="87" spans="1:26" x14ac:dyDescent="0.25">
      <c r="A87" t="s">
        <v>265</v>
      </c>
      <c r="B87" t="s">
        <v>266</v>
      </c>
      <c r="C87" t="s">
        <v>267</v>
      </c>
      <c r="D87">
        <v>6221</v>
      </c>
      <c r="E87">
        <v>40.5</v>
      </c>
      <c r="F87">
        <v>30</v>
      </c>
      <c r="G87">
        <v>90</v>
      </c>
      <c r="H87">
        <v>40</v>
      </c>
      <c r="I87">
        <v>80.5</v>
      </c>
      <c r="J87">
        <v>101</v>
      </c>
      <c r="K87">
        <v>28.5</v>
      </c>
      <c r="L87">
        <v>90.5</v>
      </c>
      <c r="M87">
        <v>24.5</v>
      </c>
      <c r="N87">
        <v>52</v>
      </c>
      <c r="O87">
        <v>20</v>
      </c>
      <c r="P87">
        <v>37</v>
      </c>
      <c r="Q87">
        <v>26</v>
      </c>
      <c r="R87">
        <v>251</v>
      </c>
      <c r="S87">
        <v>70</v>
      </c>
      <c r="T87">
        <v>125</v>
      </c>
      <c r="U87">
        <v>93.5</v>
      </c>
      <c r="V87">
        <v>54</v>
      </c>
      <c r="W87">
        <v>201</v>
      </c>
      <c r="X87">
        <v>354.5</v>
      </c>
      <c r="Y87">
        <v>8157</v>
      </c>
      <c r="Z87">
        <v>41</v>
      </c>
    </row>
    <row r="88" spans="1:26" x14ac:dyDescent="0.25">
      <c r="A88" t="s">
        <v>268</v>
      </c>
      <c r="B88" t="s">
        <v>269</v>
      </c>
      <c r="C88" t="s">
        <v>270</v>
      </c>
      <c r="D88">
        <v>4074.5</v>
      </c>
      <c r="E88">
        <v>92.5</v>
      </c>
      <c r="F88">
        <v>37</v>
      </c>
      <c r="G88">
        <v>105</v>
      </c>
      <c r="H88">
        <v>99</v>
      </c>
      <c r="I88">
        <v>428.5</v>
      </c>
      <c r="J88">
        <v>122.5</v>
      </c>
      <c r="K88">
        <v>18</v>
      </c>
      <c r="L88">
        <v>69</v>
      </c>
      <c r="M88">
        <v>42</v>
      </c>
      <c r="N88">
        <v>34</v>
      </c>
      <c r="O88">
        <v>25</v>
      </c>
      <c r="P88">
        <v>45</v>
      </c>
      <c r="Q88">
        <v>48</v>
      </c>
      <c r="R88">
        <v>532</v>
      </c>
      <c r="S88">
        <v>64.5</v>
      </c>
      <c r="T88">
        <v>135.5</v>
      </c>
      <c r="U88">
        <v>310</v>
      </c>
      <c r="V88">
        <v>600</v>
      </c>
      <c r="W88">
        <v>8051</v>
      </c>
      <c r="X88">
        <v>13011.5</v>
      </c>
      <c r="Y88">
        <v>13227</v>
      </c>
      <c r="Z88">
        <v>29</v>
      </c>
    </row>
    <row r="89" spans="1:26" x14ac:dyDescent="0.25">
      <c r="A89" t="s">
        <v>271</v>
      </c>
      <c r="B89" t="s">
        <v>272</v>
      </c>
      <c r="C89" t="s">
        <v>273</v>
      </c>
      <c r="D89">
        <v>8600</v>
      </c>
      <c r="E89">
        <v>50</v>
      </c>
      <c r="F89">
        <v>38</v>
      </c>
      <c r="G89">
        <v>121</v>
      </c>
      <c r="H89">
        <v>55.5</v>
      </c>
      <c r="I89">
        <v>735</v>
      </c>
      <c r="J89">
        <v>130</v>
      </c>
      <c r="K89">
        <v>20</v>
      </c>
      <c r="L89">
        <v>69.5</v>
      </c>
      <c r="M89">
        <v>26</v>
      </c>
      <c r="N89">
        <v>33.5</v>
      </c>
      <c r="O89">
        <v>25</v>
      </c>
      <c r="P89">
        <v>52.5</v>
      </c>
      <c r="Q89">
        <v>28</v>
      </c>
      <c r="R89">
        <v>357</v>
      </c>
      <c r="S89">
        <v>77</v>
      </c>
      <c r="T89">
        <v>142.5</v>
      </c>
      <c r="U89">
        <v>481.5</v>
      </c>
      <c r="V89">
        <v>567</v>
      </c>
      <c r="W89">
        <v>625</v>
      </c>
      <c r="X89">
        <v>1869</v>
      </c>
      <c r="Y89">
        <v>17593</v>
      </c>
      <c r="Z89">
        <v>35</v>
      </c>
    </row>
    <row r="90" spans="1:26" x14ac:dyDescent="0.25">
      <c r="A90" t="s">
        <v>274</v>
      </c>
      <c r="B90" t="s">
        <v>275</v>
      </c>
      <c r="C90" t="s">
        <v>276</v>
      </c>
      <c r="D90">
        <v>6575</v>
      </c>
      <c r="E90">
        <v>43</v>
      </c>
      <c r="F90">
        <v>27</v>
      </c>
      <c r="G90">
        <v>70</v>
      </c>
      <c r="H90">
        <v>40</v>
      </c>
      <c r="I90">
        <v>48.5</v>
      </c>
      <c r="J90">
        <v>106.5</v>
      </c>
      <c r="K90">
        <v>16.5</v>
      </c>
      <c r="L90">
        <v>74</v>
      </c>
      <c r="M90">
        <v>18</v>
      </c>
      <c r="N90">
        <v>24</v>
      </c>
      <c r="O90">
        <v>15</v>
      </c>
      <c r="P90">
        <v>32</v>
      </c>
      <c r="Q90">
        <v>16</v>
      </c>
      <c r="R90">
        <v>143.5</v>
      </c>
      <c r="S90">
        <v>46.5</v>
      </c>
      <c r="T90">
        <v>135</v>
      </c>
      <c r="U90">
        <v>75.5</v>
      </c>
      <c r="V90">
        <v>74.5</v>
      </c>
      <c r="W90">
        <v>201</v>
      </c>
      <c r="X90">
        <v>276</v>
      </c>
      <c r="Y90">
        <v>2120</v>
      </c>
      <c r="Z90">
        <v>27</v>
      </c>
    </row>
    <row r="91" spans="1:26" x14ac:dyDescent="0.25">
      <c r="A91" t="s">
        <v>277</v>
      </c>
      <c r="B91" t="s">
        <v>278</v>
      </c>
      <c r="C91" t="s">
        <v>279</v>
      </c>
      <c r="D91">
        <v>7081.5</v>
      </c>
      <c r="E91">
        <v>43.5</v>
      </c>
      <c r="F91">
        <v>33</v>
      </c>
      <c r="G91">
        <v>121.5</v>
      </c>
      <c r="H91">
        <v>44.5</v>
      </c>
      <c r="I91">
        <v>117</v>
      </c>
      <c r="J91">
        <v>132</v>
      </c>
      <c r="K91">
        <v>29</v>
      </c>
      <c r="L91">
        <v>119</v>
      </c>
      <c r="M91">
        <v>22.5</v>
      </c>
      <c r="N91">
        <v>129.5</v>
      </c>
      <c r="O91">
        <v>23</v>
      </c>
      <c r="P91">
        <v>37</v>
      </c>
      <c r="Q91">
        <v>29</v>
      </c>
      <c r="R91">
        <v>273</v>
      </c>
      <c r="S91">
        <v>91</v>
      </c>
      <c r="T91">
        <v>196.5</v>
      </c>
      <c r="U91">
        <v>142.5</v>
      </c>
      <c r="V91">
        <v>56.5</v>
      </c>
      <c r="W91">
        <v>232</v>
      </c>
      <c r="X91">
        <v>543</v>
      </c>
      <c r="Y91">
        <v>3960</v>
      </c>
      <c r="Z91">
        <v>52</v>
      </c>
    </row>
    <row r="92" spans="1:26" x14ac:dyDescent="0.25">
      <c r="A92" t="s">
        <v>280</v>
      </c>
      <c r="B92" t="s">
        <v>281</v>
      </c>
      <c r="C92" t="s">
        <v>282</v>
      </c>
      <c r="D92">
        <v>1521.5</v>
      </c>
      <c r="E92">
        <v>46.5</v>
      </c>
      <c r="F92">
        <v>36</v>
      </c>
      <c r="G92">
        <v>100.5</v>
      </c>
      <c r="H92">
        <v>45.5</v>
      </c>
      <c r="I92">
        <v>239.5</v>
      </c>
      <c r="J92">
        <v>127</v>
      </c>
      <c r="K92">
        <v>22</v>
      </c>
      <c r="L92">
        <v>80</v>
      </c>
      <c r="M92">
        <v>26</v>
      </c>
      <c r="N92">
        <v>71</v>
      </c>
      <c r="O92">
        <v>23</v>
      </c>
      <c r="P92">
        <v>37</v>
      </c>
      <c r="Q92">
        <v>23</v>
      </c>
      <c r="R92">
        <v>344</v>
      </c>
      <c r="S92">
        <v>75</v>
      </c>
      <c r="T92">
        <v>127</v>
      </c>
      <c r="U92">
        <v>191</v>
      </c>
      <c r="V92">
        <v>75</v>
      </c>
      <c r="W92">
        <v>339</v>
      </c>
      <c r="X92">
        <v>1525</v>
      </c>
      <c r="Y92">
        <v>6726</v>
      </c>
      <c r="Z92">
        <v>44</v>
      </c>
    </row>
    <row r="93" spans="1:26" x14ac:dyDescent="0.25">
      <c r="A93" t="s">
        <v>283</v>
      </c>
      <c r="B93" t="s">
        <v>284</v>
      </c>
      <c r="C93" t="s">
        <v>285</v>
      </c>
      <c r="D93">
        <v>3335</v>
      </c>
      <c r="E93">
        <v>39.5</v>
      </c>
      <c r="F93">
        <v>29.5</v>
      </c>
      <c r="G93">
        <v>75.5</v>
      </c>
      <c r="H93">
        <v>43</v>
      </c>
      <c r="I93">
        <v>52</v>
      </c>
      <c r="J93">
        <v>92</v>
      </c>
      <c r="K93">
        <v>16.5</v>
      </c>
      <c r="L93">
        <v>79.5</v>
      </c>
      <c r="M93">
        <v>17.5</v>
      </c>
      <c r="N93">
        <v>39</v>
      </c>
      <c r="O93">
        <v>20</v>
      </c>
      <c r="P93">
        <v>46.5</v>
      </c>
      <c r="Q93">
        <v>15</v>
      </c>
      <c r="R93">
        <v>177</v>
      </c>
      <c r="S93">
        <v>66</v>
      </c>
      <c r="T93">
        <v>135</v>
      </c>
      <c r="U93">
        <v>144</v>
      </c>
      <c r="V93">
        <v>37</v>
      </c>
      <c r="W93">
        <v>213</v>
      </c>
      <c r="X93">
        <v>257</v>
      </c>
      <c r="Y93">
        <v>2954.5</v>
      </c>
      <c r="Z93">
        <v>24</v>
      </c>
    </row>
    <row r="94" spans="1:26" x14ac:dyDescent="0.25">
      <c r="A94" t="s">
        <v>286</v>
      </c>
      <c r="B94" t="s">
        <v>287</v>
      </c>
      <c r="C94" t="s">
        <v>288</v>
      </c>
      <c r="D94">
        <v>5590</v>
      </c>
      <c r="E94">
        <v>55</v>
      </c>
      <c r="F94">
        <v>32</v>
      </c>
      <c r="G94">
        <v>123.5</v>
      </c>
      <c r="H94">
        <v>45</v>
      </c>
      <c r="I94">
        <v>75.5</v>
      </c>
      <c r="J94">
        <v>124</v>
      </c>
      <c r="K94">
        <v>27</v>
      </c>
      <c r="L94">
        <v>88</v>
      </c>
      <c r="M94">
        <v>22</v>
      </c>
      <c r="N94">
        <v>86</v>
      </c>
      <c r="O94">
        <v>21</v>
      </c>
      <c r="P94">
        <v>46.5</v>
      </c>
      <c r="Q94">
        <v>30</v>
      </c>
      <c r="R94">
        <v>260</v>
      </c>
      <c r="S94">
        <v>84</v>
      </c>
      <c r="T94">
        <v>158</v>
      </c>
      <c r="U94">
        <v>164</v>
      </c>
      <c r="V94">
        <v>206</v>
      </c>
      <c r="W94">
        <v>224</v>
      </c>
      <c r="X94">
        <v>189.5</v>
      </c>
      <c r="Y94">
        <v>2295</v>
      </c>
      <c r="Z94">
        <v>38</v>
      </c>
    </row>
    <row r="95" spans="1:26" x14ac:dyDescent="0.25">
      <c r="A95" t="s">
        <v>289</v>
      </c>
      <c r="B95" t="s">
        <v>290</v>
      </c>
      <c r="C95" t="s">
        <v>291</v>
      </c>
      <c r="D95">
        <v>3842</v>
      </c>
      <c r="E95">
        <v>39</v>
      </c>
      <c r="F95">
        <v>29</v>
      </c>
      <c r="G95">
        <v>65.5</v>
      </c>
      <c r="H95">
        <v>38</v>
      </c>
      <c r="I95">
        <v>183</v>
      </c>
      <c r="J95">
        <v>113.5</v>
      </c>
      <c r="K95">
        <v>15</v>
      </c>
      <c r="L95">
        <v>82</v>
      </c>
      <c r="M95">
        <v>19</v>
      </c>
      <c r="N95">
        <v>27</v>
      </c>
      <c r="O95">
        <v>19</v>
      </c>
      <c r="P95">
        <v>37</v>
      </c>
      <c r="Q95">
        <v>18</v>
      </c>
      <c r="R95">
        <v>214</v>
      </c>
      <c r="S95">
        <v>54</v>
      </c>
      <c r="T95">
        <v>167.5</v>
      </c>
      <c r="U95">
        <v>121</v>
      </c>
      <c r="V95">
        <v>49</v>
      </c>
      <c r="W95">
        <v>223.5</v>
      </c>
      <c r="X95">
        <v>236</v>
      </c>
      <c r="Y95">
        <v>2876</v>
      </c>
      <c r="Z95">
        <v>24.5</v>
      </c>
    </row>
    <row r="96" spans="1:26" x14ac:dyDescent="0.25">
      <c r="A96" t="s">
        <v>292</v>
      </c>
      <c r="B96" t="s">
        <v>293</v>
      </c>
      <c r="C96" t="s">
        <v>294</v>
      </c>
      <c r="D96">
        <v>2552.5</v>
      </c>
      <c r="E96">
        <v>45</v>
      </c>
      <c r="F96">
        <v>30</v>
      </c>
      <c r="G96">
        <v>78</v>
      </c>
      <c r="H96">
        <v>41</v>
      </c>
      <c r="I96">
        <v>123</v>
      </c>
      <c r="J96">
        <v>105</v>
      </c>
      <c r="K96">
        <v>16</v>
      </c>
      <c r="L96">
        <v>72</v>
      </c>
      <c r="M96">
        <v>17</v>
      </c>
      <c r="N96">
        <v>34</v>
      </c>
      <c r="O96">
        <v>19</v>
      </c>
      <c r="P96">
        <v>36</v>
      </c>
      <c r="Q96">
        <v>17</v>
      </c>
      <c r="R96">
        <v>282</v>
      </c>
      <c r="S96">
        <v>53</v>
      </c>
      <c r="T96">
        <v>138</v>
      </c>
      <c r="U96">
        <v>110</v>
      </c>
      <c r="V96">
        <v>42</v>
      </c>
      <c r="W96">
        <v>195</v>
      </c>
      <c r="X96">
        <v>235</v>
      </c>
      <c r="Y96">
        <v>3706</v>
      </c>
      <c r="Z96">
        <v>28</v>
      </c>
    </row>
    <row r="97" spans="1:26" x14ac:dyDescent="0.25">
      <c r="A97" t="s">
        <v>295</v>
      </c>
      <c r="B97" t="s">
        <v>296</v>
      </c>
      <c r="C97" t="s">
        <v>297</v>
      </c>
      <c r="D97">
        <v>4326.5</v>
      </c>
      <c r="E97">
        <v>42</v>
      </c>
      <c r="F97">
        <v>29</v>
      </c>
      <c r="G97">
        <v>80</v>
      </c>
      <c r="H97">
        <v>36.5</v>
      </c>
      <c r="I97">
        <v>138</v>
      </c>
      <c r="J97">
        <v>101.5</v>
      </c>
      <c r="K97">
        <v>18</v>
      </c>
      <c r="L97">
        <v>86</v>
      </c>
      <c r="M97">
        <v>18</v>
      </c>
      <c r="N97">
        <v>43</v>
      </c>
      <c r="O97">
        <v>20</v>
      </c>
      <c r="P97">
        <v>34</v>
      </c>
      <c r="Q97">
        <v>19</v>
      </c>
      <c r="R97">
        <v>251.5</v>
      </c>
      <c r="S97">
        <v>57</v>
      </c>
      <c r="T97">
        <v>120</v>
      </c>
      <c r="U97">
        <v>91</v>
      </c>
      <c r="V97">
        <v>59</v>
      </c>
      <c r="W97">
        <v>210</v>
      </c>
      <c r="X97">
        <v>206</v>
      </c>
      <c r="Y97">
        <v>1888</v>
      </c>
      <c r="Z97">
        <v>27</v>
      </c>
    </row>
    <row r="98" spans="1:26" x14ac:dyDescent="0.25">
      <c r="A98" t="s">
        <v>298</v>
      </c>
      <c r="B98" t="s">
        <v>299</v>
      </c>
      <c r="C98" t="s">
        <v>300</v>
      </c>
      <c r="D98">
        <v>2947.5</v>
      </c>
      <c r="E98">
        <v>272</v>
      </c>
      <c r="F98">
        <v>34</v>
      </c>
      <c r="G98">
        <v>111</v>
      </c>
      <c r="H98">
        <v>38.5</v>
      </c>
      <c r="I98">
        <v>326</v>
      </c>
      <c r="J98">
        <v>115</v>
      </c>
      <c r="K98">
        <v>17</v>
      </c>
      <c r="L98">
        <v>67.5</v>
      </c>
      <c r="M98">
        <v>23</v>
      </c>
      <c r="N98">
        <v>42.5</v>
      </c>
      <c r="O98">
        <v>14.5</v>
      </c>
      <c r="P98">
        <v>35.5</v>
      </c>
      <c r="Q98">
        <v>37</v>
      </c>
      <c r="R98">
        <v>355.5</v>
      </c>
      <c r="S98">
        <v>58</v>
      </c>
      <c r="T98">
        <v>134</v>
      </c>
      <c r="U98">
        <v>1632.5</v>
      </c>
      <c r="V98">
        <v>325.5</v>
      </c>
      <c r="W98">
        <v>306</v>
      </c>
      <c r="X98">
        <v>375</v>
      </c>
      <c r="Y98">
        <v>4761</v>
      </c>
      <c r="Z98">
        <v>34.5</v>
      </c>
    </row>
    <row r="99" spans="1:26" x14ac:dyDescent="0.25">
      <c r="A99" t="s">
        <v>301</v>
      </c>
      <c r="B99" t="s">
        <v>302</v>
      </c>
      <c r="C99" t="s">
        <v>303</v>
      </c>
      <c r="D99">
        <v>2166</v>
      </c>
      <c r="E99">
        <v>47.5</v>
      </c>
      <c r="F99">
        <v>29</v>
      </c>
      <c r="G99">
        <v>73</v>
      </c>
      <c r="H99">
        <v>39</v>
      </c>
      <c r="I99">
        <v>74</v>
      </c>
      <c r="J99">
        <v>96</v>
      </c>
      <c r="K99">
        <v>15</v>
      </c>
      <c r="L99">
        <v>91.5</v>
      </c>
      <c r="M99">
        <v>17</v>
      </c>
      <c r="N99">
        <v>32</v>
      </c>
      <c r="O99">
        <v>19.5</v>
      </c>
      <c r="P99">
        <v>47</v>
      </c>
      <c r="Q99">
        <v>18</v>
      </c>
      <c r="R99">
        <v>204.5</v>
      </c>
      <c r="S99">
        <v>56</v>
      </c>
      <c r="T99">
        <v>96.5</v>
      </c>
      <c r="U99">
        <v>104</v>
      </c>
      <c r="V99">
        <v>61</v>
      </c>
      <c r="W99">
        <v>223</v>
      </c>
      <c r="X99">
        <v>246</v>
      </c>
      <c r="Y99">
        <v>3112.5</v>
      </c>
      <c r="Z99">
        <v>27</v>
      </c>
    </row>
    <row r="100" spans="1:26" x14ac:dyDescent="0.25">
      <c r="A100" t="s">
        <v>304</v>
      </c>
      <c r="B100" t="s">
        <v>305</v>
      </c>
      <c r="C100" t="s">
        <v>306</v>
      </c>
      <c r="D100">
        <v>7416.5</v>
      </c>
      <c r="E100">
        <v>48</v>
      </c>
      <c r="F100">
        <v>33.5</v>
      </c>
      <c r="G100">
        <v>133</v>
      </c>
      <c r="H100">
        <v>56</v>
      </c>
      <c r="I100">
        <v>457</v>
      </c>
      <c r="J100">
        <v>125</v>
      </c>
      <c r="K100">
        <v>31</v>
      </c>
      <c r="L100">
        <v>90</v>
      </c>
      <c r="M100">
        <v>20</v>
      </c>
      <c r="N100">
        <v>147</v>
      </c>
      <c r="O100">
        <v>23</v>
      </c>
      <c r="P100">
        <v>48</v>
      </c>
      <c r="Q100">
        <v>26</v>
      </c>
      <c r="R100">
        <v>288.5</v>
      </c>
      <c r="S100">
        <v>116</v>
      </c>
      <c r="T100">
        <v>221.5</v>
      </c>
      <c r="U100">
        <v>162</v>
      </c>
      <c r="V100">
        <v>52.5</v>
      </c>
      <c r="W100">
        <v>297</v>
      </c>
      <c r="X100">
        <v>629.5</v>
      </c>
      <c r="Y100">
        <v>7445</v>
      </c>
      <c r="Z100">
        <v>43</v>
      </c>
    </row>
    <row r="101" spans="1:26" x14ac:dyDescent="0.25">
      <c r="A101" t="s">
        <v>307</v>
      </c>
      <c r="B101" t="s">
        <v>308</v>
      </c>
      <c r="C101" t="s">
        <v>309</v>
      </c>
      <c r="D101">
        <v>2849</v>
      </c>
      <c r="E101">
        <v>41</v>
      </c>
      <c r="F101">
        <v>22.5</v>
      </c>
      <c r="G101">
        <v>57</v>
      </c>
      <c r="H101">
        <v>28.5</v>
      </c>
      <c r="I101">
        <v>76</v>
      </c>
      <c r="J101">
        <v>67.5</v>
      </c>
      <c r="K101">
        <v>15</v>
      </c>
      <c r="L101">
        <v>57.5</v>
      </c>
      <c r="M101">
        <v>15</v>
      </c>
      <c r="N101">
        <v>22</v>
      </c>
      <c r="O101">
        <v>15</v>
      </c>
      <c r="P101">
        <v>36</v>
      </c>
      <c r="Q101">
        <v>14</v>
      </c>
      <c r="R101">
        <v>142.5</v>
      </c>
      <c r="S101">
        <v>47</v>
      </c>
      <c r="T101">
        <v>89</v>
      </c>
      <c r="U101">
        <v>157</v>
      </c>
      <c r="V101">
        <v>70</v>
      </c>
      <c r="W101">
        <v>201</v>
      </c>
      <c r="X101">
        <v>409.5</v>
      </c>
      <c r="Y101">
        <v>4052.5</v>
      </c>
      <c r="Z101">
        <v>21</v>
      </c>
    </row>
    <row r="102" spans="1:26" x14ac:dyDescent="0.25">
      <c r="A102" t="s">
        <v>310</v>
      </c>
      <c r="B102" t="s">
        <v>311</v>
      </c>
      <c r="C102" t="s">
        <v>312</v>
      </c>
      <c r="D102">
        <v>1153</v>
      </c>
      <c r="E102">
        <v>40.5</v>
      </c>
      <c r="F102">
        <v>27</v>
      </c>
      <c r="G102">
        <v>122</v>
      </c>
      <c r="H102">
        <v>45</v>
      </c>
      <c r="I102">
        <v>202</v>
      </c>
      <c r="J102">
        <v>117</v>
      </c>
      <c r="K102">
        <v>24</v>
      </c>
      <c r="L102">
        <v>72</v>
      </c>
      <c r="M102">
        <v>20</v>
      </c>
      <c r="N102">
        <v>46</v>
      </c>
      <c r="O102">
        <v>15</v>
      </c>
      <c r="P102">
        <v>37.5</v>
      </c>
      <c r="Q102">
        <v>25.5</v>
      </c>
      <c r="R102">
        <v>245.5</v>
      </c>
      <c r="S102">
        <v>82</v>
      </c>
      <c r="T102">
        <v>156</v>
      </c>
      <c r="U102">
        <v>294</v>
      </c>
      <c r="V102">
        <v>55</v>
      </c>
      <c r="W102">
        <v>170.5</v>
      </c>
      <c r="X102">
        <v>53.5</v>
      </c>
      <c r="Y102">
        <v>3127</v>
      </c>
      <c r="Z102">
        <v>35</v>
      </c>
    </row>
    <row r="103" spans="1:26" x14ac:dyDescent="0.25">
      <c r="A103" t="s">
        <v>313</v>
      </c>
      <c r="B103" t="s">
        <v>314</v>
      </c>
      <c r="C103" t="s">
        <v>315</v>
      </c>
      <c r="D103">
        <v>3384.5</v>
      </c>
      <c r="E103">
        <v>49</v>
      </c>
      <c r="F103">
        <v>26</v>
      </c>
      <c r="G103">
        <v>79</v>
      </c>
      <c r="H103">
        <v>33</v>
      </c>
      <c r="I103">
        <v>146</v>
      </c>
      <c r="J103">
        <v>102</v>
      </c>
      <c r="K103">
        <v>21.5</v>
      </c>
      <c r="L103">
        <v>81</v>
      </c>
      <c r="M103">
        <v>22</v>
      </c>
      <c r="N103">
        <v>36</v>
      </c>
      <c r="O103">
        <v>14</v>
      </c>
      <c r="P103">
        <v>51.5</v>
      </c>
      <c r="Q103">
        <v>15</v>
      </c>
      <c r="R103">
        <v>224</v>
      </c>
      <c r="S103">
        <v>55</v>
      </c>
      <c r="T103">
        <v>109.5</v>
      </c>
      <c r="U103">
        <v>101</v>
      </c>
      <c r="V103">
        <v>59</v>
      </c>
      <c r="W103">
        <v>190</v>
      </c>
      <c r="X103">
        <v>252</v>
      </c>
      <c r="Y103">
        <v>3625</v>
      </c>
      <c r="Z103">
        <v>23</v>
      </c>
    </row>
    <row r="104" spans="1:26" x14ac:dyDescent="0.25">
      <c r="A104" t="s">
        <v>316</v>
      </c>
      <c r="B104" t="s">
        <v>317</v>
      </c>
      <c r="C104" t="s">
        <v>318</v>
      </c>
      <c r="D104">
        <v>5354.5</v>
      </c>
      <c r="E104">
        <v>55</v>
      </c>
      <c r="F104">
        <v>33</v>
      </c>
      <c r="G104">
        <v>100</v>
      </c>
      <c r="H104">
        <v>38</v>
      </c>
      <c r="I104">
        <v>80</v>
      </c>
      <c r="J104">
        <v>106</v>
      </c>
      <c r="K104">
        <v>18</v>
      </c>
      <c r="L104">
        <v>91.5</v>
      </c>
      <c r="M104">
        <v>21</v>
      </c>
      <c r="N104">
        <v>38</v>
      </c>
      <c r="O104">
        <v>21</v>
      </c>
      <c r="P104">
        <v>35</v>
      </c>
      <c r="Q104">
        <v>23</v>
      </c>
      <c r="R104">
        <v>283</v>
      </c>
      <c r="S104">
        <v>62</v>
      </c>
      <c r="T104">
        <v>122</v>
      </c>
      <c r="U104">
        <v>521</v>
      </c>
      <c r="V104">
        <v>67.5</v>
      </c>
      <c r="W104">
        <v>227</v>
      </c>
      <c r="X104">
        <v>370</v>
      </c>
      <c r="Y104">
        <v>5123</v>
      </c>
      <c r="Z104">
        <v>29</v>
      </c>
    </row>
    <row r="105" spans="1:26" x14ac:dyDescent="0.25">
      <c r="A105" t="s">
        <v>319</v>
      </c>
      <c r="B105" t="s">
        <v>320</v>
      </c>
      <c r="C105" t="s">
        <v>321</v>
      </c>
      <c r="D105">
        <v>4376</v>
      </c>
      <c r="E105">
        <v>52</v>
      </c>
      <c r="F105">
        <v>35</v>
      </c>
      <c r="G105">
        <v>143</v>
      </c>
      <c r="H105">
        <v>50</v>
      </c>
      <c r="I105">
        <v>194</v>
      </c>
      <c r="J105">
        <v>144</v>
      </c>
      <c r="K105">
        <v>26</v>
      </c>
      <c r="L105">
        <v>92</v>
      </c>
      <c r="M105">
        <v>24</v>
      </c>
      <c r="N105">
        <v>197.5</v>
      </c>
      <c r="O105">
        <v>25</v>
      </c>
      <c r="P105">
        <v>40</v>
      </c>
      <c r="Q105">
        <v>34</v>
      </c>
      <c r="R105">
        <v>331.5</v>
      </c>
      <c r="S105">
        <v>109</v>
      </c>
      <c r="T105">
        <v>319</v>
      </c>
      <c r="U105">
        <v>292</v>
      </c>
      <c r="V105">
        <v>124.5</v>
      </c>
      <c r="W105">
        <v>247</v>
      </c>
      <c r="X105">
        <v>396</v>
      </c>
      <c r="Y105">
        <v>5091</v>
      </c>
      <c r="Z105">
        <v>48</v>
      </c>
    </row>
    <row r="111" spans="1:26" x14ac:dyDescent="0.25">
      <c r="A111" s="1"/>
      <c r="B111" s="1"/>
      <c r="C111" s="1"/>
      <c r="D111" s="1" t="s">
        <v>6</v>
      </c>
      <c r="E111" s="1" t="s">
        <v>7</v>
      </c>
      <c r="F111" s="1" t="s">
        <v>8</v>
      </c>
      <c r="G111" s="1" t="s">
        <v>9</v>
      </c>
      <c r="H111" s="1" t="s">
        <v>10</v>
      </c>
      <c r="I111" s="1" t="s">
        <v>11</v>
      </c>
      <c r="J111" s="1" t="s">
        <v>12</v>
      </c>
      <c r="K111" s="1" t="s">
        <v>13</v>
      </c>
      <c r="L111" s="1" t="s">
        <v>14</v>
      </c>
      <c r="M111" s="1" t="s">
        <v>15</v>
      </c>
      <c r="N111" s="1" t="s">
        <v>16</v>
      </c>
      <c r="O111" s="1" t="s">
        <v>17</v>
      </c>
      <c r="P111" s="1" t="s">
        <v>18</v>
      </c>
      <c r="Q111" s="1" t="s">
        <v>19</v>
      </c>
      <c r="R111" s="1" t="s">
        <v>20</v>
      </c>
      <c r="S111" s="1" t="s">
        <v>21</v>
      </c>
      <c r="T111" s="1" t="s">
        <v>22</v>
      </c>
      <c r="U111" s="1" t="s">
        <v>23</v>
      </c>
      <c r="V111" s="1" t="s">
        <v>24</v>
      </c>
      <c r="W111" s="1" t="s">
        <v>25</v>
      </c>
      <c r="X111" s="1" t="s">
        <v>26</v>
      </c>
      <c r="Y111" s="1" t="s">
        <v>27</v>
      </c>
      <c r="Z111" s="1" t="s">
        <v>28</v>
      </c>
    </row>
    <row r="112" spans="1:26" x14ac:dyDescent="0.25">
      <c r="A112" s="1" t="s">
        <v>29</v>
      </c>
      <c r="B112" s="1" t="s">
        <v>30</v>
      </c>
      <c r="C112" s="1" t="s">
        <v>31</v>
      </c>
      <c r="D112" s="1" t="s">
        <v>322</v>
      </c>
      <c r="E112" s="1" t="s">
        <v>322</v>
      </c>
      <c r="F112" s="1" t="s">
        <v>322</v>
      </c>
      <c r="G112" s="1" t="s">
        <v>322</v>
      </c>
      <c r="H112" s="1" t="s">
        <v>322</v>
      </c>
      <c r="I112" s="1" t="s">
        <v>322</v>
      </c>
      <c r="J112" s="1" t="s">
        <v>322</v>
      </c>
      <c r="K112" s="1" t="s">
        <v>322</v>
      </c>
      <c r="L112" s="1" t="s">
        <v>322</v>
      </c>
      <c r="M112" s="1" t="s">
        <v>322</v>
      </c>
      <c r="N112" s="1" t="s">
        <v>322</v>
      </c>
      <c r="O112" s="1" t="s">
        <v>322</v>
      </c>
      <c r="P112" s="1" t="s">
        <v>322</v>
      </c>
      <c r="Q112" s="1" t="s">
        <v>322</v>
      </c>
      <c r="R112" s="1" t="s">
        <v>322</v>
      </c>
      <c r="S112" s="1" t="s">
        <v>322</v>
      </c>
      <c r="T112" s="1" t="s">
        <v>322</v>
      </c>
      <c r="U112" s="1" t="s">
        <v>322</v>
      </c>
      <c r="V112" s="1" t="s">
        <v>322</v>
      </c>
      <c r="W112" s="1" t="s">
        <v>322</v>
      </c>
      <c r="X112" s="1" t="s">
        <v>322</v>
      </c>
      <c r="Y112" s="1" t="s">
        <v>322</v>
      </c>
      <c r="Z112" s="1" t="s">
        <v>322</v>
      </c>
    </row>
    <row r="113" spans="1:26" x14ac:dyDescent="0.25">
      <c r="A113" t="s">
        <v>33</v>
      </c>
      <c r="B113" t="s">
        <v>34</v>
      </c>
      <c r="C113" t="s">
        <v>35</v>
      </c>
      <c r="D113">
        <v>45</v>
      </c>
      <c r="E113">
        <v>45</v>
      </c>
      <c r="F113">
        <v>25</v>
      </c>
      <c r="G113">
        <v>53</v>
      </c>
      <c r="H113">
        <v>46</v>
      </c>
      <c r="I113">
        <v>18</v>
      </c>
      <c r="J113">
        <v>77</v>
      </c>
      <c r="K113">
        <v>12</v>
      </c>
      <c r="L113">
        <v>33</v>
      </c>
      <c r="M113">
        <v>11</v>
      </c>
      <c r="N113">
        <v>22</v>
      </c>
      <c r="O113">
        <v>12</v>
      </c>
      <c r="P113">
        <v>38</v>
      </c>
      <c r="Q113">
        <v>13</v>
      </c>
      <c r="R113">
        <v>167</v>
      </c>
      <c r="S113">
        <v>43</v>
      </c>
      <c r="T113">
        <v>26.5</v>
      </c>
      <c r="U113">
        <v>12</v>
      </c>
      <c r="V113">
        <v>13</v>
      </c>
      <c r="W113">
        <v>179</v>
      </c>
      <c r="X113">
        <v>25</v>
      </c>
      <c r="Y113">
        <v>27</v>
      </c>
      <c r="Z113">
        <v>15</v>
      </c>
    </row>
    <row r="114" spans="1:26" x14ac:dyDescent="0.25">
      <c r="A114" t="s">
        <v>36</v>
      </c>
      <c r="B114" t="s">
        <v>37</v>
      </c>
      <c r="C114" t="s">
        <v>38</v>
      </c>
      <c r="D114" t="s">
        <v>39</v>
      </c>
      <c r="E114" t="s">
        <v>39</v>
      </c>
      <c r="F114" t="s">
        <v>39</v>
      </c>
      <c r="G114">
        <v>11463</v>
      </c>
      <c r="H114" t="s">
        <v>39</v>
      </c>
      <c r="I114" t="s">
        <v>39</v>
      </c>
      <c r="J114">
        <v>13010</v>
      </c>
      <c r="K114" t="s">
        <v>39</v>
      </c>
      <c r="L114">
        <v>17336</v>
      </c>
      <c r="M114" t="s">
        <v>39</v>
      </c>
      <c r="N114" t="s">
        <v>39</v>
      </c>
      <c r="O114">
        <v>8806.5</v>
      </c>
      <c r="P114">
        <v>15272.5</v>
      </c>
      <c r="Q114" t="s">
        <v>39</v>
      </c>
      <c r="R114">
        <v>22187</v>
      </c>
      <c r="S114">
        <v>9350.5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>
        <v>21034</v>
      </c>
    </row>
    <row r="115" spans="1:26" x14ac:dyDescent="0.25">
      <c r="A115" t="s">
        <v>40</v>
      </c>
      <c r="B115" t="s">
        <v>41</v>
      </c>
      <c r="C115" t="s">
        <v>42</v>
      </c>
      <c r="D115">
        <v>22276.5</v>
      </c>
      <c r="E115">
        <v>22339</v>
      </c>
      <c r="F115">
        <v>22848.5</v>
      </c>
      <c r="G115">
        <v>8683.5</v>
      </c>
      <c r="H115">
        <v>18593.5</v>
      </c>
      <c r="I115">
        <v>20099</v>
      </c>
      <c r="J115">
        <v>7322</v>
      </c>
      <c r="K115">
        <v>22167</v>
      </c>
      <c r="L115">
        <v>15202</v>
      </c>
      <c r="M115">
        <v>20150.5</v>
      </c>
      <c r="N115">
        <v>19571</v>
      </c>
      <c r="O115">
        <v>5554.5</v>
      </c>
      <c r="P115">
        <v>11731.5</v>
      </c>
      <c r="Q115">
        <v>16162</v>
      </c>
      <c r="R115">
        <v>17058</v>
      </c>
      <c r="S115">
        <v>8927</v>
      </c>
      <c r="T115">
        <v>17856</v>
      </c>
      <c r="U115">
        <v>17073</v>
      </c>
      <c r="V115" t="s">
        <v>39</v>
      </c>
      <c r="W115">
        <v>13638.5</v>
      </c>
      <c r="X115">
        <v>19829</v>
      </c>
      <c r="Y115">
        <v>19138</v>
      </c>
      <c r="Z115">
        <v>12190</v>
      </c>
    </row>
    <row r="116" spans="1:26" x14ac:dyDescent="0.25">
      <c r="A116" t="s">
        <v>43</v>
      </c>
      <c r="B116" t="s">
        <v>44</v>
      </c>
      <c r="C116" t="s">
        <v>45</v>
      </c>
      <c r="D116">
        <v>14297</v>
      </c>
      <c r="E116">
        <v>11774.5</v>
      </c>
      <c r="F116">
        <v>21119</v>
      </c>
      <c r="G116">
        <v>3511.5</v>
      </c>
      <c r="H116">
        <v>9365</v>
      </c>
      <c r="I116">
        <v>9338</v>
      </c>
      <c r="J116">
        <v>2687</v>
      </c>
      <c r="K116">
        <v>13188</v>
      </c>
      <c r="L116">
        <v>6552</v>
      </c>
      <c r="M116">
        <v>11506</v>
      </c>
      <c r="N116">
        <v>9870</v>
      </c>
      <c r="O116">
        <v>1935</v>
      </c>
      <c r="P116">
        <v>5219</v>
      </c>
      <c r="Q116">
        <v>6457.5</v>
      </c>
      <c r="R116">
        <v>7647</v>
      </c>
      <c r="S116">
        <v>7070.5</v>
      </c>
      <c r="T116">
        <v>8053.5</v>
      </c>
      <c r="U116">
        <v>9496.5</v>
      </c>
      <c r="V116">
        <v>17405.5</v>
      </c>
      <c r="W116">
        <v>10632</v>
      </c>
      <c r="X116">
        <v>13124</v>
      </c>
      <c r="Y116">
        <v>11379</v>
      </c>
      <c r="Z116">
        <v>4130</v>
      </c>
    </row>
    <row r="117" spans="1:26" x14ac:dyDescent="0.25">
      <c r="A117" t="s">
        <v>46</v>
      </c>
      <c r="B117" t="s">
        <v>47</v>
      </c>
      <c r="C117" t="s">
        <v>48</v>
      </c>
      <c r="D117">
        <v>4960</v>
      </c>
      <c r="E117">
        <v>4829.5</v>
      </c>
      <c r="F117">
        <v>11484</v>
      </c>
      <c r="G117">
        <v>992</v>
      </c>
      <c r="H117">
        <v>2515</v>
      </c>
      <c r="I117">
        <v>3275.5</v>
      </c>
      <c r="J117">
        <v>735.5</v>
      </c>
      <c r="K117">
        <v>3928.5</v>
      </c>
      <c r="L117">
        <v>1789</v>
      </c>
      <c r="M117">
        <v>4909</v>
      </c>
      <c r="N117">
        <v>3145.5</v>
      </c>
      <c r="O117">
        <v>548</v>
      </c>
      <c r="P117">
        <v>1759</v>
      </c>
      <c r="Q117">
        <v>1092</v>
      </c>
      <c r="R117">
        <v>2151</v>
      </c>
      <c r="S117">
        <v>3126.5</v>
      </c>
      <c r="T117">
        <v>2079.5</v>
      </c>
      <c r="U117">
        <v>2671.5</v>
      </c>
      <c r="V117">
        <v>7707</v>
      </c>
      <c r="W117">
        <v>4404</v>
      </c>
      <c r="X117">
        <v>4990</v>
      </c>
      <c r="Y117">
        <v>4659.5</v>
      </c>
      <c r="Z117">
        <v>1141</v>
      </c>
    </row>
    <row r="118" spans="1:26" x14ac:dyDescent="0.25">
      <c r="A118" t="s">
        <v>49</v>
      </c>
      <c r="B118" t="s">
        <v>50</v>
      </c>
      <c r="C118" t="s">
        <v>51</v>
      </c>
      <c r="D118">
        <v>1189</v>
      </c>
      <c r="E118">
        <v>1455</v>
      </c>
      <c r="F118">
        <v>2437</v>
      </c>
      <c r="G118">
        <v>319</v>
      </c>
      <c r="H118">
        <v>652.5</v>
      </c>
      <c r="I118">
        <v>975</v>
      </c>
      <c r="J118">
        <v>230.5</v>
      </c>
      <c r="K118">
        <v>855</v>
      </c>
      <c r="L118">
        <v>555</v>
      </c>
      <c r="M118">
        <v>1269</v>
      </c>
      <c r="N118">
        <v>942</v>
      </c>
      <c r="O118">
        <v>169</v>
      </c>
      <c r="P118">
        <v>502</v>
      </c>
      <c r="Q118">
        <v>399</v>
      </c>
      <c r="R118">
        <v>742</v>
      </c>
      <c r="S118">
        <v>1052</v>
      </c>
      <c r="T118">
        <v>571</v>
      </c>
      <c r="U118">
        <v>760</v>
      </c>
      <c r="V118">
        <v>1398</v>
      </c>
      <c r="W118">
        <v>708.5</v>
      </c>
      <c r="X118">
        <v>1439</v>
      </c>
      <c r="Y118">
        <v>1133</v>
      </c>
      <c r="Z118">
        <v>326</v>
      </c>
    </row>
    <row r="119" spans="1:26" x14ac:dyDescent="0.25">
      <c r="A119" t="s">
        <v>52</v>
      </c>
      <c r="B119" t="s">
        <v>53</v>
      </c>
      <c r="C119" t="s">
        <v>54</v>
      </c>
      <c r="D119">
        <v>263.5</v>
      </c>
      <c r="E119">
        <v>290</v>
      </c>
      <c r="F119">
        <v>274.5</v>
      </c>
      <c r="G119">
        <v>77.5</v>
      </c>
      <c r="H119">
        <v>120</v>
      </c>
      <c r="I119">
        <v>215.5</v>
      </c>
      <c r="J119">
        <v>24.5</v>
      </c>
      <c r="K119">
        <v>169</v>
      </c>
      <c r="L119">
        <v>132</v>
      </c>
      <c r="M119" t="s">
        <v>39</v>
      </c>
      <c r="N119">
        <v>188</v>
      </c>
      <c r="O119" t="s">
        <v>39</v>
      </c>
      <c r="P119">
        <v>121</v>
      </c>
      <c r="Q119">
        <v>88</v>
      </c>
      <c r="R119">
        <v>158.5</v>
      </c>
      <c r="S119" t="s">
        <v>39</v>
      </c>
      <c r="T119">
        <v>119.5</v>
      </c>
      <c r="U119">
        <v>162</v>
      </c>
      <c r="V119">
        <v>186</v>
      </c>
      <c r="W119">
        <v>74</v>
      </c>
      <c r="X119">
        <v>363</v>
      </c>
      <c r="Y119">
        <v>163</v>
      </c>
      <c r="Z119">
        <v>106.5</v>
      </c>
    </row>
    <row r="120" spans="1:26" x14ac:dyDescent="0.25">
      <c r="A120" t="s">
        <v>55</v>
      </c>
      <c r="B120" t="s">
        <v>56</v>
      </c>
      <c r="C120" t="s">
        <v>57</v>
      </c>
      <c r="D120">
        <v>70</v>
      </c>
      <c r="E120">
        <v>94</v>
      </c>
      <c r="F120">
        <v>45</v>
      </c>
      <c r="G120">
        <v>9</v>
      </c>
      <c r="H120">
        <v>34</v>
      </c>
      <c r="I120">
        <v>65</v>
      </c>
      <c r="J120">
        <v>3</v>
      </c>
      <c r="K120">
        <v>31</v>
      </c>
      <c r="L120">
        <v>26</v>
      </c>
      <c r="M120">
        <v>89</v>
      </c>
      <c r="N120">
        <v>53</v>
      </c>
      <c r="O120">
        <v>10</v>
      </c>
      <c r="P120">
        <v>26.5</v>
      </c>
      <c r="Q120">
        <v>23</v>
      </c>
      <c r="R120">
        <v>0</v>
      </c>
      <c r="S120">
        <v>57.5</v>
      </c>
      <c r="T120">
        <v>36.5</v>
      </c>
      <c r="U120">
        <v>45</v>
      </c>
      <c r="V120">
        <v>36</v>
      </c>
      <c r="W120">
        <v>-5</v>
      </c>
      <c r="X120">
        <v>90.5</v>
      </c>
      <c r="Y120">
        <v>63</v>
      </c>
      <c r="Z120">
        <v>18</v>
      </c>
    </row>
    <row r="121" spans="1:26" x14ac:dyDescent="0.25">
      <c r="A121" t="s">
        <v>58</v>
      </c>
      <c r="B121" t="s">
        <v>59</v>
      </c>
      <c r="C121" t="s">
        <v>60</v>
      </c>
      <c r="D121">
        <v>18.5</v>
      </c>
      <c r="E121">
        <v>21</v>
      </c>
      <c r="F121">
        <v>7</v>
      </c>
      <c r="G121">
        <v>-5</v>
      </c>
      <c r="H121">
        <v>1</v>
      </c>
      <c r="I121">
        <v>17.5</v>
      </c>
      <c r="J121">
        <v>-9</v>
      </c>
      <c r="K121">
        <v>6</v>
      </c>
      <c r="L121">
        <v>1</v>
      </c>
      <c r="M121">
        <v>21</v>
      </c>
      <c r="N121">
        <v>13</v>
      </c>
      <c r="O121">
        <v>2</v>
      </c>
      <c r="P121">
        <v>2</v>
      </c>
      <c r="Q121">
        <v>7</v>
      </c>
      <c r="R121">
        <v>-44</v>
      </c>
      <c r="S121">
        <v>11</v>
      </c>
      <c r="T121">
        <v>8.5</v>
      </c>
      <c r="U121">
        <v>11</v>
      </c>
      <c r="V121">
        <v>9</v>
      </c>
      <c r="W121" t="s">
        <v>39</v>
      </c>
      <c r="X121">
        <v>22</v>
      </c>
      <c r="Y121" t="s">
        <v>39</v>
      </c>
      <c r="Z121">
        <v>4</v>
      </c>
    </row>
    <row r="122" spans="1:26" x14ac:dyDescent="0.25">
      <c r="A122" t="s">
        <v>61</v>
      </c>
      <c r="B122" t="s">
        <v>62</v>
      </c>
      <c r="C122" t="s">
        <v>63</v>
      </c>
      <c r="D122">
        <v>3018</v>
      </c>
      <c r="E122">
        <v>0</v>
      </c>
      <c r="F122">
        <v>7</v>
      </c>
      <c r="G122">
        <v>20</v>
      </c>
      <c r="H122">
        <v>-3.5</v>
      </c>
      <c r="I122">
        <v>33</v>
      </c>
      <c r="J122">
        <v>19</v>
      </c>
      <c r="K122">
        <v>8</v>
      </c>
      <c r="L122">
        <v>35</v>
      </c>
      <c r="M122">
        <v>7</v>
      </c>
      <c r="N122">
        <v>15</v>
      </c>
      <c r="O122">
        <v>7.5</v>
      </c>
      <c r="P122">
        <v>7</v>
      </c>
      <c r="Q122">
        <v>6</v>
      </c>
      <c r="R122">
        <v>-24</v>
      </c>
      <c r="S122">
        <v>17</v>
      </c>
      <c r="T122">
        <v>68.5</v>
      </c>
      <c r="U122">
        <v>82</v>
      </c>
      <c r="V122">
        <v>56.5</v>
      </c>
      <c r="W122">
        <v>21.5</v>
      </c>
      <c r="X122">
        <v>224</v>
      </c>
      <c r="Y122">
        <v>1158</v>
      </c>
      <c r="Z122">
        <v>7</v>
      </c>
    </row>
    <row r="123" spans="1:26" x14ac:dyDescent="0.25">
      <c r="A123" t="s">
        <v>64</v>
      </c>
      <c r="B123" t="s">
        <v>65</v>
      </c>
      <c r="C123" t="s">
        <v>66</v>
      </c>
      <c r="D123">
        <v>3237</v>
      </c>
      <c r="E123">
        <v>0</v>
      </c>
      <c r="F123">
        <v>6</v>
      </c>
      <c r="G123">
        <v>13</v>
      </c>
      <c r="H123">
        <v>-7.5</v>
      </c>
      <c r="I123">
        <v>32</v>
      </c>
      <c r="J123">
        <v>13</v>
      </c>
      <c r="K123">
        <v>6</v>
      </c>
      <c r="L123">
        <v>46.5</v>
      </c>
      <c r="M123">
        <v>7</v>
      </c>
      <c r="N123">
        <v>8</v>
      </c>
      <c r="O123">
        <v>6</v>
      </c>
      <c r="P123">
        <v>2</v>
      </c>
      <c r="Q123">
        <v>4</v>
      </c>
      <c r="R123">
        <v>-21</v>
      </c>
      <c r="S123">
        <v>9.5</v>
      </c>
      <c r="T123">
        <v>65.5</v>
      </c>
      <c r="U123">
        <v>67</v>
      </c>
      <c r="V123">
        <v>25</v>
      </c>
      <c r="W123">
        <v>-13</v>
      </c>
      <c r="X123">
        <v>130</v>
      </c>
      <c r="Y123">
        <v>591</v>
      </c>
      <c r="Z123">
        <v>7</v>
      </c>
    </row>
    <row r="124" spans="1:26" x14ac:dyDescent="0.25">
      <c r="A124" t="s">
        <v>67</v>
      </c>
      <c r="B124" t="s">
        <v>68</v>
      </c>
      <c r="C124" t="s">
        <v>69</v>
      </c>
      <c r="D124">
        <v>3120</v>
      </c>
      <c r="E124">
        <v>-1.5</v>
      </c>
      <c r="F124">
        <v>8</v>
      </c>
      <c r="G124">
        <v>36</v>
      </c>
      <c r="H124">
        <v>-4</v>
      </c>
      <c r="I124">
        <v>74</v>
      </c>
      <c r="J124">
        <v>23</v>
      </c>
      <c r="K124">
        <v>13</v>
      </c>
      <c r="L124">
        <v>59</v>
      </c>
      <c r="M124">
        <v>9</v>
      </c>
      <c r="N124">
        <v>26</v>
      </c>
      <c r="O124">
        <v>9.5</v>
      </c>
      <c r="P124">
        <v>3</v>
      </c>
      <c r="Q124">
        <v>9</v>
      </c>
      <c r="R124">
        <v>-4</v>
      </c>
      <c r="S124">
        <v>22</v>
      </c>
      <c r="T124">
        <v>98.5</v>
      </c>
      <c r="U124">
        <v>84.5</v>
      </c>
      <c r="V124">
        <v>38</v>
      </c>
      <c r="W124">
        <v>0</v>
      </c>
      <c r="X124">
        <v>200</v>
      </c>
      <c r="Y124">
        <v>751.5</v>
      </c>
      <c r="Z124">
        <v>13</v>
      </c>
    </row>
    <row r="125" spans="1:26" x14ac:dyDescent="0.25">
      <c r="A125" t="s">
        <v>70</v>
      </c>
      <c r="B125" t="s">
        <v>71</v>
      </c>
      <c r="C125" t="s">
        <v>72</v>
      </c>
      <c r="D125">
        <v>2414</v>
      </c>
      <c r="E125">
        <v>0</v>
      </c>
      <c r="F125">
        <v>7</v>
      </c>
      <c r="G125">
        <v>27</v>
      </c>
      <c r="H125">
        <v>-3</v>
      </c>
      <c r="I125">
        <v>24.5</v>
      </c>
      <c r="J125">
        <v>24.5</v>
      </c>
      <c r="K125">
        <v>7</v>
      </c>
      <c r="L125">
        <v>54</v>
      </c>
      <c r="M125">
        <v>7</v>
      </c>
      <c r="N125">
        <v>17</v>
      </c>
      <c r="O125">
        <v>7</v>
      </c>
      <c r="P125">
        <v>4</v>
      </c>
      <c r="Q125">
        <v>6</v>
      </c>
      <c r="R125">
        <v>-18.5</v>
      </c>
      <c r="S125">
        <v>14</v>
      </c>
      <c r="T125">
        <v>104.5</v>
      </c>
      <c r="U125">
        <v>243</v>
      </c>
      <c r="V125">
        <v>48</v>
      </c>
      <c r="W125">
        <v>-4</v>
      </c>
      <c r="X125">
        <v>147</v>
      </c>
      <c r="Y125">
        <v>376</v>
      </c>
      <c r="Z125">
        <v>8</v>
      </c>
    </row>
    <row r="126" spans="1:26" x14ac:dyDescent="0.25">
      <c r="A126" t="s">
        <v>73</v>
      </c>
      <c r="B126" t="s">
        <v>74</v>
      </c>
      <c r="C126" t="s">
        <v>75</v>
      </c>
      <c r="D126">
        <v>5097.5</v>
      </c>
      <c r="E126">
        <v>2</v>
      </c>
      <c r="F126">
        <v>10</v>
      </c>
      <c r="G126">
        <v>35.5</v>
      </c>
      <c r="H126">
        <v>-3</v>
      </c>
      <c r="I126">
        <v>64</v>
      </c>
      <c r="J126">
        <v>24</v>
      </c>
      <c r="K126">
        <v>9</v>
      </c>
      <c r="L126">
        <v>54</v>
      </c>
      <c r="M126">
        <v>8</v>
      </c>
      <c r="N126">
        <v>32</v>
      </c>
      <c r="O126">
        <v>10</v>
      </c>
      <c r="P126">
        <v>6</v>
      </c>
      <c r="Q126">
        <v>9</v>
      </c>
      <c r="R126">
        <v>5</v>
      </c>
      <c r="S126">
        <v>24</v>
      </c>
      <c r="T126">
        <v>97.5</v>
      </c>
      <c r="U126">
        <v>78</v>
      </c>
      <c r="V126">
        <v>96</v>
      </c>
      <c r="W126">
        <v>29</v>
      </c>
      <c r="X126">
        <v>352</v>
      </c>
      <c r="Y126">
        <v>1740</v>
      </c>
      <c r="Z126">
        <v>18</v>
      </c>
    </row>
    <row r="127" spans="1:26" x14ac:dyDescent="0.25">
      <c r="A127" t="s">
        <v>76</v>
      </c>
      <c r="B127" t="s">
        <v>77</v>
      </c>
      <c r="C127" t="s">
        <v>78</v>
      </c>
      <c r="D127">
        <v>2826</v>
      </c>
      <c r="E127">
        <v>0</v>
      </c>
      <c r="F127">
        <v>5</v>
      </c>
      <c r="G127">
        <v>16</v>
      </c>
      <c r="H127">
        <v>-12</v>
      </c>
      <c r="I127">
        <v>39</v>
      </c>
      <c r="J127">
        <v>17</v>
      </c>
      <c r="K127">
        <v>4</v>
      </c>
      <c r="L127">
        <v>41</v>
      </c>
      <c r="M127">
        <v>5</v>
      </c>
      <c r="N127">
        <v>3</v>
      </c>
      <c r="O127">
        <v>7</v>
      </c>
      <c r="P127">
        <v>-2</v>
      </c>
      <c r="Q127">
        <v>4</v>
      </c>
      <c r="R127">
        <v>-7</v>
      </c>
      <c r="S127">
        <v>11.5</v>
      </c>
      <c r="T127">
        <v>92</v>
      </c>
      <c r="U127">
        <v>98</v>
      </c>
      <c r="V127">
        <v>45.5</v>
      </c>
      <c r="W127">
        <v>-7</v>
      </c>
      <c r="X127">
        <v>197</v>
      </c>
      <c r="Y127">
        <v>1019</v>
      </c>
      <c r="Z127">
        <v>10</v>
      </c>
    </row>
    <row r="128" spans="1:26" x14ac:dyDescent="0.25">
      <c r="A128" t="s">
        <v>79</v>
      </c>
      <c r="B128" t="s">
        <v>80</v>
      </c>
      <c r="C128" t="s">
        <v>81</v>
      </c>
      <c r="D128">
        <v>3085</v>
      </c>
      <c r="E128">
        <v>-2</v>
      </c>
      <c r="F128">
        <v>6</v>
      </c>
      <c r="G128">
        <v>14</v>
      </c>
      <c r="H128">
        <v>-5</v>
      </c>
      <c r="I128">
        <v>53</v>
      </c>
      <c r="J128">
        <v>9</v>
      </c>
      <c r="K128">
        <v>6</v>
      </c>
      <c r="L128">
        <v>44</v>
      </c>
      <c r="M128">
        <v>7</v>
      </c>
      <c r="N128">
        <v>7</v>
      </c>
      <c r="O128">
        <v>10</v>
      </c>
      <c r="P128">
        <v>-5</v>
      </c>
      <c r="Q128">
        <v>6</v>
      </c>
      <c r="R128">
        <v>-35.5</v>
      </c>
      <c r="S128">
        <v>7</v>
      </c>
      <c r="T128">
        <v>79.5</v>
      </c>
      <c r="U128">
        <v>71</v>
      </c>
      <c r="V128">
        <v>64.5</v>
      </c>
      <c r="W128">
        <v>-10</v>
      </c>
      <c r="X128">
        <v>276.5</v>
      </c>
      <c r="Y128">
        <v>1446.5</v>
      </c>
      <c r="Z128">
        <v>10</v>
      </c>
    </row>
    <row r="129" spans="1:26" x14ac:dyDescent="0.25">
      <c r="A129" t="s">
        <v>82</v>
      </c>
      <c r="B129" t="s">
        <v>83</v>
      </c>
      <c r="C129" t="s">
        <v>84</v>
      </c>
      <c r="D129">
        <v>3300</v>
      </c>
      <c r="E129">
        <v>-2.5</v>
      </c>
      <c r="F129">
        <v>5</v>
      </c>
      <c r="G129">
        <v>35</v>
      </c>
      <c r="H129">
        <v>-3</v>
      </c>
      <c r="I129">
        <v>38.5</v>
      </c>
      <c r="J129">
        <v>15</v>
      </c>
      <c r="K129">
        <v>10</v>
      </c>
      <c r="L129">
        <v>55.5</v>
      </c>
      <c r="M129">
        <v>8</v>
      </c>
      <c r="N129">
        <v>42</v>
      </c>
      <c r="O129">
        <v>10</v>
      </c>
      <c r="P129">
        <v>-1.5</v>
      </c>
      <c r="Q129">
        <v>8</v>
      </c>
      <c r="R129">
        <v>-26</v>
      </c>
      <c r="S129">
        <v>19</v>
      </c>
      <c r="T129">
        <v>110</v>
      </c>
      <c r="U129">
        <v>46</v>
      </c>
      <c r="V129">
        <v>36</v>
      </c>
      <c r="W129">
        <v>-16.5</v>
      </c>
      <c r="X129">
        <v>150</v>
      </c>
      <c r="Y129">
        <v>931</v>
      </c>
      <c r="Z129">
        <v>10</v>
      </c>
    </row>
    <row r="130" spans="1:26" x14ac:dyDescent="0.25">
      <c r="A130" t="s">
        <v>85</v>
      </c>
      <c r="B130" t="s">
        <v>86</v>
      </c>
      <c r="C130" t="s">
        <v>87</v>
      </c>
      <c r="D130">
        <v>4072</v>
      </c>
      <c r="E130">
        <v>-3</v>
      </c>
      <c r="F130">
        <v>5.5</v>
      </c>
      <c r="G130">
        <v>33</v>
      </c>
      <c r="H130">
        <v>-11</v>
      </c>
      <c r="I130">
        <v>21.5</v>
      </c>
      <c r="J130">
        <v>20</v>
      </c>
      <c r="K130">
        <v>8</v>
      </c>
      <c r="L130">
        <v>57</v>
      </c>
      <c r="M130">
        <v>6</v>
      </c>
      <c r="N130">
        <v>29.5</v>
      </c>
      <c r="O130">
        <v>7</v>
      </c>
      <c r="P130">
        <v>-6</v>
      </c>
      <c r="Q130">
        <v>10</v>
      </c>
      <c r="R130">
        <v>-22</v>
      </c>
      <c r="S130">
        <v>15.5</v>
      </c>
      <c r="T130">
        <v>93.5</v>
      </c>
      <c r="U130">
        <v>61.5</v>
      </c>
      <c r="V130">
        <v>56</v>
      </c>
      <c r="W130">
        <v>-10</v>
      </c>
      <c r="X130">
        <v>180</v>
      </c>
      <c r="Y130">
        <v>642</v>
      </c>
      <c r="Z130">
        <v>10</v>
      </c>
    </row>
    <row r="131" spans="1:26" x14ac:dyDescent="0.25">
      <c r="A131" t="s">
        <v>88</v>
      </c>
      <c r="B131" t="s">
        <v>89</v>
      </c>
      <c r="C131" t="s">
        <v>90</v>
      </c>
      <c r="D131">
        <v>4184</v>
      </c>
      <c r="E131">
        <v>0</v>
      </c>
      <c r="F131">
        <v>9</v>
      </c>
      <c r="G131">
        <v>64</v>
      </c>
      <c r="H131">
        <v>-1.5</v>
      </c>
      <c r="I131">
        <v>46</v>
      </c>
      <c r="J131">
        <v>44</v>
      </c>
      <c r="K131">
        <v>16</v>
      </c>
      <c r="L131">
        <v>65</v>
      </c>
      <c r="M131">
        <v>10.5</v>
      </c>
      <c r="N131">
        <v>94</v>
      </c>
      <c r="O131">
        <v>9</v>
      </c>
      <c r="P131">
        <v>6</v>
      </c>
      <c r="Q131">
        <v>15</v>
      </c>
      <c r="R131">
        <v>45</v>
      </c>
      <c r="S131">
        <v>54</v>
      </c>
      <c r="T131">
        <v>138.5</v>
      </c>
      <c r="U131">
        <v>77</v>
      </c>
      <c r="V131">
        <v>57</v>
      </c>
      <c r="W131">
        <v>9.5</v>
      </c>
      <c r="X131">
        <v>228</v>
      </c>
      <c r="Y131">
        <v>858</v>
      </c>
      <c r="Z131">
        <v>22</v>
      </c>
    </row>
    <row r="132" spans="1:26" x14ac:dyDescent="0.25">
      <c r="A132" t="s">
        <v>91</v>
      </c>
      <c r="B132" t="s">
        <v>92</v>
      </c>
      <c r="C132" t="s">
        <v>93</v>
      </c>
      <c r="D132">
        <v>4014</v>
      </c>
      <c r="E132">
        <v>4</v>
      </c>
      <c r="F132">
        <v>8</v>
      </c>
      <c r="G132">
        <v>50</v>
      </c>
      <c r="H132">
        <v>2</v>
      </c>
      <c r="I132">
        <v>31</v>
      </c>
      <c r="J132">
        <v>26.5</v>
      </c>
      <c r="K132">
        <v>22</v>
      </c>
      <c r="L132">
        <v>77</v>
      </c>
      <c r="M132">
        <v>12</v>
      </c>
      <c r="N132">
        <v>57</v>
      </c>
      <c r="O132">
        <v>13</v>
      </c>
      <c r="P132">
        <v>5</v>
      </c>
      <c r="Q132">
        <v>16</v>
      </c>
      <c r="R132">
        <v>14</v>
      </c>
      <c r="S132">
        <v>35.5</v>
      </c>
      <c r="T132">
        <v>95.5</v>
      </c>
      <c r="U132">
        <v>92.5</v>
      </c>
      <c r="V132">
        <v>37</v>
      </c>
      <c r="W132">
        <v>17.5</v>
      </c>
      <c r="X132">
        <v>209</v>
      </c>
      <c r="Y132">
        <v>656</v>
      </c>
      <c r="Z132">
        <v>20</v>
      </c>
    </row>
    <row r="133" spans="1:26" x14ac:dyDescent="0.25">
      <c r="A133" t="s">
        <v>94</v>
      </c>
      <c r="B133" t="s">
        <v>95</v>
      </c>
      <c r="C133" t="s">
        <v>96</v>
      </c>
      <c r="D133">
        <v>2209.5</v>
      </c>
      <c r="E133">
        <v>-2</v>
      </c>
      <c r="F133">
        <v>6</v>
      </c>
      <c r="G133">
        <v>10</v>
      </c>
      <c r="H133">
        <v>-9</v>
      </c>
      <c r="I133">
        <v>28</v>
      </c>
      <c r="J133">
        <v>9</v>
      </c>
      <c r="K133">
        <v>6</v>
      </c>
      <c r="L133">
        <v>50</v>
      </c>
      <c r="M133">
        <v>6</v>
      </c>
      <c r="N133">
        <v>12</v>
      </c>
      <c r="O133">
        <v>7</v>
      </c>
      <c r="P133">
        <v>0</v>
      </c>
      <c r="Q133">
        <v>5</v>
      </c>
      <c r="R133">
        <v>-26</v>
      </c>
      <c r="S133">
        <v>8</v>
      </c>
      <c r="T133">
        <v>86.5</v>
      </c>
      <c r="U133">
        <v>29</v>
      </c>
      <c r="V133">
        <v>38.5</v>
      </c>
      <c r="W133">
        <v>-21</v>
      </c>
      <c r="X133">
        <v>117</v>
      </c>
      <c r="Y133">
        <v>416</v>
      </c>
      <c r="Z133">
        <v>7</v>
      </c>
    </row>
    <row r="134" spans="1:26" x14ac:dyDescent="0.25">
      <c r="A134" t="s">
        <v>97</v>
      </c>
      <c r="B134" t="s">
        <v>98</v>
      </c>
      <c r="C134" t="s">
        <v>99</v>
      </c>
      <c r="D134">
        <v>2171</v>
      </c>
      <c r="E134">
        <v>-2</v>
      </c>
      <c r="F134">
        <v>5</v>
      </c>
      <c r="G134">
        <v>6</v>
      </c>
      <c r="H134">
        <v>-10</v>
      </c>
      <c r="I134">
        <v>33</v>
      </c>
      <c r="J134">
        <v>4</v>
      </c>
      <c r="K134">
        <v>4</v>
      </c>
      <c r="L134">
        <v>43</v>
      </c>
      <c r="M134">
        <v>5</v>
      </c>
      <c r="N134">
        <v>2</v>
      </c>
      <c r="O134">
        <v>6</v>
      </c>
      <c r="P134">
        <v>4</v>
      </c>
      <c r="Q134">
        <v>3</v>
      </c>
      <c r="R134">
        <v>-44</v>
      </c>
      <c r="S134">
        <v>4</v>
      </c>
      <c r="T134">
        <v>81.5</v>
      </c>
      <c r="U134">
        <v>53.5</v>
      </c>
      <c r="V134">
        <v>21</v>
      </c>
      <c r="W134">
        <v>-16</v>
      </c>
      <c r="X134">
        <v>177</v>
      </c>
      <c r="Y134">
        <v>764</v>
      </c>
      <c r="Z134">
        <v>5</v>
      </c>
    </row>
    <row r="135" spans="1:26" x14ac:dyDescent="0.25">
      <c r="A135" t="s">
        <v>100</v>
      </c>
      <c r="B135" t="s">
        <v>101</v>
      </c>
      <c r="C135" t="s">
        <v>102</v>
      </c>
      <c r="D135">
        <v>1854</v>
      </c>
      <c r="E135">
        <v>-0.5</v>
      </c>
      <c r="F135">
        <v>7.5</v>
      </c>
      <c r="G135">
        <v>7</v>
      </c>
      <c r="H135">
        <v>-5</v>
      </c>
      <c r="I135">
        <v>22</v>
      </c>
      <c r="J135">
        <v>11</v>
      </c>
      <c r="K135">
        <v>5</v>
      </c>
      <c r="L135">
        <v>54</v>
      </c>
      <c r="M135">
        <v>7</v>
      </c>
      <c r="N135">
        <v>7</v>
      </c>
      <c r="O135">
        <v>8</v>
      </c>
      <c r="P135">
        <v>-4</v>
      </c>
      <c r="Q135">
        <v>4</v>
      </c>
      <c r="R135">
        <v>-30</v>
      </c>
      <c r="S135">
        <v>6</v>
      </c>
      <c r="T135">
        <v>83.5</v>
      </c>
      <c r="U135">
        <v>49</v>
      </c>
      <c r="V135">
        <v>23.5</v>
      </c>
      <c r="W135">
        <v>-15</v>
      </c>
      <c r="X135">
        <v>170</v>
      </c>
      <c r="Y135">
        <v>468.5</v>
      </c>
      <c r="Z135">
        <v>8</v>
      </c>
    </row>
    <row r="136" spans="1:26" x14ac:dyDescent="0.25">
      <c r="A136" t="s">
        <v>103</v>
      </c>
      <c r="B136" t="s">
        <v>104</v>
      </c>
      <c r="C136" t="s">
        <v>105</v>
      </c>
      <c r="D136">
        <v>1267</v>
      </c>
      <c r="E136">
        <v>-3</v>
      </c>
      <c r="F136">
        <v>5</v>
      </c>
      <c r="G136">
        <v>4</v>
      </c>
      <c r="H136">
        <v>-8</v>
      </c>
      <c r="I136">
        <v>39.5</v>
      </c>
      <c r="J136">
        <v>13.5</v>
      </c>
      <c r="K136">
        <v>5</v>
      </c>
      <c r="L136">
        <v>47</v>
      </c>
      <c r="M136">
        <v>6</v>
      </c>
      <c r="N136">
        <v>4</v>
      </c>
      <c r="O136">
        <v>6</v>
      </c>
      <c r="P136">
        <v>-6</v>
      </c>
      <c r="Q136">
        <v>4</v>
      </c>
      <c r="R136">
        <v>-20.5</v>
      </c>
      <c r="S136">
        <v>4</v>
      </c>
      <c r="T136">
        <v>66.5</v>
      </c>
      <c r="U136">
        <v>57</v>
      </c>
      <c r="V136">
        <v>35</v>
      </c>
      <c r="W136">
        <v>-29</v>
      </c>
      <c r="X136">
        <v>111</v>
      </c>
      <c r="Y136">
        <v>316</v>
      </c>
      <c r="Z136">
        <v>6</v>
      </c>
    </row>
    <row r="137" spans="1:26" x14ac:dyDescent="0.25">
      <c r="A137" t="s">
        <v>106</v>
      </c>
      <c r="B137" t="s">
        <v>107</v>
      </c>
      <c r="C137" t="s">
        <v>108</v>
      </c>
      <c r="D137">
        <v>2981</v>
      </c>
      <c r="E137">
        <v>0</v>
      </c>
      <c r="F137">
        <v>11</v>
      </c>
      <c r="G137">
        <v>21</v>
      </c>
      <c r="H137">
        <v>-2</v>
      </c>
      <c r="I137">
        <v>27</v>
      </c>
      <c r="J137">
        <v>15</v>
      </c>
      <c r="K137">
        <v>7</v>
      </c>
      <c r="L137">
        <v>54</v>
      </c>
      <c r="M137">
        <v>6</v>
      </c>
      <c r="N137">
        <v>5</v>
      </c>
      <c r="O137">
        <v>6</v>
      </c>
      <c r="P137">
        <v>6</v>
      </c>
      <c r="Q137">
        <v>9.5</v>
      </c>
      <c r="R137">
        <v>27</v>
      </c>
      <c r="S137">
        <v>13</v>
      </c>
      <c r="T137">
        <v>71.5</v>
      </c>
      <c r="U137">
        <v>65.5</v>
      </c>
      <c r="V137">
        <v>60</v>
      </c>
      <c r="W137">
        <v>-7</v>
      </c>
      <c r="X137">
        <v>107</v>
      </c>
      <c r="Y137">
        <v>1129</v>
      </c>
      <c r="Z137">
        <v>11</v>
      </c>
    </row>
    <row r="138" spans="1:26" x14ac:dyDescent="0.25">
      <c r="A138" t="s">
        <v>109</v>
      </c>
      <c r="B138" t="s">
        <v>110</v>
      </c>
      <c r="C138" t="s">
        <v>111</v>
      </c>
      <c r="D138">
        <v>706</v>
      </c>
      <c r="E138">
        <v>13.5</v>
      </c>
      <c r="F138">
        <v>-1</v>
      </c>
      <c r="G138">
        <v>-22</v>
      </c>
      <c r="H138">
        <v>-24</v>
      </c>
      <c r="I138">
        <v>24.5</v>
      </c>
      <c r="J138">
        <v>-24</v>
      </c>
      <c r="K138">
        <v>-1</v>
      </c>
      <c r="L138">
        <v>-5</v>
      </c>
      <c r="M138">
        <v>8</v>
      </c>
      <c r="N138">
        <v>-7</v>
      </c>
      <c r="O138">
        <v>4</v>
      </c>
      <c r="P138">
        <v>-20</v>
      </c>
      <c r="Q138">
        <v>4</v>
      </c>
      <c r="R138">
        <v>74.5</v>
      </c>
      <c r="S138">
        <v>-4.5</v>
      </c>
      <c r="T138">
        <v>19.5</v>
      </c>
      <c r="U138">
        <v>65</v>
      </c>
      <c r="V138">
        <v>140.5</v>
      </c>
      <c r="W138">
        <v>-152</v>
      </c>
      <c r="X138">
        <v>58</v>
      </c>
      <c r="Y138">
        <v>160</v>
      </c>
      <c r="Z138">
        <v>-2.5</v>
      </c>
    </row>
    <row r="139" spans="1:26" x14ac:dyDescent="0.25">
      <c r="A139" t="s">
        <v>112</v>
      </c>
      <c r="B139" t="s">
        <v>113</v>
      </c>
      <c r="C139" t="s">
        <v>114</v>
      </c>
      <c r="D139">
        <v>4470.5</v>
      </c>
      <c r="E139">
        <v>19.5</v>
      </c>
      <c r="F139">
        <v>9</v>
      </c>
      <c r="G139">
        <v>48</v>
      </c>
      <c r="H139">
        <v>11</v>
      </c>
      <c r="I139">
        <v>286</v>
      </c>
      <c r="J139">
        <v>39.5</v>
      </c>
      <c r="K139">
        <v>11</v>
      </c>
      <c r="L139">
        <v>69</v>
      </c>
      <c r="M139">
        <v>18</v>
      </c>
      <c r="N139">
        <v>18.5</v>
      </c>
      <c r="O139">
        <v>9</v>
      </c>
      <c r="P139">
        <v>17</v>
      </c>
      <c r="Q139">
        <v>22</v>
      </c>
      <c r="R139">
        <v>230.5</v>
      </c>
      <c r="S139">
        <v>21</v>
      </c>
      <c r="T139">
        <v>115.5</v>
      </c>
      <c r="U139">
        <v>402</v>
      </c>
      <c r="V139">
        <v>1284</v>
      </c>
      <c r="W139">
        <v>362</v>
      </c>
      <c r="X139">
        <v>2281.5</v>
      </c>
      <c r="Y139">
        <v>4267</v>
      </c>
      <c r="Z139">
        <v>21</v>
      </c>
    </row>
    <row r="140" spans="1:26" x14ac:dyDescent="0.25">
      <c r="A140" t="s">
        <v>115</v>
      </c>
      <c r="B140" t="s">
        <v>116</v>
      </c>
      <c r="C140" t="s">
        <v>117</v>
      </c>
      <c r="D140">
        <v>3924.5</v>
      </c>
      <c r="E140">
        <v>16</v>
      </c>
      <c r="F140">
        <v>10</v>
      </c>
      <c r="G140">
        <v>34</v>
      </c>
      <c r="H140">
        <v>2</v>
      </c>
      <c r="I140">
        <v>94</v>
      </c>
      <c r="J140">
        <v>35</v>
      </c>
      <c r="K140">
        <v>10</v>
      </c>
      <c r="L140">
        <v>82</v>
      </c>
      <c r="M140">
        <v>10</v>
      </c>
      <c r="N140">
        <v>24</v>
      </c>
      <c r="O140">
        <v>13</v>
      </c>
      <c r="P140">
        <v>10</v>
      </c>
      <c r="Q140">
        <v>11</v>
      </c>
      <c r="R140">
        <v>117</v>
      </c>
      <c r="S140">
        <v>23</v>
      </c>
      <c r="T140">
        <v>114.5</v>
      </c>
      <c r="U140">
        <v>158</v>
      </c>
      <c r="V140">
        <v>326</v>
      </c>
      <c r="W140">
        <v>81</v>
      </c>
      <c r="X140">
        <v>595</v>
      </c>
      <c r="Y140">
        <v>3009.5</v>
      </c>
      <c r="Z140">
        <v>24</v>
      </c>
    </row>
    <row r="141" spans="1:26" x14ac:dyDescent="0.25">
      <c r="A141" t="s">
        <v>118</v>
      </c>
      <c r="B141" t="s">
        <v>119</v>
      </c>
      <c r="C141" t="s">
        <v>120</v>
      </c>
      <c r="D141">
        <v>6034</v>
      </c>
      <c r="E141">
        <v>7</v>
      </c>
      <c r="F141">
        <v>11</v>
      </c>
      <c r="G141">
        <v>59</v>
      </c>
      <c r="H141">
        <v>6</v>
      </c>
      <c r="I141">
        <v>68</v>
      </c>
      <c r="J141">
        <v>50.5</v>
      </c>
      <c r="K141">
        <v>15.5</v>
      </c>
      <c r="L141">
        <v>62</v>
      </c>
      <c r="M141">
        <v>12</v>
      </c>
      <c r="N141">
        <v>68</v>
      </c>
      <c r="O141">
        <v>12</v>
      </c>
      <c r="P141">
        <v>10</v>
      </c>
      <c r="Q141">
        <v>13</v>
      </c>
      <c r="R141">
        <v>137</v>
      </c>
      <c r="S141">
        <v>52.5</v>
      </c>
      <c r="T141">
        <v>135.5</v>
      </c>
      <c r="U141">
        <v>278</v>
      </c>
      <c r="V141">
        <v>95.5</v>
      </c>
      <c r="W141">
        <v>48</v>
      </c>
      <c r="X141">
        <v>205</v>
      </c>
      <c r="Y141">
        <v>3516</v>
      </c>
      <c r="Z141">
        <v>30</v>
      </c>
    </row>
    <row r="142" spans="1:26" x14ac:dyDescent="0.25">
      <c r="A142" t="s">
        <v>121</v>
      </c>
      <c r="B142" t="s">
        <v>122</v>
      </c>
      <c r="C142" t="s">
        <v>123</v>
      </c>
      <c r="D142">
        <v>3346</v>
      </c>
      <c r="E142">
        <v>1</v>
      </c>
      <c r="F142">
        <v>8</v>
      </c>
      <c r="G142">
        <v>34</v>
      </c>
      <c r="H142">
        <v>-5</v>
      </c>
      <c r="I142">
        <v>81</v>
      </c>
      <c r="J142">
        <v>22</v>
      </c>
      <c r="K142">
        <v>12</v>
      </c>
      <c r="L142">
        <v>82</v>
      </c>
      <c r="M142">
        <v>9</v>
      </c>
      <c r="N142">
        <v>13</v>
      </c>
      <c r="O142">
        <v>10.5</v>
      </c>
      <c r="P142">
        <v>5</v>
      </c>
      <c r="Q142">
        <v>6</v>
      </c>
      <c r="R142">
        <v>27</v>
      </c>
      <c r="S142">
        <v>20</v>
      </c>
      <c r="T142">
        <v>102.5</v>
      </c>
      <c r="U142">
        <v>99.5</v>
      </c>
      <c r="V142">
        <v>57</v>
      </c>
      <c r="W142">
        <v>16</v>
      </c>
      <c r="X142">
        <v>273</v>
      </c>
      <c r="Y142">
        <v>2124</v>
      </c>
      <c r="Z142">
        <v>17</v>
      </c>
    </row>
    <row r="143" spans="1:26" x14ac:dyDescent="0.25">
      <c r="A143" t="s">
        <v>124</v>
      </c>
      <c r="B143" t="s">
        <v>125</v>
      </c>
      <c r="C143" t="s">
        <v>126</v>
      </c>
      <c r="D143">
        <v>2831</v>
      </c>
      <c r="E143">
        <v>0</v>
      </c>
      <c r="F143">
        <v>6</v>
      </c>
      <c r="G143">
        <v>19.5</v>
      </c>
      <c r="H143">
        <v>-6</v>
      </c>
      <c r="I143">
        <v>44</v>
      </c>
      <c r="J143">
        <v>21</v>
      </c>
      <c r="K143">
        <v>5</v>
      </c>
      <c r="L143">
        <v>51</v>
      </c>
      <c r="M143">
        <v>6</v>
      </c>
      <c r="N143">
        <v>5</v>
      </c>
      <c r="O143">
        <v>7</v>
      </c>
      <c r="P143">
        <v>-3</v>
      </c>
      <c r="Q143">
        <v>7</v>
      </c>
      <c r="R143">
        <v>19</v>
      </c>
      <c r="S143">
        <v>10.5</v>
      </c>
      <c r="T143">
        <v>81.5</v>
      </c>
      <c r="U143">
        <v>82</v>
      </c>
      <c r="V143">
        <v>54</v>
      </c>
      <c r="W143">
        <v>5</v>
      </c>
      <c r="X143">
        <v>158</v>
      </c>
      <c r="Y143">
        <v>700.5</v>
      </c>
      <c r="Z143">
        <v>9</v>
      </c>
    </row>
    <row r="144" spans="1:26" x14ac:dyDescent="0.25">
      <c r="A144" t="s">
        <v>127</v>
      </c>
      <c r="B144" t="s">
        <v>128</v>
      </c>
      <c r="C144" t="s">
        <v>129</v>
      </c>
      <c r="D144">
        <v>1779</v>
      </c>
      <c r="E144">
        <v>8</v>
      </c>
      <c r="F144">
        <v>7</v>
      </c>
      <c r="G144">
        <v>25</v>
      </c>
      <c r="H144">
        <v>-2</v>
      </c>
      <c r="I144">
        <v>78</v>
      </c>
      <c r="J144">
        <v>20</v>
      </c>
      <c r="K144">
        <v>5</v>
      </c>
      <c r="L144">
        <v>68</v>
      </c>
      <c r="M144">
        <v>8.5</v>
      </c>
      <c r="N144">
        <v>8</v>
      </c>
      <c r="O144">
        <v>8</v>
      </c>
      <c r="P144">
        <v>-4</v>
      </c>
      <c r="Q144">
        <v>9</v>
      </c>
      <c r="R144">
        <v>30</v>
      </c>
      <c r="S144">
        <v>11.5</v>
      </c>
      <c r="T144">
        <v>88.5</v>
      </c>
      <c r="U144">
        <v>163</v>
      </c>
      <c r="V144">
        <v>209.5</v>
      </c>
      <c r="W144">
        <v>13</v>
      </c>
      <c r="X144">
        <v>410</v>
      </c>
      <c r="Y144">
        <v>1507.5</v>
      </c>
      <c r="Z144">
        <v>10</v>
      </c>
    </row>
    <row r="145" spans="1:26" x14ac:dyDescent="0.25">
      <c r="A145" t="s">
        <v>130</v>
      </c>
      <c r="B145" t="s">
        <v>131</v>
      </c>
      <c r="C145" t="s">
        <v>132</v>
      </c>
      <c r="D145">
        <v>4570</v>
      </c>
      <c r="E145">
        <v>18</v>
      </c>
      <c r="F145">
        <v>9</v>
      </c>
      <c r="G145">
        <v>56</v>
      </c>
      <c r="H145">
        <v>-1</v>
      </c>
      <c r="I145">
        <v>116</v>
      </c>
      <c r="J145">
        <v>40</v>
      </c>
      <c r="K145">
        <v>14</v>
      </c>
      <c r="L145">
        <v>80</v>
      </c>
      <c r="M145">
        <v>12.5</v>
      </c>
      <c r="N145">
        <v>39</v>
      </c>
      <c r="O145">
        <v>10</v>
      </c>
      <c r="P145">
        <v>10</v>
      </c>
      <c r="Q145">
        <v>12.5</v>
      </c>
      <c r="R145">
        <v>179</v>
      </c>
      <c r="S145">
        <v>35.5</v>
      </c>
      <c r="T145">
        <v>105.5</v>
      </c>
      <c r="U145">
        <v>222</v>
      </c>
      <c r="V145">
        <v>207</v>
      </c>
      <c r="W145">
        <v>114</v>
      </c>
      <c r="X145">
        <v>678</v>
      </c>
      <c r="Y145">
        <v>1875</v>
      </c>
      <c r="Z145">
        <v>20</v>
      </c>
    </row>
    <row r="146" spans="1:26" x14ac:dyDescent="0.25">
      <c r="A146" t="s">
        <v>133</v>
      </c>
      <c r="B146" t="s">
        <v>134</v>
      </c>
      <c r="C146" t="s">
        <v>135</v>
      </c>
      <c r="D146">
        <v>7740</v>
      </c>
      <c r="E146">
        <v>16</v>
      </c>
      <c r="F146">
        <v>14</v>
      </c>
      <c r="G146">
        <v>78.5</v>
      </c>
      <c r="H146">
        <v>10.5</v>
      </c>
      <c r="I146">
        <v>87</v>
      </c>
      <c r="J146">
        <v>55</v>
      </c>
      <c r="K146">
        <v>30.5</v>
      </c>
      <c r="L146">
        <v>107</v>
      </c>
      <c r="M146">
        <v>20</v>
      </c>
      <c r="N146">
        <v>100</v>
      </c>
      <c r="O146">
        <v>23</v>
      </c>
      <c r="P146">
        <v>4</v>
      </c>
      <c r="Q146">
        <v>23.5</v>
      </c>
      <c r="R146">
        <v>134</v>
      </c>
      <c r="S146">
        <v>69</v>
      </c>
      <c r="T146">
        <v>173.5</v>
      </c>
      <c r="U146">
        <v>216</v>
      </c>
      <c r="V146">
        <v>121.5</v>
      </c>
      <c r="W146">
        <v>76.5</v>
      </c>
      <c r="X146">
        <v>379</v>
      </c>
      <c r="Y146">
        <v>5024</v>
      </c>
      <c r="Z146">
        <v>47</v>
      </c>
    </row>
    <row r="147" spans="1:26" x14ac:dyDescent="0.25">
      <c r="A147" t="s">
        <v>136</v>
      </c>
      <c r="B147" t="s">
        <v>137</v>
      </c>
      <c r="C147" t="s">
        <v>138</v>
      </c>
      <c r="D147">
        <v>7687</v>
      </c>
      <c r="E147">
        <v>108</v>
      </c>
      <c r="F147">
        <v>14.5</v>
      </c>
      <c r="G147">
        <v>64.5</v>
      </c>
      <c r="H147">
        <v>9</v>
      </c>
      <c r="I147">
        <v>315</v>
      </c>
      <c r="J147">
        <v>55</v>
      </c>
      <c r="K147">
        <v>12</v>
      </c>
      <c r="L147">
        <v>65</v>
      </c>
      <c r="M147">
        <v>22</v>
      </c>
      <c r="N147">
        <v>60.5</v>
      </c>
      <c r="O147">
        <v>12</v>
      </c>
      <c r="P147">
        <v>13</v>
      </c>
      <c r="Q147">
        <v>17</v>
      </c>
      <c r="R147">
        <v>557</v>
      </c>
      <c r="S147">
        <v>45</v>
      </c>
      <c r="T147">
        <v>145.5</v>
      </c>
      <c r="U147">
        <v>1743.5</v>
      </c>
      <c r="V147">
        <v>1494.5</v>
      </c>
      <c r="W147">
        <v>312.5</v>
      </c>
      <c r="X147">
        <v>1664</v>
      </c>
      <c r="Y147">
        <v>4273</v>
      </c>
      <c r="Z147">
        <v>35</v>
      </c>
    </row>
    <row r="148" spans="1:26" x14ac:dyDescent="0.25">
      <c r="A148" t="s">
        <v>139</v>
      </c>
      <c r="B148" t="s">
        <v>140</v>
      </c>
      <c r="C148" t="s">
        <v>141</v>
      </c>
      <c r="D148">
        <v>5255.5</v>
      </c>
      <c r="E148">
        <v>2</v>
      </c>
      <c r="F148">
        <v>8.5</v>
      </c>
      <c r="G148">
        <v>51</v>
      </c>
      <c r="H148">
        <v>-3</v>
      </c>
      <c r="I148">
        <v>43</v>
      </c>
      <c r="J148">
        <v>32</v>
      </c>
      <c r="K148">
        <v>19</v>
      </c>
      <c r="L148">
        <v>69</v>
      </c>
      <c r="M148">
        <v>10</v>
      </c>
      <c r="N148">
        <v>56.5</v>
      </c>
      <c r="O148">
        <v>9</v>
      </c>
      <c r="P148">
        <v>9</v>
      </c>
      <c r="Q148">
        <v>19</v>
      </c>
      <c r="R148">
        <v>48</v>
      </c>
      <c r="S148">
        <v>37</v>
      </c>
      <c r="T148">
        <v>114</v>
      </c>
      <c r="U148">
        <v>91</v>
      </c>
      <c r="V148">
        <v>123</v>
      </c>
      <c r="W148">
        <v>7</v>
      </c>
      <c r="X148">
        <v>164.5</v>
      </c>
      <c r="Y148">
        <v>782.5</v>
      </c>
      <c r="Z148">
        <v>21</v>
      </c>
    </row>
    <row r="149" spans="1:26" x14ac:dyDescent="0.25">
      <c r="A149" t="s">
        <v>142</v>
      </c>
      <c r="B149" t="s">
        <v>143</v>
      </c>
      <c r="C149" t="s">
        <v>144</v>
      </c>
      <c r="D149">
        <v>5989</v>
      </c>
      <c r="E149">
        <v>16</v>
      </c>
      <c r="F149">
        <v>9</v>
      </c>
      <c r="G149">
        <v>47</v>
      </c>
      <c r="H149">
        <v>2</v>
      </c>
      <c r="I149">
        <v>77</v>
      </c>
      <c r="J149">
        <v>32</v>
      </c>
      <c r="K149">
        <v>9</v>
      </c>
      <c r="L149">
        <v>81</v>
      </c>
      <c r="M149">
        <v>11</v>
      </c>
      <c r="N149">
        <v>29</v>
      </c>
      <c r="O149">
        <v>13</v>
      </c>
      <c r="P149">
        <v>9</v>
      </c>
      <c r="Q149">
        <v>11</v>
      </c>
      <c r="R149">
        <v>68.5</v>
      </c>
      <c r="S149">
        <v>27</v>
      </c>
      <c r="T149">
        <v>111.5</v>
      </c>
      <c r="U149">
        <v>443</v>
      </c>
      <c r="V149">
        <v>329</v>
      </c>
      <c r="W149">
        <v>108.5</v>
      </c>
      <c r="X149">
        <v>766</v>
      </c>
      <c r="Y149">
        <v>2863</v>
      </c>
      <c r="Z149">
        <v>19</v>
      </c>
    </row>
    <row r="150" spans="1:26" x14ac:dyDescent="0.25">
      <c r="A150" t="s">
        <v>145</v>
      </c>
      <c r="B150" t="s">
        <v>146</v>
      </c>
      <c r="C150" t="s">
        <v>147</v>
      </c>
      <c r="D150">
        <v>4126.5</v>
      </c>
      <c r="E150">
        <v>6</v>
      </c>
      <c r="F150">
        <v>7.5</v>
      </c>
      <c r="G150">
        <v>62</v>
      </c>
      <c r="H150">
        <v>-2</v>
      </c>
      <c r="I150">
        <v>60</v>
      </c>
      <c r="J150">
        <v>32</v>
      </c>
      <c r="K150">
        <v>16</v>
      </c>
      <c r="L150">
        <v>87</v>
      </c>
      <c r="M150">
        <v>12</v>
      </c>
      <c r="N150">
        <v>56</v>
      </c>
      <c r="O150">
        <v>12</v>
      </c>
      <c r="P150">
        <v>4</v>
      </c>
      <c r="Q150">
        <v>14</v>
      </c>
      <c r="R150">
        <v>51</v>
      </c>
      <c r="S150">
        <v>33.5</v>
      </c>
      <c r="T150">
        <v>119.5</v>
      </c>
      <c r="U150">
        <v>78</v>
      </c>
      <c r="V150">
        <v>131</v>
      </c>
      <c r="W150">
        <v>29</v>
      </c>
      <c r="X150">
        <v>327</v>
      </c>
      <c r="Y150">
        <v>802.5</v>
      </c>
      <c r="Z150">
        <v>19</v>
      </c>
    </row>
    <row r="151" spans="1:26" x14ac:dyDescent="0.25">
      <c r="A151" t="s">
        <v>148</v>
      </c>
      <c r="B151" t="s">
        <v>149</v>
      </c>
      <c r="C151" t="s">
        <v>150</v>
      </c>
      <c r="D151">
        <v>4314</v>
      </c>
      <c r="E151">
        <v>11.5</v>
      </c>
      <c r="F151">
        <v>12</v>
      </c>
      <c r="G151">
        <v>86</v>
      </c>
      <c r="H151">
        <v>13</v>
      </c>
      <c r="I151">
        <v>76</v>
      </c>
      <c r="J151">
        <v>57</v>
      </c>
      <c r="K151">
        <v>40</v>
      </c>
      <c r="L151">
        <v>91</v>
      </c>
      <c r="M151">
        <v>19.5</v>
      </c>
      <c r="N151">
        <v>106</v>
      </c>
      <c r="O151">
        <v>22</v>
      </c>
      <c r="P151">
        <v>16</v>
      </c>
      <c r="Q151">
        <v>29</v>
      </c>
      <c r="R151">
        <v>147.5</v>
      </c>
      <c r="S151">
        <v>73</v>
      </c>
      <c r="T151">
        <v>184.5</v>
      </c>
      <c r="U151">
        <v>147</v>
      </c>
      <c r="V151">
        <v>81</v>
      </c>
      <c r="W151">
        <v>41.5</v>
      </c>
      <c r="X151">
        <v>357.5</v>
      </c>
      <c r="Y151">
        <v>2287.5</v>
      </c>
      <c r="Z151">
        <v>47</v>
      </c>
    </row>
    <row r="152" spans="1:26" x14ac:dyDescent="0.25">
      <c r="A152" t="s">
        <v>151</v>
      </c>
      <c r="B152" t="s">
        <v>152</v>
      </c>
      <c r="C152" t="s">
        <v>153</v>
      </c>
      <c r="D152">
        <v>8007</v>
      </c>
      <c r="E152">
        <v>14</v>
      </c>
      <c r="F152">
        <v>20.5</v>
      </c>
      <c r="G152">
        <v>93</v>
      </c>
      <c r="H152">
        <v>8.5</v>
      </c>
      <c r="I152">
        <v>176</v>
      </c>
      <c r="J152">
        <v>65</v>
      </c>
      <c r="K152">
        <v>33</v>
      </c>
      <c r="L152">
        <v>77</v>
      </c>
      <c r="M152">
        <v>18</v>
      </c>
      <c r="N152">
        <v>97</v>
      </c>
      <c r="O152">
        <v>18</v>
      </c>
      <c r="P152">
        <v>21</v>
      </c>
      <c r="Q152">
        <v>50</v>
      </c>
      <c r="R152">
        <v>199.5</v>
      </c>
      <c r="S152">
        <v>64</v>
      </c>
      <c r="T152">
        <v>281.5</v>
      </c>
      <c r="U152">
        <v>313</v>
      </c>
      <c r="V152">
        <v>326</v>
      </c>
      <c r="W152">
        <v>200</v>
      </c>
      <c r="X152">
        <v>1041</v>
      </c>
      <c r="Y152">
        <v>3840</v>
      </c>
      <c r="Z152">
        <v>40</v>
      </c>
    </row>
    <row r="153" spans="1:26" x14ac:dyDescent="0.25">
      <c r="A153" t="s">
        <v>154</v>
      </c>
      <c r="B153" t="s">
        <v>155</v>
      </c>
      <c r="C153" t="s">
        <v>156</v>
      </c>
      <c r="D153">
        <v>6844.5</v>
      </c>
      <c r="E153">
        <v>14.5</v>
      </c>
      <c r="F153">
        <v>11</v>
      </c>
      <c r="G153">
        <v>61</v>
      </c>
      <c r="H153">
        <v>6.5</v>
      </c>
      <c r="I153">
        <v>127</v>
      </c>
      <c r="J153">
        <v>49.5</v>
      </c>
      <c r="K153">
        <v>21</v>
      </c>
      <c r="L153">
        <v>57</v>
      </c>
      <c r="M153">
        <v>17</v>
      </c>
      <c r="N153">
        <v>54</v>
      </c>
      <c r="O153">
        <v>17.5</v>
      </c>
      <c r="P153">
        <v>8</v>
      </c>
      <c r="Q153">
        <v>15</v>
      </c>
      <c r="R153">
        <v>166</v>
      </c>
      <c r="S153">
        <v>43</v>
      </c>
      <c r="T153">
        <v>120.5</v>
      </c>
      <c r="U153">
        <v>1551</v>
      </c>
      <c r="V153">
        <v>388.5</v>
      </c>
      <c r="W153">
        <v>79</v>
      </c>
      <c r="X153">
        <v>552</v>
      </c>
      <c r="Y153">
        <v>4237</v>
      </c>
      <c r="Z153">
        <v>34</v>
      </c>
    </row>
    <row r="154" spans="1:26" x14ac:dyDescent="0.25">
      <c r="A154" t="s">
        <v>157</v>
      </c>
      <c r="B154" t="s">
        <v>158</v>
      </c>
      <c r="C154" t="s">
        <v>159</v>
      </c>
      <c r="D154">
        <v>4557.5</v>
      </c>
      <c r="E154">
        <v>7</v>
      </c>
      <c r="F154">
        <v>8.5</v>
      </c>
      <c r="G154">
        <v>49</v>
      </c>
      <c r="H154">
        <v>0</v>
      </c>
      <c r="I154">
        <v>95</v>
      </c>
      <c r="J154">
        <v>46</v>
      </c>
      <c r="K154">
        <v>9</v>
      </c>
      <c r="L154">
        <v>59</v>
      </c>
      <c r="M154">
        <v>9</v>
      </c>
      <c r="N154">
        <v>28</v>
      </c>
      <c r="O154">
        <v>11</v>
      </c>
      <c r="P154">
        <v>10</v>
      </c>
      <c r="Q154">
        <v>10</v>
      </c>
      <c r="R154">
        <v>176</v>
      </c>
      <c r="S154">
        <v>30.5</v>
      </c>
      <c r="T154">
        <v>110.5</v>
      </c>
      <c r="U154">
        <v>174</v>
      </c>
      <c r="V154">
        <v>107</v>
      </c>
      <c r="W154">
        <v>28</v>
      </c>
      <c r="X154">
        <v>157.5</v>
      </c>
      <c r="Y154">
        <v>1167</v>
      </c>
      <c r="Z154">
        <v>28</v>
      </c>
    </row>
    <row r="155" spans="1:26" x14ac:dyDescent="0.25">
      <c r="A155" t="s">
        <v>160</v>
      </c>
      <c r="B155" t="s">
        <v>161</v>
      </c>
      <c r="C155" t="s">
        <v>162</v>
      </c>
      <c r="D155">
        <v>3009</v>
      </c>
      <c r="E155">
        <v>631</v>
      </c>
      <c r="F155">
        <v>59</v>
      </c>
      <c r="G155">
        <v>111.5</v>
      </c>
      <c r="H155">
        <v>47</v>
      </c>
      <c r="I155">
        <v>1194.5</v>
      </c>
      <c r="J155">
        <v>144</v>
      </c>
      <c r="K155">
        <v>22</v>
      </c>
      <c r="L155">
        <v>66</v>
      </c>
      <c r="M155">
        <v>80</v>
      </c>
      <c r="N155">
        <v>44</v>
      </c>
      <c r="O155">
        <v>29</v>
      </c>
      <c r="P155">
        <v>32</v>
      </c>
      <c r="Q155">
        <v>77.5</v>
      </c>
      <c r="R155">
        <v>7444</v>
      </c>
      <c r="S155">
        <v>58</v>
      </c>
      <c r="T155">
        <v>288</v>
      </c>
      <c r="U155">
        <v>2624.5</v>
      </c>
      <c r="V155">
        <v>13235.5</v>
      </c>
      <c r="W155">
        <v>7698.5</v>
      </c>
      <c r="X155">
        <v>10682</v>
      </c>
      <c r="Y155">
        <v>13467</v>
      </c>
      <c r="Z155">
        <v>65.5</v>
      </c>
    </row>
    <row r="156" spans="1:26" x14ac:dyDescent="0.25">
      <c r="A156" t="s">
        <v>163</v>
      </c>
      <c r="B156" t="s">
        <v>164</v>
      </c>
      <c r="C156" t="s">
        <v>165</v>
      </c>
      <c r="D156">
        <v>6182</v>
      </c>
      <c r="E156">
        <v>291.5</v>
      </c>
      <c r="F156">
        <v>21</v>
      </c>
      <c r="G156">
        <v>105</v>
      </c>
      <c r="H156">
        <v>25</v>
      </c>
      <c r="I156">
        <v>454</v>
      </c>
      <c r="J156">
        <v>108</v>
      </c>
      <c r="K156">
        <v>31.5</v>
      </c>
      <c r="L156">
        <v>73</v>
      </c>
      <c r="M156">
        <v>32</v>
      </c>
      <c r="N156">
        <v>124.5</v>
      </c>
      <c r="O156">
        <v>27.5</v>
      </c>
      <c r="P156">
        <v>20</v>
      </c>
      <c r="Q156">
        <v>39</v>
      </c>
      <c r="R156">
        <v>1123</v>
      </c>
      <c r="S156">
        <v>78</v>
      </c>
      <c r="T156">
        <v>132</v>
      </c>
      <c r="U156">
        <v>1128.5</v>
      </c>
      <c r="V156">
        <v>1725</v>
      </c>
      <c r="W156">
        <v>461</v>
      </c>
      <c r="X156">
        <v>2094.5</v>
      </c>
      <c r="Y156">
        <v>6301.5</v>
      </c>
      <c r="Z156">
        <v>73.5</v>
      </c>
    </row>
    <row r="157" spans="1:26" x14ac:dyDescent="0.25">
      <c r="A157" t="s">
        <v>166</v>
      </c>
      <c r="B157" t="s">
        <v>167</v>
      </c>
      <c r="C157" t="s">
        <v>168</v>
      </c>
      <c r="D157">
        <v>12563</v>
      </c>
      <c r="E157">
        <v>452.5</v>
      </c>
      <c r="F157">
        <v>32</v>
      </c>
      <c r="G157">
        <v>106.5</v>
      </c>
      <c r="H157">
        <v>62</v>
      </c>
      <c r="I157">
        <v>1926</v>
      </c>
      <c r="J157">
        <v>130.5</v>
      </c>
      <c r="K157">
        <v>30</v>
      </c>
      <c r="L157">
        <v>63</v>
      </c>
      <c r="M157">
        <v>61</v>
      </c>
      <c r="N157">
        <v>69</v>
      </c>
      <c r="O157">
        <v>22</v>
      </c>
      <c r="P157">
        <v>32</v>
      </c>
      <c r="Q157">
        <v>77</v>
      </c>
      <c r="R157">
        <v>1242</v>
      </c>
      <c r="S157">
        <v>95</v>
      </c>
      <c r="T157">
        <v>378</v>
      </c>
      <c r="U157">
        <v>1721</v>
      </c>
      <c r="V157">
        <v>6311</v>
      </c>
      <c r="W157">
        <v>2925</v>
      </c>
      <c r="X157">
        <v>9107</v>
      </c>
      <c r="Y157">
        <v>9527</v>
      </c>
      <c r="Z157">
        <v>50</v>
      </c>
    </row>
    <row r="158" spans="1:26" x14ac:dyDescent="0.25">
      <c r="A158" t="s">
        <v>169</v>
      </c>
      <c r="B158" t="s">
        <v>170</v>
      </c>
      <c r="C158" t="s">
        <v>171</v>
      </c>
      <c r="D158">
        <v>6020</v>
      </c>
      <c r="E158">
        <v>9</v>
      </c>
      <c r="F158">
        <v>12</v>
      </c>
      <c r="G158">
        <v>83</v>
      </c>
      <c r="H158">
        <v>5</v>
      </c>
      <c r="I158">
        <v>98.5</v>
      </c>
      <c r="J158">
        <v>48</v>
      </c>
      <c r="K158">
        <v>29</v>
      </c>
      <c r="L158">
        <v>90</v>
      </c>
      <c r="M158">
        <v>18</v>
      </c>
      <c r="N158">
        <v>78</v>
      </c>
      <c r="O158">
        <v>17</v>
      </c>
      <c r="P158">
        <v>10</v>
      </c>
      <c r="Q158">
        <v>22</v>
      </c>
      <c r="R158">
        <v>141</v>
      </c>
      <c r="S158">
        <v>71</v>
      </c>
      <c r="T158">
        <v>149.5</v>
      </c>
      <c r="U158">
        <v>128</v>
      </c>
      <c r="V158">
        <v>111</v>
      </c>
      <c r="W158">
        <v>66</v>
      </c>
      <c r="X158">
        <v>335</v>
      </c>
      <c r="Y158">
        <v>2634.5</v>
      </c>
      <c r="Z158">
        <v>37</v>
      </c>
    </row>
    <row r="159" spans="1:26" x14ac:dyDescent="0.25">
      <c r="A159" t="s">
        <v>172</v>
      </c>
      <c r="B159" t="s">
        <v>173</v>
      </c>
      <c r="C159" t="s">
        <v>174</v>
      </c>
      <c r="D159">
        <v>5128</v>
      </c>
      <c r="E159">
        <v>11</v>
      </c>
      <c r="F159">
        <v>13</v>
      </c>
      <c r="G159">
        <v>81</v>
      </c>
      <c r="H159">
        <v>10.5</v>
      </c>
      <c r="I159">
        <v>57</v>
      </c>
      <c r="J159">
        <v>44.5</v>
      </c>
      <c r="K159">
        <v>35</v>
      </c>
      <c r="L159">
        <v>73</v>
      </c>
      <c r="M159">
        <v>18</v>
      </c>
      <c r="N159">
        <v>125</v>
      </c>
      <c r="O159">
        <v>17.5</v>
      </c>
      <c r="P159">
        <v>4</v>
      </c>
      <c r="Q159">
        <v>23</v>
      </c>
      <c r="R159">
        <v>129.5</v>
      </c>
      <c r="S159">
        <v>67</v>
      </c>
      <c r="T159">
        <v>215.5</v>
      </c>
      <c r="U159">
        <v>94</v>
      </c>
      <c r="V159">
        <v>59.5</v>
      </c>
      <c r="W159">
        <v>37</v>
      </c>
      <c r="X159">
        <v>138</v>
      </c>
      <c r="Y159">
        <v>1553.5</v>
      </c>
      <c r="Z159">
        <v>40</v>
      </c>
    </row>
    <row r="160" spans="1:26" x14ac:dyDescent="0.25">
      <c r="A160" t="s">
        <v>175</v>
      </c>
      <c r="B160" t="s">
        <v>176</v>
      </c>
      <c r="C160" t="s">
        <v>177</v>
      </c>
      <c r="D160">
        <v>4855</v>
      </c>
      <c r="E160">
        <v>120</v>
      </c>
      <c r="F160">
        <v>14</v>
      </c>
      <c r="G160">
        <v>87.5</v>
      </c>
      <c r="H160">
        <v>12</v>
      </c>
      <c r="I160">
        <v>446</v>
      </c>
      <c r="J160">
        <v>67.5</v>
      </c>
      <c r="K160">
        <v>24</v>
      </c>
      <c r="L160">
        <v>81</v>
      </c>
      <c r="M160">
        <v>22</v>
      </c>
      <c r="N160">
        <v>126</v>
      </c>
      <c r="O160">
        <v>19</v>
      </c>
      <c r="P160">
        <v>2</v>
      </c>
      <c r="Q160">
        <v>31</v>
      </c>
      <c r="R160">
        <v>387</v>
      </c>
      <c r="S160">
        <v>71</v>
      </c>
      <c r="T160">
        <v>247</v>
      </c>
      <c r="U160">
        <v>552</v>
      </c>
      <c r="V160">
        <v>1981</v>
      </c>
      <c r="W160">
        <v>594</v>
      </c>
      <c r="X160">
        <v>5101.5</v>
      </c>
      <c r="Y160">
        <v>7770</v>
      </c>
      <c r="Z160">
        <v>38</v>
      </c>
    </row>
    <row r="161" spans="1:26" x14ac:dyDescent="0.25">
      <c r="A161" t="s">
        <v>178</v>
      </c>
      <c r="B161" t="s">
        <v>179</v>
      </c>
      <c r="C161" t="s">
        <v>180</v>
      </c>
      <c r="D161">
        <v>480</v>
      </c>
      <c r="E161">
        <v>-23</v>
      </c>
      <c r="F161">
        <v>-23.5</v>
      </c>
      <c r="G161">
        <v>-25</v>
      </c>
      <c r="H161">
        <v>-30.5</v>
      </c>
      <c r="I161">
        <v>43</v>
      </c>
      <c r="J161">
        <v>-32</v>
      </c>
      <c r="K161">
        <v>-11</v>
      </c>
      <c r="L161">
        <v>-6</v>
      </c>
      <c r="M161">
        <v>10</v>
      </c>
      <c r="N161">
        <v>43</v>
      </c>
      <c r="O161">
        <v>-7</v>
      </c>
      <c r="P161">
        <v>-23</v>
      </c>
      <c r="Q161">
        <v>14</v>
      </c>
      <c r="R161">
        <v>-159</v>
      </c>
      <c r="S161">
        <v>-32</v>
      </c>
      <c r="T161">
        <v>22.5</v>
      </c>
      <c r="U161">
        <v>3</v>
      </c>
      <c r="V161">
        <v>27</v>
      </c>
      <c r="W161">
        <v>-131</v>
      </c>
      <c r="X161">
        <v>50</v>
      </c>
      <c r="Y161">
        <v>68</v>
      </c>
      <c r="Z161">
        <v>-13.5</v>
      </c>
    </row>
    <row r="162" spans="1:26" x14ac:dyDescent="0.25">
      <c r="A162" t="s">
        <v>181</v>
      </c>
      <c r="B162" t="s">
        <v>182</v>
      </c>
      <c r="C162" t="s">
        <v>183</v>
      </c>
      <c r="D162">
        <v>4599</v>
      </c>
      <c r="E162">
        <v>11</v>
      </c>
      <c r="F162">
        <v>19</v>
      </c>
      <c r="G162">
        <v>92</v>
      </c>
      <c r="H162">
        <v>18</v>
      </c>
      <c r="I162">
        <v>122.5</v>
      </c>
      <c r="J162">
        <v>79</v>
      </c>
      <c r="K162">
        <v>46</v>
      </c>
      <c r="L162">
        <v>126.5</v>
      </c>
      <c r="M162">
        <v>29.5</v>
      </c>
      <c r="N162">
        <v>138</v>
      </c>
      <c r="O162">
        <v>42</v>
      </c>
      <c r="P162">
        <v>7</v>
      </c>
      <c r="Q162">
        <v>27</v>
      </c>
      <c r="R162">
        <v>196</v>
      </c>
      <c r="S162">
        <v>70</v>
      </c>
      <c r="T162">
        <v>269</v>
      </c>
      <c r="U162">
        <v>123</v>
      </c>
      <c r="V162">
        <v>58</v>
      </c>
      <c r="W162">
        <v>30</v>
      </c>
      <c r="X162">
        <v>189</v>
      </c>
      <c r="Y162">
        <v>2256</v>
      </c>
      <c r="Z162">
        <v>71.5</v>
      </c>
    </row>
    <row r="163" spans="1:26" x14ac:dyDescent="0.25">
      <c r="A163" t="s">
        <v>184</v>
      </c>
      <c r="B163" t="s">
        <v>185</v>
      </c>
      <c r="C163" t="s">
        <v>186</v>
      </c>
      <c r="D163">
        <v>14025</v>
      </c>
      <c r="E163">
        <v>2250.5</v>
      </c>
      <c r="F163">
        <v>74</v>
      </c>
      <c r="G163">
        <v>118</v>
      </c>
      <c r="H163">
        <v>70</v>
      </c>
      <c r="I163">
        <v>1270</v>
      </c>
      <c r="J163">
        <v>209.5</v>
      </c>
      <c r="K163">
        <v>40</v>
      </c>
      <c r="L163">
        <v>82</v>
      </c>
      <c r="M163">
        <v>134</v>
      </c>
      <c r="N163">
        <v>45</v>
      </c>
      <c r="O163">
        <v>31.5</v>
      </c>
      <c r="P163">
        <v>65</v>
      </c>
      <c r="Q163">
        <v>170</v>
      </c>
      <c r="R163">
        <v>3712</v>
      </c>
      <c r="S163">
        <v>94</v>
      </c>
      <c r="T163">
        <v>604.5</v>
      </c>
      <c r="U163">
        <v>7567</v>
      </c>
      <c r="V163">
        <v>14881</v>
      </c>
      <c r="W163">
        <v>9813.5</v>
      </c>
      <c r="X163">
        <v>14616</v>
      </c>
      <c r="Y163">
        <v>9902</v>
      </c>
      <c r="Z163">
        <v>93</v>
      </c>
    </row>
    <row r="164" spans="1:26" x14ac:dyDescent="0.25">
      <c r="A164" t="s">
        <v>187</v>
      </c>
      <c r="B164" t="s">
        <v>188</v>
      </c>
      <c r="C164" t="s">
        <v>189</v>
      </c>
      <c r="D164">
        <v>6525</v>
      </c>
      <c r="E164">
        <v>4</v>
      </c>
      <c r="F164">
        <v>14</v>
      </c>
      <c r="G164">
        <v>67.5</v>
      </c>
      <c r="H164">
        <v>5</v>
      </c>
      <c r="I164">
        <v>52.5</v>
      </c>
      <c r="J164">
        <v>58</v>
      </c>
      <c r="K164">
        <v>22</v>
      </c>
      <c r="L164">
        <v>86</v>
      </c>
      <c r="M164">
        <v>16.5</v>
      </c>
      <c r="N164">
        <v>133</v>
      </c>
      <c r="O164">
        <v>15</v>
      </c>
      <c r="P164">
        <v>7</v>
      </c>
      <c r="Q164">
        <v>23.5</v>
      </c>
      <c r="R164">
        <v>57</v>
      </c>
      <c r="S164">
        <v>71</v>
      </c>
      <c r="T164">
        <v>182</v>
      </c>
      <c r="U164">
        <v>103</v>
      </c>
      <c r="V164">
        <v>79.5</v>
      </c>
      <c r="W164">
        <v>46</v>
      </c>
      <c r="X164">
        <v>252</v>
      </c>
      <c r="Y164">
        <v>1981</v>
      </c>
      <c r="Z164">
        <v>40</v>
      </c>
    </row>
    <row r="165" spans="1:26" x14ac:dyDescent="0.25">
      <c r="A165" t="s">
        <v>190</v>
      </c>
      <c r="B165" t="s">
        <v>191</v>
      </c>
      <c r="C165" t="s">
        <v>192</v>
      </c>
      <c r="D165">
        <v>5590</v>
      </c>
      <c r="E165">
        <v>-5</v>
      </c>
      <c r="F165">
        <v>6</v>
      </c>
      <c r="G165">
        <v>70</v>
      </c>
      <c r="H165">
        <v>-2</v>
      </c>
      <c r="I165">
        <v>80</v>
      </c>
      <c r="J165">
        <v>31.5</v>
      </c>
      <c r="K165">
        <v>21</v>
      </c>
      <c r="L165">
        <v>69.5</v>
      </c>
      <c r="M165">
        <v>11</v>
      </c>
      <c r="N165">
        <v>73</v>
      </c>
      <c r="O165">
        <v>16.5</v>
      </c>
      <c r="P165">
        <v>-6</v>
      </c>
      <c r="Q165">
        <v>14</v>
      </c>
      <c r="R165">
        <v>46</v>
      </c>
      <c r="S165">
        <v>48</v>
      </c>
      <c r="T165">
        <v>171</v>
      </c>
      <c r="U165">
        <v>106</v>
      </c>
      <c r="V165">
        <v>60.5</v>
      </c>
      <c r="W165">
        <v>17</v>
      </c>
      <c r="X165">
        <v>232</v>
      </c>
      <c r="Y165">
        <v>1671</v>
      </c>
      <c r="Z165">
        <v>29</v>
      </c>
    </row>
    <row r="166" spans="1:26" x14ac:dyDescent="0.25">
      <c r="A166" t="s">
        <v>193</v>
      </c>
      <c r="B166" t="s">
        <v>194</v>
      </c>
      <c r="C166" t="s">
        <v>195</v>
      </c>
      <c r="D166">
        <v>6831</v>
      </c>
      <c r="E166">
        <v>136</v>
      </c>
      <c r="F166">
        <v>22.5</v>
      </c>
      <c r="G166">
        <v>63</v>
      </c>
      <c r="H166">
        <v>19</v>
      </c>
      <c r="I166">
        <v>479</v>
      </c>
      <c r="J166">
        <v>70</v>
      </c>
      <c r="K166">
        <v>12.5</v>
      </c>
      <c r="L166">
        <v>69.5</v>
      </c>
      <c r="M166">
        <v>23</v>
      </c>
      <c r="N166">
        <v>31</v>
      </c>
      <c r="O166">
        <v>15.5</v>
      </c>
      <c r="P166">
        <v>9</v>
      </c>
      <c r="Q166">
        <v>23</v>
      </c>
      <c r="R166">
        <v>523</v>
      </c>
      <c r="S166">
        <v>35</v>
      </c>
      <c r="T166">
        <v>219.5</v>
      </c>
      <c r="U166">
        <v>607</v>
      </c>
      <c r="V166">
        <v>1456</v>
      </c>
      <c r="W166">
        <v>1705.5</v>
      </c>
      <c r="X166">
        <v>5231</v>
      </c>
      <c r="Y166">
        <v>10995.5</v>
      </c>
      <c r="Z166">
        <v>27</v>
      </c>
    </row>
    <row r="167" spans="1:26" x14ac:dyDescent="0.25">
      <c r="A167" t="s">
        <v>196</v>
      </c>
      <c r="B167" t="s">
        <v>197</v>
      </c>
      <c r="C167" t="s">
        <v>198</v>
      </c>
      <c r="D167">
        <v>5237.5</v>
      </c>
      <c r="E167">
        <v>4</v>
      </c>
      <c r="F167">
        <v>12</v>
      </c>
      <c r="G167">
        <v>103.5</v>
      </c>
      <c r="H167">
        <v>6</v>
      </c>
      <c r="I167">
        <v>62.5</v>
      </c>
      <c r="J167">
        <v>67</v>
      </c>
      <c r="K167">
        <v>34</v>
      </c>
      <c r="L167">
        <v>80</v>
      </c>
      <c r="M167">
        <v>18.5</v>
      </c>
      <c r="N167">
        <v>161</v>
      </c>
      <c r="O167">
        <v>15</v>
      </c>
      <c r="P167">
        <v>0</v>
      </c>
      <c r="Q167">
        <v>29</v>
      </c>
      <c r="R167">
        <v>111</v>
      </c>
      <c r="S167">
        <v>87</v>
      </c>
      <c r="T167">
        <v>286</v>
      </c>
      <c r="U167">
        <v>121</v>
      </c>
      <c r="V167">
        <v>52</v>
      </c>
      <c r="W167">
        <v>37</v>
      </c>
      <c r="X167">
        <v>317.5</v>
      </c>
      <c r="Y167">
        <v>4089</v>
      </c>
      <c r="Z167">
        <v>42</v>
      </c>
    </row>
    <row r="168" spans="1:26" x14ac:dyDescent="0.25">
      <c r="A168" t="s">
        <v>199</v>
      </c>
      <c r="B168" t="s">
        <v>200</v>
      </c>
      <c r="C168" t="s">
        <v>201</v>
      </c>
      <c r="D168">
        <v>3729.5</v>
      </c>
      <c r="E168">
        <v>5</v>
      </c>
      <c r="F168">
        <v>12</v>
      </c>
      <c r="G168">
        <v>91</v>
      </c>
      <c r="H168">
        <v>6.5</v>
      </c>
      <c r="I168">
        <v>68</v>
      </c>
      <c r="J168">
        <v>56</v>
      </c>
      <c r="K168">
        <v>27</v>
      </c>
      <c r="L168">
        <v>75</v>
      </c>
      <c r="M168">
        <v>16</v>
      </c>
      <c r="N168">
        <v>122</v>
      </c>
      <c r="O168">
        <v>19</v>
      </c>
      <c r="P168">
        <v>3</v>
      </c>
      <c r="Q168">
        <v>22</v>
      </c>
      <c r="R168">
        <v>150.5</v>
      </c>
      <c r="S168">
        <v>75.5</v>
      </c>
      <c r="T168">
        <v>232</v>
      </c>
      <c r="U168">
        <v>114</v>
      </c>
      <c r="V168">
        <v>69.5</v>
      </c>
      <c r="W168">
        <v>95</v>
      </c>
      <c r="X168">
        <v>600</v>
      </c>
      <c r="Y168">
        <v>6235</v>
      </c>
      <c r="Z168">
        <v>36</v>
      </c>
    </row>
    <row r="169" spans="1:26" x14ac:dyDescent="0.25">
      <c r="A169" t="s">
        <v>202</v>
      </c>
      <c r="B169" t="s">
        <v>203</v>
      </c>
      <c r="C169" t="s">
        <v>204</v>
      </c>
      <c r="D169">
        <v>5467</v>
      </c>
      <c r="E169">
        <v>307</v>
      </c>
      <c r="F169">
        <v>34</v>
      </c>
      <c r="G169">
        <v>177</v>
      </c>
      <c r="H169">
        <v>443.5</v>
      </c>
      <c r="I169">
        <v>1614</v>
      </c>
      <c r="J169">
        <v>144</v>
      </c>
      <c r="K169">
        <v>30</v>
      </c>
      <c r="L169">
        <v>76</v>
      </c>
      <c r="M169">
        <v>87</v>
      </c>
      <c r="N169">
        <v>89.5</v>
      </c>
      <c r="O169">
        <v>34</v>
      </c>
      <c r="P169">
        <v>37</v>
      </c>
      <c r="Q169">
        <v>71</v>
      </c>
      <c r="R169">
        <v>2649</v>
      </c>
      <c r="S169">
        <v>74</v>
      </c>
      <c r="T169">
        <v>241.5</v>
      </c>
      <c r="U169">
        <v>1326.5</v>
      </c>
      <c r="V169">
        <v>15958</v>
      </c>
      <c r="W169">
        <v>11330</v>
      </c>
      <c r="X169">
        <v>19562</v>
      </c>
      <c r="Y169">
        <v>20011</v>
      </c>
      <c r="Z169">
        <v>78</v>
      </c>
    </row>
    <row r="170" spans="1:26" x14ac:dyDescent="0.25">
      <c r="A170" t="s">
        <v>205</v>
      </c>
      <c r="B170" t="s">
        <v>206</v>
      </c>
      <c r="C170" t="s">
        <v>207</v>
      </c>
      <c r="D170">
        <v>3283.5</v>
      </c>
      <c r="E170">
        <v>-12.5</v>
      </c>
      <c r="F170">
        <v>5</v>
      </c>
      <c r="G170">
        <v>78</v>
      </c>
      <c r="H170">
        <v>-3.5</v>
      </c>
      <c r="I170">
        <v>65</v>
      </c>
      <c r="J170">
        <v>38.5</v>
      </c>
      <c r="K170">
        <v>23.5</v>
      </c>
      <c r="L170">
        <v>1</v>
      </c>
      <c r="M170">
        <v>12</v>
      </c>
      <c r="N170">
        <v>47.5</v>
      </c>
      <c r="O170">
        <v>8</v>
      </c>
      <c r="P170">
        <v>4</v>
      </c>
      <c r="Q170">
        <v>33</v>
      </c>
      <c r="R170">
        <v>80</v>
      </c>
      <c r="S170">
        <v>54</v>
      </c>
      <c r="T170">
        <v>141.5</v>
      </c>
      <c r="U170">
        <v>237</v>
      </c>
      <c r="V170">
        <v>109</v>
      </c>
      <c r="W170">
        <v>69</v>
      </c>
      <c r="X170">
        <v>927.5</v>
      </c>
      <c r="Y170">
        <v>2882</v>
      </c>
      <c r="Z170">
        <v>18.5</v>
      </c>
    </row>
    <row r="171" spans="1:26" x14ac:dyDescent="0.25">
      <c r="A171" t="s">
        <v>208</v>
      </c>
      <c r="B171" t="s">
        <v>209</v>
      </c>
      <c r="C171" t="s">
        <v>210</v>
      </c>
      <c r="D171">
        <v>9186</v>
      </c>
      <c r="E171">
        <v>420.5</v>
      </c>
      <c r="F171">
        <v>25</v>
      </c>
      <c r="G171">
        <v>108</v>
      </c>
      <c r="H171">
        <v>26</v>
      </c>
      <c r="I171">
        <v>497</v>
      </c>
      <c r="J171">
        <v>90</v>
      </c>
      <c r="K171">
        <v>32</v>
      </c>
      <c r="L171">
        <v>80.5</v>
      </c>
      <c r="M171">
        <v>37</v>
      </c>
      <c r="N171">
        <v>91</v>
      </c>
      <c r="O171">
        <v>24</v>
      </c>
      <c r="P171">
        <v>26</v>
      </c>
      <c r="Q171">
        <v>53</v>
      </c>
      <c r="R171">
        <v>1001</v>
      </c>
      <c r="S171">
        <v>102</v>
      </c>
      <c r="T171">
        <v>205.5</v>
      </c>
      <c r="U171">
        <v>993</v>
      </c>
      <c r="V171">
        <v>2821</v>
      </c>
      <c r="W171">
        <v>1368</v>
      </c>
      <c r="X171">
        <v>5710</v>
      </c>
      <c r="Y171">
        <v>10177</v>
      </c>
      <c r="Z171">
        <v>50</v>
      </c>
    </row>
    <row r="172" spans="1:26" x14ac:dyDescent="0.25">
      <c r="A172" t="s">
        <v>211</v>
      </c>
      <c r="B172" t="s">
        <v>212</v>
      </c>
      <c r="C172" t="s">
        <v>213</v>
      </c>
      <c r="D172">
        <v>6995</v>
      </c>
      <c r="E172">
        <v>2</v>
      </c>
      <c r="F172">
        <v>8</v>
      </c>
      <c r="G172">
        <v>76</v>
      </c>
      <c r="H172">
        <v>4.5</v>
      </c>
      <c r="I172">
        <v>104</v>
      </c>
      <c r="J172">
        <v>57.5</v>
      </c>
      <c r="K172">
        <v>18</v>
      </c>
      <c r="L172">
        <v>66</v>
      </c>
      <c r="M172">
        <v>15</v>
      </c>
      <c r="N172">
        <v>123</v>
      </c>
      <c r="O172">
        <v>11</v>
      </c>
      <c r="P172">
        <v>8</v>
      </c>
      <c r="Q172">
        <v>12</v>
      </c>
      <c r="R172">
        <v>84</v>
      </c>
      <c r="S172">
        <v>70.5</v>
      </c>
      <c r="T172">
        <v>221.5</v>
      </c>
      <c r="U172">
        <v>110</v>
      </c>
      <c r="V172">
        <v>63</v>
      </c>
      <c r="W172">
        <v>35.5</v>
      </c>
      <c r="X172">
        <v>227.5</v>
      </c>
      <c r="Y172">
        <v>1951.5</v>
      </c>
      <c r="Z172">
        <v>30</v>
      </c>
    </row>
    <row r="173" spans="1:26" x14ac:dyDescent="0.25">
      <c r="A173" t="s">
        <v>214</v>
      </c>
      <c r="B173" t="s">
        <v>215</v>
      </c>
      <c r="C173" t="s">
        <v>216</v>
      </c>
      <c r="D173">
        <v>103</v>
      </c>
      <c r="E173">
        <v>-35.5</v>
      </c>
      <c r="F173">
        <v>-11</v>
      </c>
      <c r="G173">
        <v>-4</v>
      </c>
      <c r="H173">
        <v>-28</v>
      </c>
      <c r="I173">
        <v>7</v>
      </c>
      <c r="J173">
        <v>-33</v>
      </c>
      <c r="K173">
        <v>4</v>
      </c>
      <c r="L173">
        <v>-21</v>
      </c>
      <c r="M173">
        <v>-4</v>
      </c>
      <c r="N173">
        <v>-6</v>
      </c>
      <c r="O173">
        <v>-8</v>
      </c>
      <c r="P173">
        <v>-32.5</v>
      </c>
      <c r="Q173">
        <v>1</v>
      </c>
      <c r="R173">
        <v>-145.5</v>
      </c>
      <c r="S173">
        <v>-0.5</v>
      </c>
      <c r="T173">
        <v>-19.5</v>
      </c>
      <c r="U173">
        <v>14</v>
      </c>
      <c r="V173">
        <v>1</v>
      </c>
      <c r="W173">
        <v>-110</v>
      </c>
      <c r="X173">
        <v>19</v>
      </c>
      <c r="Y173">
        <v>113</v>
      </c>
      <c r="Z173">
        <v>-5</v>
      </c>
    </row>
    <row r="174" spans="1:26" x14ac:dyDescent="0.25">
      <c r="A174" t="s">
        <v>217</v>
      </c>
      <c r="B174" t="s">
        <v>218</v>
      </c>
      <c r="C174" t="s">
        <v>219</v>
      </c>
      <c r="D174">
        <v>5766</v>
      </c>
      <c r="E174">
        <v>10</v>
      </c>
      <c r="F174">
        <v>12</v>
      </c>
      <c r="G174">
        <v>77</v>
      </c>
      <c r="H174">
        <v>14</v>
      </c>
      <c r="I174">
        <v>173</v>
      </c>
      <c r="J174">
        <v>57</v>
      </c>
      <c r="K174">
        <v>29</v>
      </c>
      <c r="L174">
        <v>100</v>
      </c>
      <c r="M174">
        <v>18.5</v>
      </c>
      <c r="N174">
        <v>65</v>
      </c>
      <c r="O174">
        <v>18</v>
      </c>
      <c r="P174">
        <v>12</v>
      </c>
      <c r="Q174">
        <v>20</v>
      </c>
      <c r="R174">
        <v>141</v>
      </c>
      <c r="S174">
        <v>54</v>
      </c>
      <c r="T174">
        <v>120.5</v>
      </c>
      <c r="U174">
        <v>374</v>
      </c>
      <c r="V174">
        <v>177.5</v>
      </c>
      <c r="W174">
        <v>147</v>
      </c>
      <c r="X174">
        <v>754</v>
      </c>
      <c r="Y174">
        <v>7381</v>
      </c>
      <c r="Z174">
        <v>40</v>
      </c>
    </row>
    <row r="175" spans="1:26" x14ac:dyDescent="0.25">
      <c r="A175" t="s">
        <v>220</v>
      </c>
      <c r="B175" t="s">
        <v>221</v>
      </c>
      <c r="C175" t="s">
        <v>222</v>
      </c>
      <c r="D175">
        <v>4325</v>
      </c>
      <c r="E175">
        <v>2</v>
      </c>
      <c r="F175">
        <v>9</v>
      </c>
      <c r="G175">
        <v>67</v>
      </c>
      <c r="H175">
        <v>4.5</v>
      </c>
      <c r="I175">
        <v>67</v>
      </c>
      <c r="J175">
        <v>42.5</v>
      </c>
      <c r="K175">
        <v>23</v>
      </c>
      <c r="L175">
        <v>88</v>
      </c>
      <c r="M175">
        <v>16.5</v>
      </c>
      <c r="N175">
        <v>70.5</v>
      </c>
      <c r="O175">
        <v>17</v>
      </c>
      <c r="P175">
        <v>9</v>
      </c>
      <c r="Q175">
        <v>20</v>
      </c>
      <c r="R175">
        <v>46</v>
      </c>
      <c r="S175">
        <v>48</v>
      </c>
      <c r="T175">
        <v>134.5</v>
      </c>
      <c r="U175">
        <v>115</v>
      </c>
      <c r="V175">
        <v>92</v>
      </c>
      <c r="W175">
        <v>81.5</v>
      </c>
      <c r="X175">
        <v>583</v>
      </c>
      <c r="Y175">
        <v>7008</v>
      </c>
      <c r="Z175">
        <v>30</v>
      </c>
    </row>
    <row r="176" spans="1:26" x14ac:dyDescent="0.25">
      <c r="A176" t="s">
        <v>223</v>
      </c>
      <c r="B176" t="s">
        <v>224</v>
      </c>
      <c r="C176" t="s">
        <v>225</v>
      </c>
      <c r="D176">
        <v>7796</v>
      </c>
      <c r="E176">
        <v>296</v>
      </c>
      <c r="F176">
        <v>13</v>
      </c>
      <c r="G176">
        <v>58</v>
      </c>
      <c r="H176">
        <v>2</v>
      </c>
      <c r="I176">
        <v>189</v>
      </c>
      <c r="J176">
        <v>62</v>
      </c>
      <c r="K176">
        <v>20</v>
      </c>
      <c r="L176">
        <v>53.5</v>
      </c>
      <c r="M176">
        <v>19.5</v>
      </c>
      <c r="N176">
        <v>46</v>
      </c>
      <c r="O176">
        <v>14</v>
      </c>
      <c r="P176">
        <v>2</v>
      </c>
      <c r="Q176">
        <v>25</v>
      </c>
      <c r="R176">
        <v>790</v>
      </c>
      <c r="S176">
        <v>49</v>
      </c>
      <c r="T176">
        <v>160</v>
      </c>
      <c r="U176">
        <v>909.5</v>
      </c>
      <c r="V176">
        <v>875</v>
      </c>
      <c r="W176">
        <v>441.5</v>
      </c>
      <c r="X176">
        <v>1897</v>
      </c>
      <c r="Y176">
        <v>6686.5</v>
      </c>
      <c r="Z176">
        <v>31</v>
      </c>
    </row>
    <row r="177" spans="1:26" x14ac:dyDescent="0.25">
      <c r="A177" t="s">
        <v>226</v>
      </c>
      <c r="B177" t="s">
        <v>227</v>
      </c>
      <c r="C177" t="s">
        <v>228</v>
      </c>
      <c r="D177">
        <v>2141.5</v>
      </c>
      <c r="E177">
        <v>20</v>
      </c>
      <c r="F177">
        <v>6</v>
      </c>
      <c r="G177">
        <v>69</v>
      </c>
      <c r="H177">
        <v>-6</v>
      </c>
      <c r="I177">
        <v>44.5</v>
      </c>
      <c r="J177">
        <v>-14</v>
      </c>
      <c r="K177">
        <v>19</v>
      </c>
      <c r="L177">
        <v>13</v>
      </c>
      <c r="M177">
        <v>12</v>
      </c>
      <c r="N177">
        <v>47.5</v>
      </c>
      <c r="O177">
        <v>16</v>
      </c>
      <c r="P177">
        <v>-4</v>
      </c>
      <c r="Q177">
        <v>18</v>
      </c>
      <c r="R177">
        <v>-96.5</v>
      </c>
      <c r="S177">
        <v>21</v>
      </c>
      <c r="T177">
        <v>44.5</v>
      </c>
      <c r="U177">
        <v>613.5</v>
      </c>
      <c r="V177">
        <v>1293.5</v>
      </c>
      <c r="W177">
        <v>310</v>
      </c>
      <c r="X177">
        <v>644</v>
      </c>
      <c r="Y177">
        <v>8600</v>
      </c>
      <c r="Z177">
        <v>19</v>
      </c>
    </row>
    <row r="178" spans="1:26" x14ac:dyDescent="0.25">
      <c r="A178" t="s">
        <v>229</v>
      </c>
      <c r="B178" t="s">
        <v>230</v>
      </c>
      <c r="C178" t="s">
        <v>231</v>
      </c>
      <c r="D178">
        <v>9242</v>
      </c>
      <c r="E178">
        <v>9.5</v>
      </c>
      <c r="F178">
        <v>10</v>
      </c>
      <c r="G178">
        <v>46.5</v>
      </c>
      <c r="H178">
        <v>-6</v>
      </c>
      <c r="I178">
        <v>96</v>
      </c>
      <c r="J178">
        <v>32</v>
      </c>
      <c r="K178">
        <v>10.5</v>
      </c>
      <c r="L178">
        <v>55</v>
      </c>
      <c r="M178">
        <v>11</v>
      </c>
      <c r="N178">
        <v>32</v>
      </c>
      <c r="O178">
        <v>8</v>
      </c>
      <c r="P178">
        <v>12</v>
      </c>
      <c r="Q178">
        <v>7</v>
      </c>
      <c r="R178">
        <v>63.5</v>
      </c>
      <c r="S178">
        <v>27</v>
      </c>
      <c r="T178">
        <v>113.5</v>
      </c>
      <c r="U178">
        <v>128.5</v>
      </c>
      <c r="V178">
        <v>93.5</v>
      </c>
      <c r="W178">
        <v>60</v>
      </c>
      <c r="X178">
        <v>490</v>
      </c>
      <c r="Y178">
        <v>5326.5</v>
      </c>
      <c r="Z178">
        <v>22</v>
      </c>
    </row>
    <row r="179" spans="1:26" x14ac:dyDescent="0.25">
      <c r="A179" t="s">
        <v>232</v>
      </c>
      <c r="B179" t="s">
        <v>233</v>
      </c>
      <c r="C179" t="s">
        <v>234</v>
      </c>
      <c r="D179">
        <v>4705</v>
      </c>
      <c r="E179">
        <v>6.5</v>
      </c>
      <c r="F179">
        <v>19</v>
      </c>
      <c r="G179">
        <v>58</v>
      </c>
      <c r="H179">
        <v>-2.5</v>
      </c>
      <c r="I179">
        <v>83</v>
      </c>
      <c r="J179">
        <v>34</v>
      </c>
      <c r="K179">
        <v>19</v>
      </c>
      <c r="L179">
        <v>58</v>
      </c>
      <c r="M179">
        <v>12</v>
      </c>
      <c r="N179">
        <v>25</v>
      </c>
      <c r="O179">
        <v>21</v>
      </c>
      <c r="P179">
        <v>9</v>
      </c>
      <c r="Q179">
        <v>12.5</v>
      </c>
      <c r="R179">
        <v>80</v>
      </c>
      <c r="S179">
        <v>35.5</v>
      </c>
      <c r="T179">
        <v>133.5</v>
      </c>
      <c r="U179">
        <v>110</v>
      </c>
      <c r="V179">
        <v>103.5</v>
      </c>
      <c r="W179">
        <v>44</v>
      </c>
      <c r="X179">
        <v>527.5</v>
      </c>
      <c r="Y179">
        <v>6506</v>
      </c>
      <c r="Z179">
        <v>27</v>
      </c>
    </row>
    <row r="180" spans="1:26" x14ac:dyDescent="0.25">
      <c r="A180" t="s">
        <v>235</v>
      </c>
      <c r="B180" t="s">
        <v>236</v>
      </c>
      <c r="C180" t="s">
        <v>237</v>
      </c>
      <c r="D180">
        <v>6679</v>
      </c>
      <c r="E180">
        <v>107</v>
      </c>
      <c r="F180">
        <v>21</v>
      </c>
      <c r="G180">
        <v>74</v>
      </c>
      <c r="H180">
        <v>37</v>
      </c>
      <c r="I180">
        <v>180</v>
      </c>
      <c r="J180">
        <v>89</v>
      </c>
      <c r="K180">
        <v>26</v>
      </c>
      <c r="L180">
        <v>74</v>
      </c>
      <c r="M180">
        <v>20.5</v>
      </c>
      <c r="N180">
        <v>80.5</v>
      </c>
      <c r="O180">
        <v>16</v>
      </c>
      <c r="P180">
        <v>13</v>
      </c>
      <c r="Q180">
        <v>37.5</v>
      </c>
      <c r="R180">
        <v>599.5</v>
      </c>
      <c r="S180">
        <v>52</v>
      </c>
      <c r="T180">
        <v>165</v>
      </c>
      <c r="U180">
        <v>908</v>
      </c>
      <c r="V180">
        <v>1885</v>
      </c>
      <c r="W180">
        <v>1523</v>
      </c>
      <c r="X180">
        <v>5618</v>
      </c>
      <c r="Y180">
        <v>9338</v>
      </c>
      <c r="Z180">
        <v>43</v>
      </c>
    </row>
    <row r="181" spans="1:26" x14ac:dyDescent="0.25">
      <c r="A181" t="s">
        <v>238</v>
      </c>
      <c r="B181" t="s">
        <v>239</v>
      </c>
      <c r="C181" t="s">
        <v>240</v>
      </c>
      <c r="D181">
        <v>7830</v>
      </c>
      <c r="E181">
        <v>573</v>
      </c>
      <c r="F181">
        <v>31</v>
      </c>
      <c r="G181">
        <v>198.5</v>
      </c>
      <c r="H181">
        <v>139</v>
      </c>
      <c r="I181">
        <v>296</v>
      </c>
      <c r="J181">
        <v>93</v>
      </c>
      <c r="K181">
        <v>37</v>
      </c>
      <c r="L181">
        <v>76</v>
      </c>
      <c r="M181">
        <v>74</v>
      </c>
      <c r="N181">
        <v>72</v>
      </c>
      <c r="O181">
        <v>30</v>
      </c>
      <c r="P181">
        <v>33</v>
      </c>
      <c r="Q181">
        <v>57</v>
      </c>
      <c r="R181">
        <v>2236.5</v>
      </c>
      <c r="S181">
        <v>63.5</v>
      </c>
      <c r="T181">
        <v>229.5</v>
      </c>
      <c r="U181">
        <v>3140</v>
      </c>
      <c r="V181">
        <v>5832</v>
      </c>
      <c r="W181">
        <v>5909.5</v>
      </c>
      <c r="X181">
        <v>9914</v>
      </c>
      <c r="Y181">
        <v>15923</v>
      </c>
      <c r="Z181">
        <v>80</v>
      </c>
    </row>
    <row r="182" spans="1:26" x14ac:dyDescent="0.25">
      <c r="A182" t="s">
        <v>241</v>
      </c>
      <c r="B182" t="s">
        <v>242</v>
      </c>
      <c r="C182" t="s">
        <v>243</v>
      </c>
      <c r="D182">
        <v>2960.5</v>
      </c>
      <c r="E182">
        <v>875.5</v>
      </c>
      <c r="F182">
        <v>31</v>
      </c>
      <c r="G182">
        <v>387.5</v>
      </c>
      <c r="H182">
        <v>3172</v>
      </c>
      <c r="I182">
        <v>1107</v>
      </c>
      <c r="J182">
        <v>199.5</v>
      </c>
      <c r="K182">
        <v>25</v>
      </c>
      <c r="L182">
        <v>62</v>
      </c>
      <c r="M182">
        <v>107</v>
      </c>
      <c r="N182">
        <v>150</v>
      </c>
      <c r="O182">
        <v>40</v>
      </c>
      <c r="P182">
        <v>34</v>
      </c>
      <c r="Q182">
        <v>50.5</v>
      </c>
      <c r="R182">
        <v>2321</v>
      </c>
      <c r="S182">
        <v>69.5</v>
      </c>
      <c r="T182">
        <v>465</v>
      </c>
      <c r="U182">
        <v>1651</v>
      </c>
      <c r="V182">
        <v>20005</v>
      </c>
      <c r="W182">
        <v>13106</v>
      </c>
      <c r="X182">
        <v>24692</v>
      </c>
      <c r="Y182">
        <v>20758</v>
      </c>
      <c r="Z182">
        <v>104.5</v>
      </c>
    </row>
    <row r="183" spans="1:26" x14ac:dyDescent="0.25">
      <c r="A183" t="s">
        <v>244</v>
      </c>
      <c r="B183" t="s">
        <v>245</v>
      </c>
      <c r="C183" t="s">
        <v>246</v>
      </c>
      <c r="D183">
        <v>4363</v>
      </c>
      <c r="E183">
        <v>16</v>
      </c>
      <c r="F183">
        <v>8</v>
      </c>
      <c r="G183">
        <v>28</v>
      </c>
      <c r="H183">
        <v>-1</v>
      </c>
      <c r="I183">
        <v>167.5</v>
      </c>
      <c r="J183">
        <v>43</v>
      </c>
      <c r="K183">
        <v>5</v>
      </c>
      <c r="L183">
        <v>42.5</v>
      </c>
      <c r="M183">
        <v>8</v>
      </c>
      <c r="N183">
        <v>7</v>
      </c>
      <c r="O183">
        <v>9.5</v>
      </c>
      <c r="P183">
        <v>10</v>
      </c>
      <c r="Q183">
        <v>6</v>
      </c>
      <c r="R183">
        <v>100</v>
      </c>
      <c r="S183">
        <v>19</v>
      </c>
      <c r="T183">
        <v>192.5</v>
      </c>
      <c r="U183">
        <v>218</v>
      </c>
      <c r="V183">
        <v>65</v>
      </c>
      <c r="W183">
        <v>139</v>
      </c>
      <c r="X183">
        <v>683</v>
      </c>
      <c r="Y183">
        <v>9271</v>
      </c>
      <c r="Z183">
        <v>15</v>
      </c>
    </row>
    <row r="184" spans="1:26" x14ac:dyDescent="0.25">
      <c r="A184" t="s">
        <v>247</v>
      </c>
      <c r="B184" t="s">
        <v>248</v>
      </c>
      <c r="C184" t="s">
        <v>249</v>
      </c>
      <c r="D184">
        <v>2037</v>
      </c>
      <c r="E184">
        <v>2</v>
      </c>
      <c r="F184">
        <v>3.5</v>
      </c>
      <c r="G184">
        <v>29.5</v>
      </c>
      <c r="H184">
        <v>-4.5</v>
      </c>
      <c r="I184">
        <v>177</v>
      </c>
      <c r="J184">
        <v>25</v>
      </c>
      <c r="K184">
        <v>14</v>
      </c>
      <c r="L184">
        <v>65</v>
      </c>
      <c r="M184">
        <v>8</v>
      </c>
      <c r="N184">
        <v>16</v>
      </c>
      <c r="O184">
        <v>11</v>
      </c>
      <c r="P184">
        <v>-4</v>
      </c>
      <c r="Q184">
        <v>15</v>
      </c>
      <c r="R184">
        <v>100</v>
      </c>
      <c r="S184">
        <v>13.5</v>
      </c>
      <c r="T184">
        <v>88.5</v>
      </c>
      <c r="U184">
        <v>89</v>
      </c>
      <c r="V184">
        <v>62.5</v>
      </c>
      <c r="W184">
        <v>70</v>
      </c>
      <c r="X184">
        <v>502</v>
      </c>
      <c r="Y184">
        <v>2422</v>
      </c>
      <c r="Z184">
        <v>19</v>
      </c>
    </row>
    <row r="185" spans="1:26" x14ac:dyDescent="0.25">
      <c r="A185" t="s">
        <v>250</v>
      </c>
      <c r="B185" t="s">
        <v>251</v>
      </c>
      <c r="C185" t="s">
        <v>252</v>
      </c>
      <c r="D185">
        <v>4326</v>
      </c>
      <c r="E185">
        <v>4</v>
      </c>
      <c r="F185">
        <v>11</v>
      </c>
      <c r="G185">
        <v>39.5</v>
      </c>
      <c r="H185">
        <v>-3</v>
      </c>
      <c r="I185">
        <v>130</v>
      </c>
      <c r="J185">
        <v>28</v>
      </c>
      <c r="K185">
        <v>9</v>
      </c>
      <c r="L185">
        <v>46</v>
      </c>
      <c r="M185">
        <v>8</v>
      </c>
      <c r="N185">
        <v>19</v>
      </c>
      <c r="O185">
        <v>12</v>
      </c>
      <c r="P185">
        <v>3</v>
      </c>
      <c r="Q185">
        <v>8</v>
      </c>
      <c r="R185">
        <v>108</v>
      </c>
      <c r="S185">
        <v>20</v>
      </c>
      <c r="T185">
        <v>107.5</v>
      </c>
      <c r="U185">
        <v>129</v>
      </c>
      <c r="V185">
        <v>58</v>
      </c>
      <c r="W185">
        <v>141</v>
      </c>
      <c r="X185">
        <v>807</v>
      </c>
      <c r="Y185">
        <v>10860</v>
      </c>
      <c r="Z185">
        <v>16</v>
      </c>
    </row>
    <row r="186" spans="1:26" x14ac:dyDescent="0.25">
      <c r="A186" t="s">
        <v>253</v>
      </c>
      <c r="B186" t="s">
        <v>254</v>
      </c>
      <c r="C186" t="s">
        <v>255</v>
      </c>
      <c r="D186">
        <v>7995</v>
      </c>
      <c r="E186">
        <v>76</v>
      </c>
      <c r="F186">
        <v>17.5</v>
      </c>
      <c r="G186">
        <v>42</v>
      </c>
      <c r="H186">
        <v>22</v>
      </c>
      <c r="I186">
        <v>676</v>
      </c>
      <c r="J186">
        <v>21</v>
      </c>
      <c r="K186">
        <v>11</v>
      </c>
      <c r="L186">
        <v>12.5</v>
      </c>
      <c r="M186">
        <v>42</v>
      </c>
      <c r="N186">
        <v>17.5</v>
      </c>
      <c r="O186">
        <v>18.5</v>
      </c>
      <c r="P186">
        <v>20</v>
      </c>
      <c r="Q186">
        <v>28</v>
      </c>
      <c r="R186">
        <v>939</v>
      </c>
      <c r="S186">
        <v>13</v>
      </c>
      <c r="T186">
        <v>95.5</v>
      </c>
      <c r="U186">
        <v>629</v>
      </c>
      <c r="V186">
        <v>866.5</v>
      </c>
      <c r="W186">
        <v>800.5</v>
      </c>
      <c r="X186">
        <v>2061.5</v>
      </c>
      <c r="Y186">
        <v>9810</v>
      </c>
      <c r="Z186">
        <v>20</v>
      </c>
    </row>
    <row r="187" spans="1:26" x14ac:dyDescent="0.25">
      <c r="A187" t="s">
        <v>256</v>
      </c>
      <c r="B187" t="s">
        <v>257</v>
      </c>
      <c r="C187" t="s">
        <v>258</v>
      </c>
      <c r="D187">
        <v>2425.5</v>
      </c>
      <c r="E187">
        <v>7</v>
      </c>
      <c r="F187">
        <v>6</v>
      </c>
      <c r="G187">
        <v>14.5</v>
      </c>
      <c r="H187">
        <v>-4</v>
      </c>
      <c r="I187">
        <v>202</v>
      </c>
      <c r="J187">
        <v>36</v>
      </c>
      <c r="K187">
        <v>5</v>
      </c>
      <c r="L187">
        <v>38</v>
      </c>
      <c r="M187">
        <v>8.5</v>
      </c>
      <c r="N187">
        <v>5</v>
      </c>
      <c r="O187">
        <v>8</v>
      </c>
      <c r="P187">
        <v>4</v>
      </c>
      <c r="Q187">
        <v>5</v>
      </c>
      <c r="R187">
        <v>112</v>
      </c>
      <c r="S187">
        <v>14</v>
      </c>
      <c r="T187">
        <v>87.5</v>
      </c>
      <c r="U187">
        <v>203</v>
      </c>
      <c r="V187">
        <v>31</v>
      </c>
      <c r="W187">
        <v>22.5</v>
      </c>
      <c r="X187">
        <v>249</v>
      </c>
      <c r="Y187">
        <v>5955.5</v>
      </c>
      <c r="Z187">
        <v>14</v>
      </c>
    </row>
    <row r="188" spans="1:26" x14ac:dyDescent="0.25">
      <c r="A188" t="s">
        <v>259</v>
      </c>
      <c r="B188" t="s">
        <v>260</v>
      </c>
      <c r="C188" t="s">
        <v>261</v>
      </c>
      <c r="D188">
        <v>4047</v>
      </c>
      <c r="E188">
        <v>-2</v>
      </c>
      <c r="F188">
        <v>5</v>
      </c>
      <c r="G188">
        <v>16</v>
      </c>
      <c r="H188">
        <v>-6</v>
      </c>
      <c r="I188">
        <v>60</v>
      </c>
      <c r="J188">
        <v>17</v>
      </c>
      <c r="K188">
        <v>4</v>
      </c>
      <c r="L188">
        <v>49</v>
      </c>
      <c r="M188">
        <v>5</v>
      </c>
      <c r="N188">
        <v>7</v>
      </c>
      <c r="O188">
        <v>6</v>
      </c>
      <c r="P188">
        <v>8</v>
      </c>
      <c r="Q188">
        <v>5</v>
      </c>
      <c r="R188">
        <v>23</v>
      </c>
      <c r="S188">
        <v>10</v>
      </c>
      <c r="T188">
        <v>79.5</v>
      </c>
      <c r="U188">
        <v>82.5</v>
      </c>
      <c r="V188">
        <v>56</v>
      </c>
      <c r="W188">
        <v>24</v>
      </c>
      <c r="X188">
        <v>245</v>
      </c>
      <c r="Y188">
        <v>5309</v>
      </c>
      <c r="Z188">
        <v>9</v>
      </c>
    </row>
    <row r="189" spans="1:26" x14ac:dyDescent="0.25">
      <c r="A189" t="s">
        <v>262</v>
      </c>
      <c r="B189" t="s">
        <v>263</v>
      </c>
      <c r="C189" t="s">
        <v>264</v>
      </c>
      <c r="D189">
        <v>5542.5</v>
      </c>
      <c r="E189">
        <v>208</v>
      </c>
      <c r="F189">
        <v>22</v>
      </c>
      <c r="G189">
        <v>91</v>
      </c>
      <c r="H189">
        <v>100</v>
      </c>
      <c r="I189">
        <v>746</v>
      </c>
      <c r="J189">
        <v>72</v>
      </c>
      <c r="K189">
        <v>11</v>
      </c>
      <c r="L189">
        <v>49</v>
      </c>
      <c r="M189">
        <v>51</v>
      </c>
      <c r="N189">
        <v>66.5</v>
      </c>
      <c r="O189">
        <v>13.5</v>
      </c>
      <c r="P189">
        <v>25.5</v>
      </c>
      <c r="Q189">
        <v>23</v>
      </c>
      <c r="R189">
        <v>657</v>
      </c>
      <c r="S189">
        <v>41</v>
      </c>
      <c r="T189">
        <v>131</v>
      </c>
      <c r="U189">
        <v>1129</v>
      </c>
      <c r="V189">
        <v>1896</v>
      </c>
      <c r="W189">
        <v>5570</v>
      </c>
      <c r="X189">
        <v>9535</v>
      </c>
      <c r="Y189">
        <v>15012</v>
      </c>
      <c r="Z189">
        <v>35</v>
      </c>
    </row>
    <row r="190" spans="1:26" x14ac:dyDescent="0.25">
      <c r="A190" t="s">
        <v>265</v>
      </c>
      <c r="B190" t="s">
        <v>266</v>
      </c>
      <c r="C190" t="s">
        <v>267</v>
      </c>
      <c r="D190">
        <v>6176</v>
      </c>
      <c r="E190">
        <v>-4.5</v>
      </c>
      <c r="F190">
        <v>5</v>
      </c>
      <c r="G190">
        <v>37</v>
      </c>
      <c r="H190">
        <v>-6</v>
      </c>
      <c r="I190">
        <v>62.5</v>
      </c>
      <c r="J190">
        <v>24</v>
      </c>
      <c r="K190">
        <v>16.5</v>
      </c>
      <c r="L190">
        <v>57.5</v>
      </c>
      <c r="M190">
        <v>13.5</v>
      </c>
      <c r="N190">
        <v>30</v>
      </c>
      <c r="O190">
        <v>8</v>
      </c>
      <c r="P190">
        <v>-1</v>
      </c>
      <c r="Q190">
        <v>13</v>
      </c>
      <c r="R190">
        <v>84</v>
      </c>
      <c r="S190">
        <v>27</v>
      </c>
      <c r="T190">
        <v>98.5</v>
      </c>
      <c r="U190">
        <v>81.5</v>
      </c>
      <c r="V190">
        <v>41</v>
      </c>
      <c r="W190">
        <v>22</v>
      </c>
      <c r="X190">
        <v>329.5</v>
      </c>
      <c r="Y190">
        <v>8130</v>
      </c>
      <c r="Z190">
        <v>26</v>
      </c>
    </row>
    <row r="191" spans="1:26" x14ac:dyDescent="0.25">
      <c r="A191" t="s">
        <v>268</v>
      </c>
      <c r="B191" t="s">
        <v>269</v>
      </c>
      <c r="C191" t="s">
        <v>270</v>
      </c>
      <c r="D191">
        <v>4029.5</v>
      </c>
      <c r="E191">
        <v>47.5</v>
      </c>
      <c r="F191">
        <v>12</v>
      </c>
      <c r="G191">
        <v>52</v>
      </c>
      <c r="H191">
        <v>53</v>
      </c>
      <c r="I191">
        <v>410.5</v>
      </c>
      <c r="J191">
        <v>45.5</v>
      </c>
      <c r="K191">
        <v>6</v>
      </c>
      <c r="L191">
        <v>36</v>
      </c>
      <c r="M191">
        <v>31</v>
      </c>
      <c r="N191">
        <v>12</v>
      </c>
      <c r="O191">
        <v>13</v>
      </c>
      <c r="P191">
        <v>7</v>
      </c>
      <c r="Q191">
        <v>35</v>
      </c>
      <c r="R191">
        <v>365</v>
      </c>
      <c r="S191">
        <v>21.5</v>
      </c>
      <c r="T191">
        <v>109</v>
      </c>
      <c r="U191">
        <v>298</v>
      </c>
      <c r="V191">
        <v>587</v>
      </c>
      <c r="W191">
        <v>7872</v>
      </c>
      <c r="X191">
        <v>12986.5</v>
      </c>
      <c r="Y191">
        <v>13200</v>
      </c>
      <c r="Z191">
        <v>14</v>
      </c>
    </row>
    <row r="192" spans="1:26" x14ac:dyDescent="0.25">
      <c r="A192" t="s">
        <v>271</v>
      </c>
      <c r="B192" t="s">
        <v>272</v>
      </c>
      <c r="C192" t="s">
        <v>273</v>
      </c>
      <c r="D192">
        <v>8555</v>
      </c>
      <c r="E192">
        <v>5</v>
      </c>
      <c r="F192">
        <v>13</v>
      </c>
      <c r="G192">
        <v>68</v>
      </c>
      <c r="H192">
        <v>9.5</v>
      </c>
      <c r="I192">
        <v>717</v>
      </c>
      <c r="J192">
        <v>53</v>
      </c>
      <c r="K192">
        <v>8</v>
      </c>
      <c r="L192">
        <v>36.5</v>
      </c>
      <c r="M192">
        <v>15</v>
      </c>
      <c r="N192">
        <v>11.5</v>
      </c>
      <c r="O192">
        <v>13</v>
      </c>
      <c r="P192">
        <v>14.5</v>
      </c>
      <c r="Q192">
        <v>15</v>
      </c>
      <c r="R192">
        <v>190</v>
      </c>
      <c r="S192">
        <v>34</v>
      </c>
      <c r="T192">
        <v>116</v>
      </c>
      <c r="U192">
        <v>469.5</v>
      </c>
      <c r="V192">
        <v>554</v>
      </c>
      <c r="W192">
        <v>446</v>
      </c>
      <c r="X192">
        <v>1844</v>
      </c>
      <c r="Y192">
        <v>17566</v>
      </c>
      <c r="Z192">
        <v>20</v>
      </c>
    </row>
    <row r="193" spans="1:26" x14ac:dyDescent="0.25">
      <c r="A193" t="s">
        <v>274</v>
      </c>
      <c r="B193" t="s">
        <v>275</v>
      </c>
      <c r="C193" t="s">
        <v>276</v>
      </c>
      <c r="D193">
        <v>6530</v>
      </c>
      <c r="E193">
        <v>-2</v>
      </c>
      <c r="F193">
        <v>2</v>
      </c>
      <c r="G193">
        <v>17</v>
      </c>
      <c r="H193">
        <v>-6</v>
      </c>
      <c r="I193">
        <v>30.5</v>
      </c>
      <c r="J193">
        <v>29.5</v>
      </c>
      <c r="K193">
        <v>4.5</v>
      </c>
      <c r="L193">
        <v>41</v>
      </c>
      <c r="M193">
        <v>7</v>
      </c>
      <c r="N193">
        <v>2</v>
      </c>
      <c r="O193">
        <v>3</v>
      </c>
      <c r="P193">
        <v>-6</v>
      </c>
      <c r="Q193">
        <v>3</v>
      </c>
      <c r="R193">
        <v>-23.5</v>
      </c>
      <c r="S193">
        <v>3.5</v>
      </c>
      <c r="T193">
        <v>108.5</v>
      </c>
      <c r="U193">
        <v>63.5</v>
      </c>
      <c r="V193">
        <v>61.5</v>
      </c>
      <c r="W193">
        <v>22</v>
      </c>
      <c r="X193">
        <v>251</v>
      </c>
      <c r="Y193">
        <v>2093</v>
      </c>
      <c r="Z193">
        <v>12</v>
      </c>
    </row>
    <row r="194" spans="1:26" x14ac:dyDescent="0.25">
      <c r="A194" t="s">
        <v>277</v>
      </c>
      <c r="B194" t="s">
        <v>278</v>
      </c>
      <c r="C194" t="s">
        <v>279</v>
      </c>
      <c r="D194">
        <v>7036.5</v>
      </c>
      <c r="E194">
        <v>-1.5</v>
      </c>
      <c r="F194">
        <v>8</v>
      </c>
      <c r="G194">
        <v>68.5</v>
      </c>
      <c r="H194">
        <v>-1.5</v>
      </c>
      <c r="I194">
        <v>99</v>
      </c>
      <c r="J194">
        <v>55</v>
      </c>
      <c r="K194">
        <v>17</v>
      </c>
      <c r="L194">
        <v>86</v>
      </c>
      <c r="M194">
        <v>11.5</v>
      </c>
      <c r="N194">
        <v>107.5</v>
      </c>
      <c r="O194">
        <v>11</v>
      </c>
      <c r="P194">
        <v>-1</v>
      </c>
      <c r="Q194">
        <v>16</v>
      </c>
      <c r="R194">
        <v>106</v>
      </c>
      <c r="S194">
        <v>48</v>
      </c>
      <c r="T194">
        <v>170</v>
      </c>
      <c r="U194">
        <v>130.5</v>
      </c>
      <c r="V194">
        <v>43.5</v>
      </c>
      <c r="W194">
        <v>53</v>
      </c>
      <c r="X194">
        <v>518</v>
      </c>
      <c r="Y194">
        <v>3933</v>
      </c>
      <c r="Z194">
        <v>37</v>
      </c>
    </row>
    <row r="195" spans="1:26" x14ac:dyDescent="0.25">
      <c r="A195" t="s">
        <v>280</v>
      </c>
      <c r="B195" t="s">
        <v>281</v>
      </c>
      <c r="C195" t="s">
        <v>282</v>
      </c>
      <c r="D195">
        <v>1476.5</v>
      </c>
      <c r="E195">
        <v>1.5</v>
      </c>
      <c r="F195">
        <v>11</v>
      </c>
      <c r="G195">
        <v>47.5</v>
      </c>
      <c r="H195">
        <v>-0.5</v>
      </c>
      <c r="I195">
        <v>221.5</v>
      </c>
      <c r="J195">
        <v>50</v>
      </c>
      <c r="K195">
        <v>10</v>
      </c>
      <c r="L195">
        <v>47</v>
      </c>
      <c r="M195">
        <v>15</v>
      </c>
      <c r="N195">
        <v>49</v>
      </c>
      <c r="O195">
        <v>11</v>
      </c>
      <c r="P195">
        <v>-1</v>
      </c>
      <c r="Q195">
        <v>10</v>
      </c>
      <c r="R195">
        <v>177</v>
      </c>
      <c r="S195">
        <v>32</v>
      </c>
      <c r="T195">
        <v>100.5</v>
      </c>
      <c r="U195">
        <v>179</v>
      </c>
      <c r="V195">
        <v>62</v>
      </c>
      <c r="W195">
        <v>160</v>
      </c>
      <c r="X195">
        <v>1500</v>
      </c>
      <c r="Y195">
        <v>6699</v>
      </c>
      <c r="Z195">
        <v>29</v>
      </c>
    </row>
    <row r="196" spans="1:26" x14ac:dyDescent="0.25">
      <c r="A196" t="s">
        <v>283</v>
      </c>
      <c r="B196" t="s">
        <v>284</v>
      </c>
      <c r="C196" t="s">
        <v>285</v>
      </c>
      <c r="D196">
        <v>3290</v>
      </c>
      <c r="E196">
        <v>-5.5</v>
      </c>
      <c r="F196">
        <v>4.5</v>
      </c>
      <c r="G196">
        <v>22.5</v>
      </c>
      <c r="H196">
        <v>-3</v>
      </c>
      <c r="I196">
        <v>34</v>
      </c>
      <c r="J196">
        <v>15</v>
      </c>
      <c r="K196">
        <v>4.5</v>
      </c>
      <c r="L196">
        <v>46.5</v>
      </c>
      <c r="M196">
        <v>6.5</v>
      </c>
      <c r="N196">
        <v>17</v>
      </c>
      <c r="O196">
        <v>8</v>
      </c>
      <c r="P196">
        <v>8.5</v>
      </c>
      <c r="Q196">
        <v>2</v>
      </c>
      <c r="R196">
        <v>10</v>
      </c>
      <c r="S196">
        <v>23</v>
      </c>
      <c r="T196">
        <v>108.5</v>
      </c>
      <c r="U196">
        <v>132</v>
      </c>
      <c r="V196">
        <v>24</v>
      </c>
      <c r="W196">
        <v>34</v>
      </c>
      <c r="X196">
        <v>232</v>
      </c>
      <c r="Y196">
        <v>2927.5</v>
      </c>
      <c r="Z196">
        <v>9</v>
      </c>
    </row>
    <row r="197" spans="1:26" x14ac:dyDescent="0.25">
      <c r="A197" t="s">
        <v>286</v>
      </c>
      <c r="B197" t="s">
        <v>287</v>
      </c>
      <c r="C197" t="s">
        <v>288</v>
      </c>
      <c r="D197">
        <v>5545</v>
      </c>
      <c r="E197">
        <v>10</v>
      </c>
      <c r="F197">
        <v>7</v>
      </c>
      <c r="G197">
        <v>70.5</v>
      </c>
      <c r="H197">
        <v>-1</v>
      </c>
      <c r="I197">
        <v>57.5</v>
      </c>
      <c r="J197">
        <v>47</v>
      </c>
      <c r="K197">
        <v>15</v>
      </c>
      <c r="L197">
        <v>55</v>
      </c>
      <c r="M197">
        <v>11</v>
      </c>
      <c r="N197">
        <v>64</v>
      </c>
      <c r="O197">
        <v>9</v>
      </c>
      <c r="P197">
        <v>8.5</v>
      </c>
      <c r="Q197">
        <v>17</v>
      </c>
      <c r="R197">
        <v>93</v>
      </c>
      <c r="S197">
        <v>41</v>
      </c>
      <c r="T197">
        <v>131.5</v>
      </c>
      <c r="U197">
        <v>152</v>
      </c>
      <c r="V197">
        <v>193</v>
      </c>
      <c r="W197">
        <v>45</v>
      </c>
      <c r="X197">
        <v>164.5</v>
      </c>
      <c r="Y197">
        <v>2268</v>
      </c>
      <c r="Z197">
        <v>23</v>
      </c>
    </row>
    <row r="198" spans="1:26" x14ac:dyDescent="0.25">
      <c r="A198" t="s">
        <v>289</v>
      </c>
      <c r="B198" t="s">
        <v>290</v>
      </c>
      <c r="C198" t="s">
        <v>291</v>
      </c>
      <c r="D198">
        <v>3797</v>
      </c>
      <c r="E198">
        <v>-6</v>
      </c>
      <c r="F198">
        <v>4</v>
      </c>
      <c r="G198">
        <v>12.5</v>
      </c>
      <c r="H198">
        <v>-8</v>
      </c>
      <c r="I198">
        <v>165</v>
      </c>
      <c r="J198">
        <v>36.5</v>
      </c>
      <c r="K198">
        <v>3</v>
      </c>
      <c r="L198">
        <v>49</v>
      </c>
      <c r="M198">
        <v>8</v>
      </c>
      <c r="N198">
        <v>5</v>
      </c>
      <c r="O198">
        <v>7</v>
      </c>
      <c r="P198">
        <v>-1</v>
      </c>
      <c r="Q198">
        <v>5</v>
      </c>
      <c r="R198">
        <v>47</v>
      </c>
      <c r="S198">
        <v>11</v>
      </c>
      <c r="T198">
        <v>141</v>
      </c>
      <c r="U198">
        <v>109</v>
      </c>
      <c r="V198">
        <v>36</v>
      </c>
      <c r="W198">
        <v>44.5</v>
      </c>
      <c r="X198">
        <v>211</v>
      </c>
      <c r="Y198">
        <v>2849</v>
      </c>
      <c r="Z198">
        <v>9.5</v>
      </c>
    </row>
    <row r="199" spans="1:26" x14ac:dyDescent="0.25">
      <c r="A199" t="s">
        <v>292</v>
      </c>
      <c r="B199" t="s">
        <v>293</v>
      </c>
      <c r="C199" t="s">
        <v>294</v>
      </c>
      <c r="D199">
        <v>2507.5</v>
      </c>
      <c r="E199">
        <v>0</v>
      </c>
      <c r="F199">
        <v>5</v>
      </c>
      <c r="G199">
        <v>25</v>
      </c>
      <c r="H199">
        <v>-5</v>
      </c>
      <c r="I199">
        <v>105</v>
      </c>
      <c r="J199">
        <v>28</v>
      </c>
      <c r="K199">
        <v>4</v>
      </c>
      <c r="L199">
        <v>39</v>
      </c>
      <c r="M199">
        <v>6</v>
      </c>
      <c r="N199">
        <v>12</v>
      </c>
      <c r="O199">
        <v>7</v>
      </c>
      <c r="P199">
        <v>-2</v>
      </c>
      <c r="Q199">
        <v>4</v>
      </c>
      <c r="R199">
        <v>115</v>
      </c>
      <c r="S199">
        <v>10</v>
      </c>
      <c r="T199">
        <v>111.5</v>
      </c>
      <c r="U199">
        <v>98</v>
      </c>
      <c r="V199">
        <v>29</v>
      </c>
      <c r="W199">
        <v>16</v>
      </c>
      <c r="X199">
        <v>210</v>
      </c>
      <c r="Y199">
        <v>3679</v>
      </c>
      <c r="Z199">
        <v>13</v>
      </c>
    </row>
    <row r="200" spans="1:26" x14ac:dyDescent="0.25">
      <c r="A200" t="s">
        <v>295</v>
      </c>
      <c r="B200" t="s">
        <v>296</v>
      </c>
      <c r="C200" t="s">
        <v>297</v>
      </c>
      <c r="D200">
        <v>4281.5</v>
      </c>
      <c r="E200">
        <v>-3</v>
      </c>
      <c r="F200">
        <v>4</v>
      </c>
      <c r="G200">
        <v>27</v>
      </c>
      <c r="H200">
        <v>-9.5</v>
      </c>
      <c r="I200">
        <v>120</v>
      </c>
      <c r="J200">
        <v>24.5</v>
      </c>
      <c r="K200">
        <v>6</v>
      </c>
      <c r="L200">
        <v>53</v>
      </c>
      <c r="M200">
        <v>7</v>
      </c>
      <c r="N200">
        <v>21</v>
      </c>
      <c r="O200">
        <v>8</v>
      </c>
      <c r="P200">
        <v>-4</v>
      </c>
      <c r="Q200">
        <v>6</v>
      </c>
      <c r="R200">
        <v>84.5</v>
      </c>
      <c r="S200">
        <v>14</v>
      </c>
      <c r="T200">
        <v>93.5</v>
      </c>
      <c r="U200">
        <v>79</v>
      </c>
      <c r="V200">
        <v>46</v>
      </c>
      <c r="W200">
        <v>31</v>
      </c>
      <c r="X200">
        <v>181</v>
      </c>
      <c r="Y200">
        <v>1861</v>
      </c>
      <c r="Z200">
        <v>12</v>
      </c>
    </row>
    <row r="201" spans="1:26" x14ac:dyDescent="0.25">
      <c r="A201" t="s">
        <v>298</v>
      </c>
      <c r="B201" t="s">
        <v>299</v>
      </c>
      <c r="C201" t="s">
        <v>300</v>
      </c>
      <c r="D201">
        <v>2902.5</v>
      </c>
      <c r="E201">
        <v>227</v>
      </c>
      <c r="F201">
        <v>9</v>
      </c>
      <c r="G201">
        <v>58</v>
      </c>
      <c r="H201">
        <v>-7.5</v>
      </c>
      <c r="I201">
        <v>308</v>
      </c>
      <c r="J201">
        <v>38</v>
      </c>
      <c r="K201">
        <v>5</v>
      </c>
      <c r="L201">
        <v>34.5</v>
      </c>
      <c r="M201">
        <v>12</v>
      </c>
      <c r="N201">
        <v>20.5</v>
      </c>
      <c r="O201">
        <v>2.5</v>
      </c>
      <c r="P201">
        <v>-2.5</v>
      </c>
      <c r="Q201">
        <v>24</v>
      </c>
      <c r="R201">
        <v>188.5</v>
      </c>
      <c r="S201">
        <v>15</v>
      </c>
      <c r="T201">
        <v>107.5</v>
      </c>
      <c r="U201">
        <v>1620.5</v>
      </c>
      <c r="V201">
        <v>312.5</v>
      </c>
      <c r="W201">
        <v>127</v>
      </c>
      <c r="X201">
        <v>350</v>
      </c>
      <c r="Y201">
        <v>4734</v>
      </c>
      <c r="Z201">
        <v>19.5</v>
      </c>
    </row>
    <row r="202" spans="1:26" x14ac:dyDescent="0.25">
      <c r="A202" t="s">
        <v>301</v>
      </c>
      <c r="B202" t="s">
        <v>302</v>
      </c>
      <c r="C202" t="s">
        <v>303</v>
      </c>
      <c r="D202">
        <v>2121</v>
      </c>
      <c r="E202">
        <v>2.5</v>
      </c>
      <c r="F202">
        <v>4</v>
      </c>
      <c r="G202">
        <v>20</v>
      </c>
      <c r="H202">
        <v>-7</v>
      </c>
      <c r="I202">
        <v>56</v>
      </c>
      <c r="J202">
        <v>19</v>
      </c>
      <c r="K202">
        <v>3</v>
      </c>
      <c r="L202">
        <v>58.5</v>
      </c>
      <c r="M202">
        <v>6</v>
      </c>
      <c r="N202">
        <v>10</v>
      </c>
      <c r="O202">
        <v>7.5</v>
      </c>
      <c r="P202">
        <v>9</v>
      </c>
      <c r="Q202">
        <v>5</v>
      </c>
      <c r="R202">
        <v>37.5</v>
      </c>
      <c r="S202">
        <v>13</v>
      </c>
      <c r="T202">
        <v>70</v>
      </c>
      <c r="U202">
        <v>92</v>
      </c>
      <c r="V202">
        <v>48</v>
      </c>
      <c r="W202">
        <v>44</v>
      </c>
      <c r="X202">
        <v>221</v>
      </c>
      <c r="Y202">
        <v>3085.5</v>
      </c>
      <c r="Z202">
        <v>12</v>
      </c>
    </row>
    <row r="203" spans="1:26" x14ac:dyDescent="0.25">
      <c r="A203" t="s">
        <v>304</v>
      </c>
      <c r="B203" t="s">
        <v>305</v>
      </c>
      <c r="C203" t="s">
        <v>306</v>
      </c>
      <c r="D203">
        <v>7371.5</v>
      </c>
      <c r="E203">
        <v>3</v>
      </c>
      <c r="F203">
        <v>8.5</v>
      </c>
      <c r="G203">
        <v>80</v>
      </c>
      <c r="H203">
        <v>10</v>
      </c>
      <c r="I203">
        <v>439</v>
      </c>
      <c r="J203">
        <v>48</v>
      </c>
      <c r="K203">
        <v>19</v>
      </c>
      <c r="L203">
        <v>57</v>
      </c>
      <c r="M203">
        <v>9</v>
      </c>
      <c r="N203">
        <v>125</v>
      </c>
      <c r="O203">
        <v>11</v>
      </c>
      <c r="P203">
        <v>10</v>
      </c>
      <c r="Q203">
        <v>13</v>
      </c>
      <c r="R203">
        <v>121.5</v>
      </c>
      <c r="S203">
        <v>73</v>
      </c>
      <c r="T203">
        <v>195</v>
      </c>
      <c r="U203">
        <v>150</v>
      </c>
      <c r="V203">
        <v>39.5</v>
      </c>
      <c r="W203">
        <v>118</v>
      </c>
      <c r="X203">
        <v>604.5</v>
      </c>
      <c r="Y203">
        <v>7418</v>
      </c>
      <c r="Z203">
        <v>28</v>
      </c>
    </row>
    <row r="204" spans="1:26" x14ac:dyDescent="0.25">
      <c r="A204" t="s">
        <v>307</v>
      </c>
      <c r="B204" t="s">
        <v>308</v>
      </c>
      <c r="C204" t="s">
        <v>309</v>
      </c>
      <c r="D204">
        <v>2804</v>
      </c>
      <c r="E204">
        <v>-4</v>
      </c>
      <c r="F204">
        <v>-2.5</v>
      </c>
      <c r="G204">
        <v>4</v>
      </c>
      <c r="H204">
        <v>-17.5</v>
      </c>
      <c r="I204">
        <v>58</v>
      </c>
      <c r="J204">
        <v>-9.5</v>
      </c>
      <c r="K204">
        <v>3</v>
      </c>
      <c r="L204">
        <v>24.5</v>
      </c>
      <c r="M204">
        <v>4</v>
      </c>
      <c r="N204">
        <v>0</v>
      </c>
      <c r="O204">
        <v>3</v>
      </c>
      <c r="P204">
        <v>-2</v>
      </c>
      <c r="Q204">
        <v>1</v>
      </c>
      <c r="R204">
        <v>-24.5</v>
      </c>
      <c r="S204">
        <v>4</v>
      </c>
      <c r="T204">
        <v>62.5</v>
      </c>
      <c r="U204">
        <v>145</v>
      </c>
      <c r="V204">
        <v>57</v>
      </c>
      <c r="W204">
        <v>22</v>
      </c>
      <c r="X204">
        <v>384.5</v>
      </c>
      <c r="Y204">
        <v>4025.5</v>
      </c>
      <c r="Z204">
        <v>6</v>
      </c>
    </row>
    <row r="205" spans="1:26" x14ac:dyDescent="0.25">
      <c r="A205" t="s">
        <v>310</v>
      </c>
      <c r="B205" t="s">
        <v>311</v>
      </c>
      <c r="C205" t="s">
        <v>312</v>
      </c>
      <c r="D205">
        <v>1108</v>
      </c>
      <c r="E205">
        <v>-4.5</v>
      </c>
      <c r="F205">
        <v>2</v>
      </c>
      <c r="G205">
        <v>69</v>
      </c>
      <c r="H205">
        <v>-1</v>
      </c>
      <c r="I205">
        <v>184</v>
      </c>
      <c r="J205">
        <v>40</v>
      </c>
      <c r="K205">
        <v>12</v>
      </c>
      <c r="L205">
        <v>39</v>
      </c>
      <c r="M205">
        <v>9</v>
      </c>
      <c r="N205">
        <v>24</v>
      </c>
      <c r="O205">
        <v>3</v>
      </c>
      <c r="P205">
        <v>-0.5</v>
      </c>
      <c r="Q205">
        <v>12.5</v>
      </c>
      <c r="R205">
        <v>78.5</v>
      </c>
      <c r="S205">
        <v>39</v>
      </c>
      <c r="T205">
        <v>129.5</v>
      </c>
      <c r="U205">
        <v>282</v>
      </c>
      <c r="V205">
        <v>42</v>
      </c>
      <c r="W205">
        <v>-8.5</v>
      </c>
      <c r="X205">
        <v>28.5</v>
      </c>
      <c r="Y205">
        <v>3100</v>
      </c>
      <c r="Z205">
        <v>20</v>
      </c>
    </row>
    <row r="206" spans="1:26" x14ac:dyDescent="0.25">
      <c r="A206" t="s">
        <v>313</v>
      </c>
      <c r="B206" t="s">
        <v>314</v>
      </c>
      <c r="C206" t="s">
        <v>315</v>
      </c>
      <c r="D206">
        <v>3339.5</v>
      </c>
      <c r="E206">
        <v>4</v>
      </c>
      <c r="F206">
        <v>1</v>
      </c>
      <c r="G206">
        <v>26</v>
      </c>
      <c r="H206">
        <v>-13</v>
      </c>
      <c r="I206">
        <v>128</v>
      </c>
      <c r="J206">
        <v>25</v>
      </c>
      <c r="K206">
        <v>9.5</v>
      </c>
      <c r="L206">
        <v>48</v>
      </c>
      <c r="M206">
        <v>11</v>
      </c>
      <c r="N206">
        <v>14</v>
      </c>
      <c r="O206">
        <v>2</v>
      </c>
      <c r="P206">
        <v>13.5</v>
      </c>
      <c r="Q206">
        <v>2</v>
      </c>
      <c r="R206">
        <v>57</v>
      </c>
      <c r="S206">
        <v>12</v>
      </c>
      <c r="T206">
        <v>83</v>
      </c>
      <c r="U206">
        <v>89</v>
      </c>
      <c r="V206">
        <v>46</v>
      </c>
      <c r="W206">
        <v>11</v>
      </c>
      <c r="X206">
        <v>227</v>
      </c>
      <c r="Y206">
        <v>3598</v>
      </c>
      <c r="Z206">
        <v>8</v>
      </c>
    </row>
    <row r="207" spans="1:26" x14ac:dyDescent="0.25">
      <c r="A207" t="s">
        <v>316</v>
      </c>
      <c r="B207" t="s">
        <v>317</v>
      </c>
      <c r="C207" t="s">
        <v>318</v>
      </c>
      <c r="D207">
        <v>5309.5</v>
      </c>
      <c r="E207">
        <v>10</v>
      </c>
      <c r="F207">
        <v>8</v>
      </c>
      <c r="G207">
        <v>47</v>
      </c>
      <c r="H207">
        <v>-8</v>
      </c>
      <c r="I207">
        <v>62</v>
      </c>
      <c r="J207">
        <v>29</v>
      </c>
      <c r="K207">
        <v>6</v>
      </c>
      <c r="L207">
        <v>58.5</v>
      </c>
      <c r="M207">
        <v>10</v>
      </c>
      <c r="N207">
        <v>16</v>
      </c>
      <c r="O207">
        <v>9</v>
      </c>
      <c r="P207">
        <v>-3</v>
      </c>
      <c r="Q207">
        <v>10</v>
      </c>
      <c r="R207">
        <v>116</v>
      </c>
      <c r="S207">
        <v>19</v>
      </c>
      <c r="T207">
        <v>95.5</v>
      </c>
      <c r="U207">
        <v>509</v>
      </c>
      <c r="V207">
        <v>54.5</v>
      </c>
      <c r="W207">
        <v>48</v>
      </c>
      <c r="X207">
        <v>345</v>
      </c>
      <c r="Y207">
        <v>5096</v>
      </c>
      <c r="Z207">
        <v>14</v>
      </c>
    </row>
    <row r="208" spans="1:26" x14ac:dyDescent="0.25">
      <c r="A208" t="s">
        <v>319</v>
      </c>
      <c r="B208" t="s">
        <v>320</v>
      </c>
      <c r="C208" t="s">
        <v>321</v>
      </c>
      <c r="D208">
        <v>4331</v>
      </c>
      <c r="E208">
        <v>7</v>
      </c>
      <c r="F208">
        <v>10</v>
      </c>
      <c r="G208">
        <v>90</v>
      </c>
      <c r="H208">
        <v>4</v>
      </c>
      <c r="I208">
        <v>176</v>
      </c>
      <c r="J208">
        <v>67</v>
      </c>
      <c r="K208">
        <v>14</v>
      </c>
      <c r="L208">
        <v>59</v>
      </c>
      <c r="M208">
        <v>13</v>
      </c>
      <c r="N208">
        <v>175.5</v>
      </c>
      <c r="O208">
        <v>13</v>
      </c>
      <c r="P208">
        <v>2</v>
      </c>
      <c r="Q208">
        <v>21</v>
      </c>
      <c r="R208">
        <v>164.5</v>
      </c>
      <c r="S208">
        <v>66</v>
      </c>
      <c r="T208">
        <v>292.5</v>
      </c>
      <c r="U208">
        <v>280</v>
      </c>
      <c r="V208">
        <v>111.5</v>
      </c>
      <c r="W208">
        <v>68</v>
      </c>
      <c r="X208">
        <v>371</v>
      </c>
      <c r="Y208">
        <v>5064</v>
      </c>
      <c r="Z208">
        <v>33</v>
      </c>
    </row>
    <row r="214" spans="1:26" x14ac:dyDescent="0.25">
      <c r="A214" s="1"/>
      <c r="B214" s="1"/>
      <c r="C214" s="1"/>
      <c r="D214" s="1" t="s">
        <v>6</v>
      </c>
      <c r="E214" s="1" t="s">
        <v>7</v>
      </c>
      <c r="F214" s="1" t="s">
        <v>8</v>
      </c>
      <c r="G214" s="1" t="s">
        <v>9</v>
      </c>
      <c r="H214" s="1" t="s">
        <v>10</v>
      </c>
      <c r="I214" s="1" t="s">
        <v>11</v>
      </c>
      <c r="J214" s="1" t="s">
        <v>12</v>
      </c>
      <c r="K214" s="1" t="s">
        <v>13</v>
      </c>
      <c r="L214" s="1" t="s">
        <v>14</v>
      </c>
      <c r="M214" s="1" t="s">
        <v>15</v>
      </c>
      <c r="N214" s="1" t="s">
        <v>16</v>
      </c>
      <c r="O214" s="1" t="s">
        <v>17</v>
      </c>
      <c r="P214" s="1" t="s">
        <v>18</v>
      </c>
      <c r="Q214" s="1" t="s">
        <v>19</v>
      </c>
      <c r="R214" s="1" t="s">
        <v>20</v>
      </c>
      <c r="S214" s="1" t="s">
        <v>21</v>
      </c>
      <c r="T214" s="1" t="s">
        <v>22</v>
      </c>
      <c r="U214" s="1" t="s">
        <v>23</v>
      </c>
      <c r="V214" s="1" t="s">
        <v>24</v>
      </c>
      <c r="W214" s="1" t="s">
        <v>25</v>
      </c>
      <c r="X214" s="1" t="s">
        <v>26</v>
      </c>
      <c r="Y214" s="1" t="s">
        <v>27</v>
      </c>
      <c r="Z214" s="1" t="s">
        <v>28</v>
      </c>
    </row>
    <row r="215" spans="1:26" x14ac:dyDescent="0.25">
      <c r="A215" s="1" t="s">
        <v>29</v>
      </c>
      <c r="B215" s="1" t="s">
        <v>30</v>
      </c>
      <c r="C215" s="1" t="s">
        <v>31</v>
      </c>
      <c r="D215" s="1" t="s">
        <v>323</v>
      </c>
      <c r="E215" s="1" t="s">
        <v>323</v>
      </c>
      <c r="F215" s="1" t="s">
        <v>323</v>
      </c>
      <c r="G215" s="1" t="s">
        <v>323</v>
      </c>
      <c r="H215" s="1" t="s">
        <v>323</v>
      </c>
      <c r="I215" s="1" t="s">
        <v>323</v>
      </c>
      <c r="J215" s="1" t="s">
        <v>323</v>
      </c>
      <c r="K215" s="1" t="s">
        <v>323</v>
      </c>
      <c r="L215" s="1" t="s">
        <v>323</v>
      </c>
      <c r="M215" s="1" t="s">
        <v>323</v>
      </c>
      <c r="N215" s="1" t="s">
        <v>323</v>
      </c>
      <c r="O215" s="1" t="s">
        <v>323</v>
      </c>
      <c r="P215" s="1" t="s">
        <v>323</v>
      </c>
      <c r="Q215" s="1" t="s">
        <v>323</v>
      </c>
      <c r="R215" s="1" t="s">
        <v>323</v>
      </c>
      <c r="S215" s="1" t="s">
        <v>323</v>
      </c>
      <c r="T215" s="1" t="s">
        <v>323</v>
      </c>
      <c r="U215" s="1" t="s">
        <v>323</v>
      </c>
      <c r="V215" s="1" t="s">
        <v>323</v>
      </c>
      <c r="W215" s="1" t="s">
        <v>323</v>
      </c>
      <c r="X215" s="1" t="s">
        <v>323</v>
      </c>
      <c r="Y215" s="1" t="s">
        <v>323</v>
      </c>
      <c r="Z215" s="1" t="s">
        <v>323</v>
      </c>
    </row>
    <row r="216" spans="1:26" x14ac:dyDescent="0.25">
      <c r="A216" t="s">
        <v>33</v>
      </c>
      <c r="B216" t="s">
        <v>34</v>
      </c>
      <c r="C216" t="s">
        <v>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36</v>
      </c>
      <c r="B217" t="s">
        <v>37</v>
      </c>
      <c r="C217" t="s">
        <v>38</v>
      </c>
      <c r="G217">
        <v>0</v>
      </c>
      <c r="J217">
        <v>0</v>
      </c>
      <c r="L217">
        <v>0</v>
      </c>
      <c r="O217">
        <v>0</v>
      </c>
      <c r="P217">
        <v>0</v>
      </c>
      <c r="R217">
        <v>0</v>
      </c>
      <c r="S217">
        <v>0</v>
      </c>
      <c r="Z217">
        <v>0</v>
      </c>
    </row>
    <row r="218" spans="1:26" x14ac:dyDescent="0.25">
      <c r="A218" t="s">
        <v>40</v>
      </c>
      <c r="B218" t="s">
        <v>41</v>
      </c>
      <c r="C218" t="s">
        <v>42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43</v>
      </c>
      <c r="B219" t="s">
        <v>44</v>
      </c>
      <c r="C219" t="s">
        <v>45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t="s">
        <v>46</v>
      </c>
      <c r="B220" t="s">
        <v>47</v>
      </c>
      <c r="C220" t="s">
        <v>48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t="s">
        <v>49</v>
      </c>
      <c r="B221" t="s">
        <v>50</v>
      </c>
      <c r="C221" t="s">
        <v>51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 t="s">
        <v>52</v>
      </c>
      <c r="B222" t="s">
        <v>53</v>
      </c>
      <c r="C222" t="s">
        <v>54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N222">
        <v>0</v>
      </c>
      <c r="P222">
        <v>0</v>
      </c>
      <c r="Q222">
        <v>0</v>
      </c>
      <c r="R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55</v>
      </c>
      <c r="B223" t="s">
        <v>56</v>
      </c>
      <c r="C223" t="s">
        <v>57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58</v>
      </c>
      <c r="B224" t="s">
        <v>59</v>
      </c>
      <c r="C224" t="s">
        <v>60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X224">
        <v>0</v>
      </c>
      <c r="Z224">
        <v>0</v>
      </c>
    </row>
    <row r="225" spans="1:26" x14ac:dyDescent="0.25">
      <c r="A225" t="s">
        <v>61</v>
      </c>
      <c r="B225" t="s">
        <v>62</v>
      </c>
      <c r="C225" t="s">
        <v>63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 t="s">
        <v>64</v>
      </c>
      <c r="B226" t="s">
        <v>65</v>
      </c>
      <c r="C226" t="s">
        <v>66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 t="s">
        <v>67</v>
      </c>
      <c r="B227" t="s">
        <v>68</v>
      </c>
      <c r="C227" t="s">
        <v>69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70</v>
      </c>
      <c r="B228" t="s">
        <v>71</v>
      </c>
      <c r="C228" t="s">
        <v>72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 t="s">
        <v>73</v>
      </c>
      <c r="B229" t="s">
        <v>74</v>
      </c>
      <c r="C229" t="s">
        <v>75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 t="s">
        <v>76</v>
      </c>
      <c r="B230" t="s">
        <v>77</v>
      </c>
      <c r="C230" t="s">
        <v>78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 t="s">
        <v>79</v>
      </c>
      <c r="B231" t="s">
        <v>80</v>
      </c>
      <c r="C231" t="s">
        <v>81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 t="s">
        <v>82</v>
      </c>
      <c r="B232" t="s">
        <v>83</v>
      </c>
      <c r="C232" t="s">
        <v>84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 t="s">
        <v>85</v>
      </c>
      <c r="B233" t="s">
        <v>86</v>
      </c>
      <c r="C233" t="s">
        <v>87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 t="s">
        <v>88</v>
      </c>
      <c r="B234" t="s">
        <v>89</v>
      </c>
      <c r="C234" t="s">
        <v>90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 t="s">
        <v>91</v>
      </c>
      <c r="B235" t="s">
        <v>92</v>
      </c>
      <c r="C235" t="s">
        <v>93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 t="s">
        <v>94</v>
      </c>
      <c r="B236" t="s">
        <v>95</v>
      </c>
      <c r="C236" t="s">
        <v>96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5">
      <c r="A237" t="s">
        <v>97</v>
      </c>
      <c r="B237" t="s">
        <v>98</v>
      </c>
      <c r="C237" t="s">
        <v>99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5">
      <c r="A238" t="s">
        <v>100</v>
      </c>
      <c r="B238" t="s">
        <v>101</v>
      </c>
      <c r="C238" t="s">
        <v>102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5">
      <c r="A239" t="s">
        <v>103</v>
      </c>
      <c r="B239" t="s">
        <v>104</v>
      </c>
      <c r="C239" t="s">
        <v>105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 t="s">
        <v>106</v>
      </c>
      <c r="B240" t="s">
        <v>107</v>
      </c>
      <c r="C240" t="s">
        <v>108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 t="s">
        <v>109</v>
      </c>
      <c r="B241" t="s">
        <v>110</v>
      </c>
      <c r="C241" t="s">
        <v>111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 t="s">
        <v>112</v>
      </c>
      <c r="B242" t="s">
        <v>113</v>
      </c>
      <c r="C242" t="s">
        <v>114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 t="s">
        <v>115</v>
      </c>
      <c r="B243" t="s">
        <v>116</v>
      </c>
      <c r="C243" t="s">
        <v>117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 t="s">
        <v>118</v>
      </c>
      <c r="B244" t="s">
        <v>119</v>
      </c>
      <c r="C244" t="s">
        <v>120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 t="s">
        <v>121</v>
      </c>
      <c r="B245" t="s">
        <v>122</v>
      </c>
      <c r="C245" t="s">
        <v>123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 t="s">
        <v>124</v>
      </c>
      <c r="B246" t="s">
        <v>125</v>
      </c>
      <c r="C246" t="s">
        <v>126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5">
      <c r="A247" t="s">
        <v>127</v>
      </c>
      <c r="B247" t="s">
        <v>128</v>
      </c>
      <c r="C247" t="s">
        <v>129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 t="s">
        <v>130</v>
      </c>
      <c r="B248" t="s">
        <v>131</v>
      </c>
      <c r="C248" t="s">
        <v>132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 t="s">
        <v>133</v>
      </c>
      <c r="B249" t="s">
        <v>134</v>
      </c>
      <c r="C249" t="s">
        <v>135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 t="s">
        <v>136</v>
      </c>
      <c r="B250" t="s">
        <v>137</v>
      </c>
      <c r="C250" t="s">
        <v>138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25">
      <c r="A251" t="s">
        <v>139</v>
      </c>
      <c r="B251" t="s">
        <v>140</v>
      </c>
      <c r="C251" t="s">
        <v>141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 t="s">
        <v>142</v>
      </c>
      <c r="B252" t="s">
        <v>143</v>
      </c>
      <c r="C252" t="s">
        <v>144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 t="s">
        <v>145</v>
      </c>
      <c r="B253" t="s">
        <v>146</v>
      </c>
      <c r="C253" t="s">
        <v>147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 t="s">
        <v>148</v>
      </c>
      <c r="B254" t="s">
        <v>149</v>
      </c>
      <c r="C254" t="s">
        <v>150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 t="s">
        <v>151</v>
      </c>
      <c r="B255" t="s">
        <v>152</v>
      </c>
      <c r="C255" t="s">
        <v>153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25">
      <c r="A256" t="s">
        <v>154</v>
      </c>
      <c r="B256" t="s">
        <v>155</v>
      </c>
      <c r="C256" t="s">
        <v>156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 t="s">
        <v>157</v>
      </c>
      <c r="B257" t="s">
        <v>158</v>
      </c>
      <c r="C257" t="s">
        <v>159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 t="s">
        <v>160</v>
      </c>
      <c r="B258" t="s">
        <v>161</v>
      </c>
      <c r="C258" t="s">
        <v>162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 t="s">
        <v>163</v>
      </c>
      <c r="B259" t="s">
        <v>164</v>
      </c>
      <c r="C259" t="s">
        <v>165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 t="s">
        <v>166</v>
      </c>
      <c r="B260" t="s">
        <v>167</v>
      </c>
      <c r="C260" t="s">
        <v>168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5">
      <c r="A261" t="s">
        <v>169</v>
      </c>
      <c r="B261" t="s">
        <v>170</v>
      </c>
      <c r="C261" t="s">
        <v>171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5">
      <c r="A262" t="s">
        <v>172</v>
      </c>
      <c r="B262" t="s">
        <v>173</v>
      </c>
      <c r="C262" t="s">
        <v>174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 t="s">
        <v>175</v>
      </c>
      <c r="B263" t="s">
        <v>176</v>
      </c>
      <c r="C263" t="s">
        <v>177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5">
      <c r="A264" t="s">
        <v>178</v>
      </c>
      <c r="B264" t="s">
        <v>179</v>
      </c>
      <c r="C264" t="s">
        <v>180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 t="s">
        <v>181</v>
      </c>
      <c r="B265" t="s">
        <v>182</v>
      </c>
      <c r="C265" t="s">
        <v>183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 t="s">
        <v>184</v>
      </c>
      <c r="B266" t="s">
        <v>185</v>
      </c>
      <c r="C266" t="s">
        <v>186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 t="s">
        <v>187</v>
      </c>
      <c r="B267" t="s">
        <v>188</v>
      </c>
      <c r="C267" t="s">
        <v>189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5">
      <c r="A268" t="s">
        <v>190</v>
      </c>
      <c r="B268" t="s">
        <v>191</v>
      </c>
      <c r="C268" t="s">
        <v>192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 t="s">
        <v>193</v>
      </c>
      <c r="B269" t="s">
        <v>194</v>
      </c>
      <c r="C269" t="s">
        <v>195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 t="s">
        <v>196</v>
      </c>
      <c r="B270" t="s">
        <v>197</v>
      </c>
      <c r="C270" t="s">
        <v>198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 t="s">
        <v>199</v>
      </c>
      <c r="B271" t="s">
        <v>200</v>
      </c>
      <c r="C271" t="s">
        <v>201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 t="s">
        <v>202</v>
      </c>
      <c r="B272" t="s">
        <v>203</v>
      </c>
      <c r="C272" t="s">
        <v>204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 t="s">
        <v>205</v>
      </c>
      <c r="B273" t="s">
        <v>206</v>
      </c>
      <c r="C273" t="s">
        <v>207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 t="s">
        <v>208</v>
      </c>
      <c r="B274" t="s">
        <v>209</v>
      </c>
      <c r="C274" t="s">
        <v>210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 t="s">
        <v>211</v>
      </c>
      <c r="B275" t="s">
        <v>212</v>
      </c>
      <c r="C275" t="s">
        <v>213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 t="s">
        <v>214</v>
      </c>
      <c r="B276" t="s">
        <v>215</v>
      </c>
      <c r="C276" t="s">
        <v>216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25">
      <c r="A277" t="s">
        <v>217</v>
      </c>
      <c r="B277" t="s">
        <v>218</v>
      </c>
      <c r="C277" t="s">
        <v>219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 t="s">
        <v>220</v>
      </c>
      <c r="B278" t="s">
        <v>221</v>
      </c>
      <c r="C278" t="s">
        <v>222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 t="s">
        <v>223</v>
      </c>
      <c r="B279" t="s">
        <v>224</v>
      </c>
      <c r="C279" t="s">
        <v>225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 t="s">
        <v>226</v>
      </c>
      <c r="B280" t="s">
        <v>227</v>
      </c>
      <c r="C280" t="s">
        <v>228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 t="s">
        <v>229</v>
      </c>
      <c r="B281" t="s">
        <v>230</v>
      </c>
      <c r="C281" t="s">
        <v>231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 t="s">
        <v>232</v>
      </c>
      <c r="B282" t="s">
        <v>233</v>
      </c>
      <c r="C282" t="s">
        <v>234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 t="s">
        <v>235</v>
      </c>
      <c r="B283" t="s">
        <v>236</v>
      </c>
      <c r="C283" t="s">
        <v>237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 t="s">
        <v>238</v>
      </c>
      <c r="B284" t="s">
        <v>239</v>
      </c>
      <c r="C284" t="s">
        <v>240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 t="s">
        <v>241</v>
      </c>
      <c r="B285" t="s">
        <v>242</v>
      </c>
      <c r="C285" t="s">
        <v>243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 t="s">
        <v>244</v>
      </c>
      <c r="B286" t="s">
        <v>245</v>
      </c>
      <c r="C286" t="s">
        <v>246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 t="s">
        <v>247</v>
      </c>
      <c r="B287" t="s">
        <v>248</v>
      </c>
      <c r="C287" t="s">
        <v>249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5">
      <c r="A288" t="s">
        <v>250</v>
      </c>
      <c r="B288" t="s">
        <v>251</v>
      </c>
      <c r="C288" t="s">
        <v>252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 t="s">
        <v>253</v>
      </c>
      <c r="B289" t="s">
        <v>254</v>
      </c>
      <c r="C289" t="s">
        <v>255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5">
      <c r="A290" t="s">
        <v>256</v>
      </c>
      <c r="B290" t="s">
        <v>257</v>
      </c>
      <c r="C290" t="s">
        <v>258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5">
      <c r="A291" t="s">
        <v>259</v>
      </c>
      <c r="B291" t="s">
        <v>260</v>
      </c>
      <c r="C291" t="s">
        <v>261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 t="s">
        <v>262</v>
      </c>
      <c r="B292" t="s">
        <v>263</v>
      </c>
      <c r="C292" t="s">
        <v>264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 t="s">
        <v>265</v>
      </c>
      <c r="B293" t="s">
        <v>266</v>
      </c>
      <c r="C293" t="s">
        <v>267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 t="s">
        <v>268</v>
      </c>
      <c r="B294" t="s">
        <v>269</v>
      </c>
      <c r="C294" t="s">
        <v>270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 t="s">
        <v>271</v>
      </c>
      <c r="B295" t="s">
        <v>272</v>
      </c>
      <c r="C295" t="s">
        <v>273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 t="s">
        <v>274</v>
      </c>
      <c r="B296" t="s">
        <v>275</v>
      </c>
      <c r="C296" t="s">
        <v>276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 t="s">
        <v>277</v>
      </c>
      <c r="B297" t="s">
        <v>278</v>
      </c>
      <c r="C297" t="s">
        <v>279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 t="s">
        <v>280</v>
      </c>
      <c r="B298" t="s">
        <v>281</v>
      </c>
      <c r="C298" t="s">
        <v>282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 t="s">
        <v>283</v>
      </c>
      <c r="B299" t="s">
        <v>284</v>
      </c>
      <c r="C299" t="s">
        <v>285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 t="s">
        <v>286</v>
      </c>
      <c r="B300" t="s">
        <v>287</v>
      </c>
      <c r="C300" t="s">
        <v>288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 t="s">
        <v>289</v>
      </c>
      <c r="B301" t="s">
        <v>290</v>
      </c>
      <c r="C301" t="s">
        <v>291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5">
      <c r="A302" t="s">
        <v>292</v>
      </c>
      <c r="B302" t="s">
        <v>293</v>
      </c>
      <c r="C302" t="s">
        <v>294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5">
      <c r="A303" t="s">
        <v>295</v>
      </c>
      <c r="B303" t="s">
        <v>296</v>
      </c>
      <c r="C303" t="s">
        <v>297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 t="s">
        <v>298</v>
      </c>
      <c r="B304" t="s">
        <v>299</v>
      </c>
      <c r="C304" t="s">
        <v>300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5">
      <c r="A305" t="s">
        <v>301</v>
      </c>
      <c r="B305" t="s">
        <v>302</v>
      </c>
      <c r="C305" t="s">
        <v>303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 t="s">
        <v>304</v>
      </c>
      <c r="B306" t="s">
        <v>305</v>
      </c>
      <c r="C306" t="s">
        <v>306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 t="s">
        <v>307</v>
      </c>
      <c r="B307" t="s">
        <v>308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 t="s">
        <v>310</v>
      </c>
      <c r="B308" t="s">
        <v>311</v>
      </c>
      <c r="C308" t="s">
        <v>312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 t="s">
        <v>313</v>
      </c>
      <c r="B309" t="s">
        <v>314</v>
      </c>
      <c r="C309" t="s">
        <v>315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 t="s">
        <v>316</v>
      </c>
      <c r="B310" t="s">
        <v>317</v>
      </c>
      <c r="C310" t="s">
        <v>318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 t="s">
        <v>319</v>
      </c>
      <c r="B311" t="s">
        <v>320</v>
      </c>
      <c r="C311" t="s">
        <v>321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7" spans="1:26" x14ac:dyDescent="0.25">
      <c r="A317" s="1"/>
      <c r="B317" s="1"/>
      <c r="C317" s="1"/>
      <c r="D317" s="1" t="s">
        <v>6</v>
      </c>
      <c r="E317" s="1" t="s">
        <v>7</v>
      </c>
      <c r="F317" s="1" t="s">
        <v>8</v>
      </c>
      <c r="G317" s="1" t="s">
        <v>9</v>
      </c>
      <c r="H317" s="1" t="s">
        <v>10</v>
      </c>
      <c r="I317" s="1" t="s">
        <v>11</v>
      </c>
      <c r="J317" s="1" t="s">
        <v>12</v>
      </c>
      <c r="K317" s="1" t="s">
        <v>13</v>
      </c>
      <c r="L317" s="1" t="s">
        <v>14</v>
      </c>
      <c r="M317" s="1" t="s">
        <v>15</v>
      </c>
      <c r="N317" s="1" t="s">
        <v>16</v>
      </c>
      <c r="O317" s="1" t="s">
        <v>17</v>
      </c>
      <c r="P317" s="1" t="s">
        <v>18</v>
      </c>
      <c r="Q317" s="1" t="s">
        <v>19</v>
      </c>
      <c r="R317" s="1" t="s">
        <v>20</v>
      </c>
      <c r="S317" s="1" t="s">
        <v>21</v>
      </c>
      <c r="T317" s="1" t="s">
        <v>22</v>
      </c>
      <c r="U317" s="1" t="s">
        <v>23</v>
      </c>
      <c r="V317" s="1" t="s">
        <v>24</v>
      </c>
      <c r="W317" s="1" t="s">
        <v>25</v>
      </c>
      <c r="X317" s="1" t="s">
        <v>26</v>
      </c>
      <c r="Y317" s="1" t="s">
        <v>27</v>
      </c>
      <c r="Z317" s="1" t="s">
        <v>28</v>
      </c>
    </row>
    <row r="318" spans="1:26" x14ac:dyDescent="0.25">
      <c r="A318" s="1" t="s">
        <v>29</v>
      </c>
      <c r="B318" s="1" t="s">
        <v>30</v>
      </c>
      <c r="C318" s="1" t="s">
        <v>31</v>
      </c>
      <c r="D318" s="1" t="s">
        <v>324</v>
      </c>
      <c r="E318" s="1" t="s">
        <v>324</v>
      </c>
      <c r="F318" s="1" t="s">
        <v>324</v>
      </c>
      <c r="G318" s="1" t="s">
        <v>324</v>
      </c>
      <c r="H318" s="1" t="s">
        <v>324</v>
      </c>
      <c r="I318" s="1" t="s">
        <v>324</v>
      </c>
      <c r="J318" s="1" t="s">
        <v>324</v>
      </c>
      <c r="K318" s="1" t="s">
        <v>324</v>
      </c>
      <c r="L318" s="1" t="s">
        <v>324</v>
      </c>
      <c r="M318" s="1" t="s">
        <v>324</v>
      </c>
      <c r="N318" s="1" t="s">
        <v>324</v>
      </c>
      <c r="O318" s="1" t="s">
        <v>324</v>
      </c>
      <c r="P318" s="1" t="s">
        <v>324</v>
      </c>
      <c r="Q318" s="1" t="s">
        <v>324</v>
      </c>
      <c r="R318" s="1" t="s">
        <v>324</v>
      </c>
      <c r="S318" s="1" t="s">
        <v>324</v>
      </c>
      <c r="T318" s="1" t="s">
        <v>324</v>
      </c>
      <c r="U318" s="1" t="s">
        <v>324</v>
      </c>
      <c r="V318" s="1" t="s">
        <v>324</v>
      </c>
      <c r="W318" s="1" t="s">
        <v>324</v>
      </c>
      <c r="X318" s="1" t="s">
        <v>324</v>
      </c>
      <c r="Y318" s="1" t="s">
        <v>324</v>
      </c>
      <c r="Z318" s="1" t="s">
        <v>324</v>
      </c>
    </row>
    <row r="319" spans="1:26" x14ac:dyDescent="0.25">
      <c r="A319" t="s">
        <v>33</v>
      </c>
      <c r="B319" t="s">
        <v>34</v>
      </c>
      <c r="C319" t="s">
        <v>35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 t="s">
        <v>36</v>
      </c>
      <c r="B320" t="s">
        <v>37</v>
      </c>
      <c r="C320" t="s">
        <v>38</v>
      </c>
      <c r="G320">
        <v>0</v>
      </c>
      <c r="J320">
        <v>0</v>
      </c>
      <c r="L320">
        <v>0</v>
      </c>
      <c r="O320">
        <v>0</v>
      </c>
      <c r="P320">
        <v>0</v>
      </c>
      <c r="R320">
        <v>0</v>
      </c>
      <c r="S320">
        <v>0</v>
      </c>
      <c r="Z320">
        <v>0</v>
      </c>
    </row>
    <row r="321" spans="1:26" x14ac:dyDescent="0.25">
      <c r="A321" t="s">
        <v>40</v>
      </c>
      <c r="B321" t="s">
        <v>41</v>
      </c>
      <c r="C321" t="s">
        <v>42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 t="s">
        <v>43</v>
      </c>
      <c r="B322" t="s">
        <v>44</v>
      </c>
      <c r="C322" t="s">
        <v>45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 t="s">
        <v>46</v>
      </c>
      <c r="B323" t="s">
        <v>47</v>
      </c>
      <c r="C323" t="s">
        <v>48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 t="s">
        <v>49</v>
      </c>
      <c r="B324" t="s">
        <v>50</v>
      </c>
      <c r="C324" t="s">
        <v>51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5">
      <c r="A325" t="s">
        <v>52</v>
      </c>
      <c r="B325" t="s">
        <v>53</v>
      </c>
      <c r="C325" t="s">
        <v>54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N325">
        <v>0</v>
      </c>
      <c r="P325">
        <v>0</v>
      </c>
      <c r="Q325">
        <v>0</v>
      </c>
      <c r="R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5">
      <c r="A326" t="s">
        <v>55</v>
      </c>
      <c r="B326" t="s">
        <v>56</v>
      </c>
      <c r="C326" t="s">
        <v>57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25">
      <c r="A327" t="s">
        <v>58</v>
      </c>
      <c r="B327" t="s">
        <v>59</v>
      </c>
      <c r="C327" t="s">
        <v>60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X327">
        <v>0</v>
      </c>
      <c r="Z327">
        <v>0</v>
      </c>
    </row>
    <row r="328" spans="1:26" x14ac:dyDescent="0.25">
      <c r="A328" t="s">
        <v>61</v>
      </c>
      <c r="B328" t="s">
        <v>62</v>
      </c>
      <c r="C328" t="s">
        <v>63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5">
      <c r="A329" t="s">
        <v>64</v>
      </c>
      <c r="B329" t="s">
        <v>65</v>
      </c>
      <c r="C329" t="s">
        <v>66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5">
      <c r="A330" t="s">
        <v>67</v>
      </c>
      <c r="B330" t="s">
        <v>68</v>
      </c>
      <c r="C330" t="s">
        <v>69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5">
      <c r="A331" t="s">
        <v>70</v>
      </c>
      <c r="B331" t="s">
        <v>71</v>
      </c>
      <c r="C331" t="s">
        <v>72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A332" t="s">
        <v>73</v>
      </c>
      <c r="B332" t="s">
        <v>74</v>
      </c>
      <c r="C332" t="s">
        <v>75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 t="s">
        <v>76</v>
      </c>
      <c r="B333" t="s">
        <v>77</v>
      </c>
      <c r="C333" t="s">
        <v>78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5">
      <c r="A334" t="s">
        <v>79</v>
      </c>
      <c r="B334" t="s">
        <v>80</v>
      </c>
      <c r="C334" t="s">
        <v>81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5">
      <c r="A335" t="s">
        <v>82</v>
      </c>
      <c r="B335" t="s">
        <v>83</v>
      </c>
      <c r="C335" t="s">
        <v>84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 t="s">
        <v>85</v>
      </c>
      <c r="B336" t="s">
        <v>86</v>
      </c>
      <c r="C336" t="s">
        <v>87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5">
      <c r="A337" t="s">
        <v>88</v>
      </c>
      <c r="B337" t="s">
        <v>89</v>
      </c>
      <c r="C337" t="s">
        <v>90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 t="s">
        <v>91</v>
      </c>
      <c r="B338" t="s">
        <v>92</v>
      </c>
      <c r="C338" t="s">
        <v>93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94</v>
      </c>
      <c r="B339" t="s">
        <v>95</v>
      </c>
      <c r="C339" t="s">
        <v>96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97</v>
      </c>
      <c r="B340" t="s">
        <v>98</v>
      </c>
      <c r="C340" t="s">
        <v>99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100</v>
      </c>
      <c r="B341" t="s">
        <v>101</v>
      </c>
      <c r="C341" t="s">
        <v>102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103</v>
      </c>
      <c r="B342" t="s">
        <v>104</v>
      </c>
      <c r="C342" t="s">
        <v>105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106</v>
      </c>
      <c r="B343" t="s">
        <v>107</v>
      </c>
      <c r="C343" t="s">
        <v>108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109</v>
      </c>
      <c r="B344" t="s">
        <v>110</v>
      </c>
      <c r="C344" t="s">
        <v>111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112</v>
      </c>
      <c r="B345" t="s">
        <v>113</v>
      </c>
      <c r="C345" t="s">
        <v>114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115</v>
      </c>
      <c r="B346" t="s">
        <v>116</v>
      </c>
      <c r="C346" t="s">
        <v>117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118</v>
      </c>
      <c r="B347" t="s">
        <v>119</v>
      </c>
      <c r="C347" t="s">
        <v>120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121</v>
      </c>
      <c r="B348" t="s">
        <v>122</v>
      </c>
      <c r="C348" t="s">
        <v>123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124</v>
      </c>
      <c r="B349" t="s">
        <v>125</v>
      </c>
      <c r="C349" t="s">
        <v>126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127</v>
      </c>
      <c r="B350" t="s">
        <v>128</v>
      </c>
      <c r="C350" t="s">
        <v>129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130</v>
      </c>
      <c r="B351" t="s">
        <v>131</v>
      </c>
      <c r="C351" t="s">
        <v>132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133</v>
      </c>
      <c r="B352" t="s">
        <v>134</v>
      </c>
      <c r="C352" t="s">
        <v>135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136</v>
      </c>
      <c r="B353" t="s">
        <v>137</v>
      </c>
      <c r="C353" t="s">
        <v>138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139</v>
      </c>
      <c r="B354" t="s">
        <v>140</v>
      </c>
      <c r="C354" t="s">
        <v>141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142</v>
      </c>
      <c r="B355" t="s">
        <v>143</v>
      </c>
      <c r="C355" t="s">
        <v>144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145</v>
      </c>
      <c r="B356" t="s">
        <v>146</v>
      </c>
      <c r="C356" t="s">
        <v>147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148</v>
      </c>
      <c r="B357" t="s">
        <v>149</v>
      </c>
      <c r="C357" t="s">
        <v>150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151</v>
      </c>
      <c r="B358" t="s">
        <v>152</v>
      </c>
      <c r="C358" t="s">
        <v>153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154</v>
      </c>
      <c r="B359" t="s">
        <v>155</v>
      </c>
      <c r="C359" t="s">
        <v>156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157</v>
      </c>
      <c r="B360" t="s">
        <v>158</v>
      </c>
      <c r="C360" t="s">
        <v>159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160</v>
      </c>
      <c r="B361" t="s">
        <v>161</v>
      </c>
      <c r="C361" t="s">
        <v>162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163</v>
      </c>
      <c r="B362" t="s">
        <v>164</v>
      </c>
      <c r="C362" t="s">
        <v>165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166</v>
      </c>
      <c r="B363" t="s">
        <v>167</v>
      </c>
      <c r="C363" t="s">
        <v>168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169</v>
      </c>
      <c r="B364" t="s">
        <v>170</v>
      </c>
      <c r="C364" t="s">
        <v>171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172</v>
      </c>
      <c r="B365" t="s">
        <v>173</v>
      </c>
      <c r="C365" t="s">
        <v>174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175</v>
      </c>
      <c r="B366" t="s">
        <v>176</v>
      </c>
      <c r="C366" t="s">
        <v>177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178</v>
      </c>
      <c r="B367" t="s">
        <v>179</v>
      </c>
      <c r="C367" t="s">
        <v>180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181</v>
      </c>
      <c r="B368" t="s">
        <v>182</v>
      </c>
      <c r="C368" t="s">
        <v>183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184</v>
      </c>
      <c r="B369" t="s">
        <v>185</v>
      </c>
      <c r="C369" t="s">
        <v>186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187</v>
      </c>
      <c r="B370" t="s">
        <v>188</v>
      </c>
      <c r="C370" t="s">
        <v>189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190</v>
      </c>
      <c r="B371" t="s">
        <v>191</v>
      </c>
      <c r="C371" t="s">
        <v>192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193</v>
      </c>
      <c r="B372" t="s">
        <v>194</v>
      </c>
      <c r="C372" t="s">
        <v>195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196</v>
      </c>
      <c r="B373" t="s">
        <v>197</v>
      </c>
      <c r="C373" t="s">
        <v>198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199</v>
      </c>
      <c r="B374" t="s">
        <v>200</v>
      </c>
      <c r="C374" t="s">
        <v>201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202</v>
      </c>
      <c r="B375" t="s">
        <v>203</v>
      </c>
      <c r="C375" t="s">
        <v>204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205</v>
      </c>
      <c r="B376" t="s">
        <v>206</v>
      </c>
      <c r="C376" t="s">
        <v>207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208</v>
      </c>
      <c r="B377" t="s">
        <v>209</v>
      </c>
      <c r="C377" t="s">
        <v>210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211</v>
      </c>
      <c r="B378" t="s">
        <v>212</v>
      </c>
      <c r="C378" t="s">
        <v>213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214</v>
      </c>
      <c r="B379" t="s">
        <v>215</v>
      </c>
      <c r="C379" t="s">
        <v>216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217</v>
      </c>
      <c r="B380" t="s">
        <v>218</v>
      </c>
      <c r="C380" t="s">
        <v>219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220</v>
      </c>
      <c r="B381" t="s">
        <v>221</v>
      </c>
      <c r="C381" t="s">
        <v>222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223</v>
      </c>
      <c r="B382" t="s">
        <v>224</v>
      </c>
      <c r="C382" t="s">
        <v>225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226</v>
      </c>
      <c r="B383" t="s">
        <v>227</v>
      </c>
      <c r="C383" t="s">
        <v>228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229</v>
      </c>
      <c r="B384" t="s">
        <v>230</v>
      </c>
      <c r="C384" t="s">
        <v>231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232</v>
      </c>
      <c r="B385" t="s">
        <v>233</v>
      </c>
      <c r="C385" t="s">
        <v>234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235</v>
      </c>
      <c r="B386" t="s">
        <v>236</v>
      </c>
      <c r="C386" t="s">
        <v>237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5">
      <c r="A387" t="s">
        <v>238</v>
      </c>
      <c r="B387" t="s">
        <v>239</v>
      </c>
      <c r="C387" t="s">
        <v>240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5">
      <c r="A388" t="s">
        <v>241</v>
      </c>
      <c r="B388" t="s">
        <v>242</v>
      </c>
      <c r="C388" t="s">
        <v>243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 t="s">
        <v>244</v>
      </c>
      <c r="B389" t="s">
        <v>245</v>
      </c>
      <c r="C389" t="s">
        <v>246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 t="s">
        <v>247</v>
      </c>
      <c r="B390" t="s">
        <v>248</v>
      </c>
      <c r="C390" t="s">
        <v>249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5">
      <c r="A391" t="s">
        <v>250</v>
      </c>
      <c r="B391" t="s">
        <v>251</v>
      </c>
      <c r="C391" t="s">
        <v>252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 t="s">
        <v>253</v>
      </c>
      <c r="B392" t="s">
        <v>254</v>
      </c>
      <c r="C392" t="s">
        <v>255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 t="s">
        <v>256</v>
      </c>
      <c r="B393" t="s">
        <v>257</v>
      </c>
      <c r="C393" t="s">
        <v>258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 t="s">
        <v>259</v>
      </c>
      <c r="B394" t="s">
        <v>260</v>
      </c>
      <c r="C394" t="s">
        <v>261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25">
      <c r="A395" t="s">
        <v>262</v>
      </c>
      <c r="B395" t="s">
        <v>263</v>
      </c>
      <c r="C395" t="s">
        <v>264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 t="s">
        <v>265</v>
      </c>
      <c r="B396" t="s">
        <v>266</v>
      </c>
      <c r="C396" t="s">
        <v>267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25">
      <c r="A397" t="s">
        <v>268</v>
      </c>
      <c r="B397" t="s">
        <v>269</v>
      </c>
      <c r="C397" t="s">
        <v>270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 t="s">
        <v>271</v>
      </c>
      <c r="B398" t="s">
        <v>272</v>
      </c>
      <c r="C398" t="s">
        <v>273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25">
      <c r="A399" t="s">
        <v>274</v>
      </c>
      <c r="B399" t="s">
        <v>275</v>
      </c>
      <c r="C399" t="s">
        <v>276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 t="s">
        <v>277</v>
      </c>
      <c r="B400" t="s">
        <v>278</v>
      </c>
      <c r="C400" t="s">
        <v>279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 t="s">
        <v>280</v>
      </c>
      <c r="B401" t="s">
        <v>281</v>
      </c>
      <c r="C401" t="s">
        <v>282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 t="s">
        <v>283</v>
      </c>
      <c r="B402" t="s">
        <v>284</v>
      </c>
      <c r="C402" t="s">
        <v>285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 t="s">
        <v>286</v>
      </c>
      <c r="B403" t="s">
        <v>287</v>
      </c>
      <c r="C403" t="s">
        <v>288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 t="s">
        <v>289</v>
      </c>
      <c r="B404" t="s">
        <v>290</v>
      </c>
      <c r="C404" t="s">
        <v>291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5">
      <c r="A405" t="s">
        <v>292</v>
      </c>
      <c r="B405" t="s">
        <v>293</v>
      </c>
      <c r="C405" t="s">
        <v>294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 t="s">
        <v>295</v>
      </c>
      <c r="B406" t="s">
        <v>296</v>
      </c>
      <c r="C406" t="s">
        <v>297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 t="s">
        <v>298</v>
      </c>
      <c r="B407" t="s">
        <v>299</v>
      </c>
      <c r="C407" t="s">
        <v>300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5">
      <c r="A408" t="s">
        <v>301</v>
      </c>
      <c r="B408" t="s">
        <v>302</v>
      </c>
      <c r="C408" t="s">
        <v>303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 t="s">
        <v>304</v>
      </c>
      <c r="B409" t="s">
        <v>305</v>
      </c>
      <c r="C409" t="s">
        <v>306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5">
      <c r="A410" t="s">
        <v>307</v>
      </c>
      <c r="B410" t="s">
        <v>308</v>
      </c>
      <c r="C410" t="s">
        <v>309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5">
      <c r="A411" t="s">
        <v>310</v>
      </c>
      <c r="B411" t="s">
        <v>311</v>
      </c>
      <c r="C411" t="s">
        <v>312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5">
      <c r="A412" t="s">
        <v>313</v>
      </c>
      <c r="B412" t="s">
        <v>314</v>
      </c>
      <c r="C412" t="s">
        <v>315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 t="s">
        <v>316</v>
      </c>
      <c r="B413" t="s">
        <v>317</v>
      </c>
      <c r="C413" t="s">
        <v>318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5">
      <c r="A414" t="s">
        <v>319</v>
      </c>
      <c r="B414" t="s">
        <v>320</v>
      </c>
      <c r="C414" t="s">
        <v>321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20" spans="1:26" x14ac:dyDescent="0.25">
      <c r="A420" s="1"/>
      <c r="B420" s="1"/>
      <c r="C420" s="1"/>
      <c r="D420" s="1" t="s">
        <v>6</v>
      </c>
      <c r="E420" s="1" t="s">
        <v>7</v>
      </c>
      <c r="F420" s="1" t="s">
        <v>8</v>
      </c>
      <c r="G420" s="1" t="s">
        <v>9</v>
      </c>
      <c r="H420" s="1" t="s">
        <v>10</v>
      </c>
      <c r="I420" s="1" t="s">
        <v>11</v>
      </c>
      <c r="J420" s="1" t="s">
        <v>12</v>
      </c>
      <c r="K420" s="1" t="s">
        <v>13</v>
      </c>
      <c r="L420" s="1" t="s">
        <v>14</v>
      </c>
      <c r="M420" s="1" t="s">
        <v>15</v>
      </c>
      <c r="N420" s="1" t="s">
        <v>16</v>
      </c>
      <c r="O420" s="1" t="s">
        <v>17</v>
      </c>
      <c r="P420" s="1" t="s">
        <v>18</v>
      </c>
      <c r="Q420" s="1" t="s">
        <v>19</v>
      </c>
      <c r="R420" s="1" t="s">
        <v>20</v>
      </c>
      <c r="S420" s="1" t="s">
        <v>21</v>
      </c>
      <c r="T420" s="1" t="s">
        <v>22</v>
      </c>
      <c r="U420" s="1" t="s">
        <v>23</v>
      </c>
      <c r="V420" s="1" t="s">
        <v>24</v>
      </c>
      <c r="W420" s="1" t="s">
        <v>25</v>
      </c>
      <c r="X420" s="1" t="s">
        <v>26</v>
      </c>
      <c r="Y420" s="1" t="s">
        <v>27</v>
      </c>
      <c r="Z420" s="1" t="s">
        <v>28</v>
      </c>
    </row>
    <row r="421" spans="1:26" x14ac:dyDescent="0.25">
      <c r="A421" s="1" t="s">
        <v>29</v>
      </c>
      <c r="B421" s="1" t="s">
        <v>30</v>
      </c>
      <c r="C421" s="1" t="s">
        <v>31</v>
      </c>
      <c r="D421" s="1" t="s">
        <v>325</v>
      </c>
      <c r="E421" s="1" t="s">
        <v>325</v>
      </c>
      <c r="F421" s="1" t="s">
        <v>325</v>
      </c>
      <c r="G421" s="1" t="s">
        <v>325</v>
      </c>
      <c r="H421" s="1" t="s">
        <v>325</v>
      </c>
      <c r="I421" s="1" t="s">
        <v>325</v>
      </c>
      <c r="J421" s="1" t="s">
        <v>325</v>
      </c>
      <c r="K421" s="1" t="s">
        <v>325</v>
      </c>
      <c r="L421" s="1" t="s">
        <v>325</v>
      </c>
      <c r="M421" s="1" t="s">
        <v>325</v>
      </c>
      <c r="N421" s="1" t="s">
        <v>325</v>
      </c>
      <c r="O421" s="1" t="s">
        <v>325</v>
      </c>
      <c r="P421" s="1" t="s">
        <v>325</v>
      </c>
      <c r="Q421" s="1" t="s">
        <v>325</v>
      </c>
      <c r="R421" s="1" t="s">
        <v>325</v>
      </c>
      <c r="S421" s="1" t="s">
        <v>325</v>
      </c>
      <c r="T421" s="1" t="s">
        <v>325</v>
      </c>
      <c r="U421" s="1" t="s">
        <v>325</v>
      </c>
      <c r="V421" s="1" t="s">
        <v>325</v>
      </c>
      <c r="W421" s="1" t="s">
        <v>325</v>
      </c>
      <c r="X421" s="1" t="s">
        <v>325</v>
      </c>
      <c r="Y421" s="1" t="s">
        <v>325</v>
      </c>
      <c r="Z421" s="1" t="s">
        <v>325</v>
      </c>
    </row>
    <row r="422" spans="1:26" x14ac:dyDescent="0.25">
      <c r="A422" t="s">
        <v>33</v>
      </c>
      <c r="B422" t="s">
        <v>34</v>
      </c>
      <c r="C422" t="s">
        <v>35</v>
      </c>
    </row>
    <row r="423" spans="1:26" x14ac:dyDescent="0.25">
      <c r="A423" t="s">
        <v>36</v>
      </c>
      <c r="B423" t="s">
        <v>37</v>
      </c>
      <c r="C423" t="s">
        <v>38</v>
      </c>
      <c r="G423">
        <v>11854.13</v>
      </c>
      <c r="J423">
        <v>31924.85</v>
      </c>
      <c r="L423">
        <v>8088.35</v>
      </c>
      <c r="O423">
        <v>6625.75</v>
      </c>
      <c r="P423">
        <v>5253.08</v>
      </c>
      <c r="R423">
        <v>6722.01</v>
      </c>
      <c r="S423" t="s">
        <v>326</v>
      </c>
      <c r="Z423">
        <v>59945.99</v>
      </c>
    </row>
    <row r="424" spans="1:26" x14ac:dyDescent="0.25">
      <c r="A424" t="s">
        <v>40</v>
      </c>
      <c r="B424" t="s">
        <v>41</v>
      </c>
      <c r="C424" t="s">
        <v>42</v>
      </c>
      <c r="D424">
        <v>7749.99</v>
      </c>
      <c r="E424">
        <v>25888.82</v>
      </c>
      <c r="F424">
        <v>19531.18</v>
      </c>
      <c r="G424">
        <v>2866.47</v>
      </c>
      <c r="H424">
        <v>14286.02</v>
      </c>
      <c r="I424">
        <v>28322.02</v>
      </c>
      <c r="J424">
        <v>8241.41</v>
      </c>
      <c r="K424">
        <v>63650.12</v>
      </c>
      <c r="L424">
        <v>1917.11</v>
      </c>
      <c r="M424">
        <v>6919.17</v>
      </c>
      <c r="N424">
        <v>5250.13</v>
      </c>
      <c r="O424">
        <v>1656.61</v>
      </c>
      <c r="P424">
        <v>1550.4</v>
      </c>
      <c r="Q424">
        <v>3838.65</v>
      </c>
      <c r="R424">
        <v>1491.56</v>
      </c>
      <c r="S424">
        <v>16085.69</v>
      </c>
      <c r="T424">
        <v>2300.44</v>
      </c>
      <c r="U424">
        <v>6528.44</v>
      </c>
      <c r="W424">
        <v>19677.8</v>
      </c>
      <c r="X424">
        <v>1984.71</v>
      </c>
      <c r="Y424">
        <v>11776.19</v>
      </c>
      <c r="Z424">
        <v>14906.35</v>
      </c>
    </row>
    <row r="425" spans="1:26" x14ac:dyDescent="0.25">
      <c r="A425" t="s">
        <v>43</v>
      </c>
      <c r="B425" t="s">
        <v>44</v>
      </c>
      <c r="C425" t="s">
        <v>45</v>
      </c>
      <c r="D425">
        <v>1903.47</v>
      </c>
      <c r="E425">
        <v>5968.41</v>
      </c>
      <c r="F425">
        <v>6098.42</v>
      </c>
      <c r="G425">
        <v>737.54</v>
      </c>
      <c r="H425">
        <v>3604.04</v>
      </c>
      <c r="I425">
        <v>6974.74</v>
      </c>
      <c r="J425">
        <v>2004.65</v>
      </c>
      <c r="K425">
        <v>16157.57</v>
      </c>
      <c r="L425">
        <v>484.55</v>
      </c>
      <c r="M425">
        <v>1576.12</v>
      </c>
      <c r="N425">
        <v>1355.99</v>
      </c>
      <c r="O425">
        <v>415.54</v>
      </c>
      <c r="P425">
        <v>342.88</v>
      </c>
      <c r="Q425">
        <v>1101.96</v>
      </c>
      <c r="R425">
        <v>404.26</v>
      </c>
      <c r="S425">
        <v>4300.22</v>
      </c>
      <c r="T425">
        <v>577.05999999999995</v>
      </c>
      <c r="U425">
        <v>1652.14</v>
      </c>
      <c r="V425">
        <v>17287.46</v>
      </c>
      <c r="W425">
        <v>4435.8500000000004</v>
      </c>
      <c r="X425">
        <v>507.07</v>
      </c>
      <c r="Y425">
        <v>2879.92</v>
      </c>
      <c r="Z425">
        <v>3790.03</v>
      </c>
    </row>
    <row r="426" spans="1:26" x14ac:dyDescent="0.25">
      <c r="A426" t="s">
        <v>46</v>
      </c>
      <c r="B426" t="s">
        <v>47</v>
      </c>
      <c r="C426" t="s">
        <v>48</v>
      </c>
      <c r="D426">
        <v>484.17</v>
      </c>
      <c r="E426">
        <v>1601.01</v>
      </c>
      <c r="F426">
        <v>1417.82</v>
      </c>
      <c r="G426">
        <v>171.43</v>
      </c>
      <c r="H426">
        <v>874.45</v>
      </c>
      <c r="I426">
        <v>1752.01</v>
      </c>
      <c r="J426">
        <v>481.53</v>
      </c>
      <c r="K426">
        <v>3965.84</v>
      </c>
      <c r="L426">
        <v>115.43</v>
      </c>
      <c r="M426">
        <v>451.68</v>
      </c>
      <c r="N426">
        <v>316.05</v>
      </c>
      <c r="O426">
        <v>100.52</v>
      </c>
      <c r="P426">
        <v>90.76</v>
      </c>
      <c r="Q426">
        <v>193.51</v>
      </c>
      <c r="R426">
        <v>87.99</v>
      </c>
      <c r="S426">
        <v>927.24</v>
      </c>
      <c r="T426">
        <v>140.6</v>
      </c>
      <c r="U426">
        <v>397.15</v>
      </c>
      <c r="V426">
        <v>4295.32</v>
      </c>
      <c r="W426">
        <v>1152.18</v>
      </c>
      <c r="X426">
        <v>123.65</v>
      </c>
      <c r="Y426">
        <v>717.13</v>
      </c>
      <c r="Z426">
        <v>905.71</v>
      </c>
    </row>
    <row r="427" spans="1:26" x14ac:dyDescent="0.25">
      <c r="A427" t="s">
        <v>49</v>
      </c>
      <c r="B427" t="s">
        <v>50</v>
      </c>
      <c r="C427" t="s">
        <v>51</v>
      </c>
      <c r="D427">
        <v>119.69</v>
      </c>
      <c r="E427">
        <v>415.58</v>
      </c>
      <c r="F427">
        <v>370.94</v>
      </c>
      <c r="G427">
        <v>48.8</v>
      </c>
      <c r="H427">
        <v>241.39</v>
      </c>
      <c r="I427">
        <v>463.2</v>
      </c>
      <c r="J427">
        <v>152.57</v>
      </c>
      <c r="K427">
        <v>1010.04</v>
      </c>
      <c r="L427">
        <v>32.909999999999997</v>
      </c>
      <c r="M427">
        <v>98.67</v>
      </c>
      <c r="N427">
        <v>90.25</v>
      </c>
      <c r="O427">
        <v>27.47</v>
      </c>
      <c r="P427">
        <v>23.36</v>
      </c>
      <c r="Q427">
        <v>71.989999999999995</v>
      </c>
      <c r="R427">
        <v>26.61</v>
      </c>
      <c r="S427">
        <v>259.67</v>
      </c>
      <c r="T427">
        <v>38.9</v>
      </c>
      <c r="U427">
        <v>111.91</v>
      </c>
      <c r="V427">
        <v>1096.81</v>
      </c>
      <c r="W427">
        <v>282.24</v>
      </c>
      <c r="X427">
        <v>31.82</v>
      </c>
      <c r="Y427">
        <v>183.76</v>
      </c>
      <c r="Z427">
        <v>230.73</v>
      </c>
    </row>
    <row r="428" spans="1:26" x14ac:dyDescent="0.25">
      <c r="A428" t="s">
        <v>52</v>
      </c>
      <c r="B428" t="s">
        <v>53</v>
      </c>
      <c r="C428" t="s">
        <v>54</v>
      </c>
      <c r="D428">
        <v>29.17</v>
      </c>
      <c r="E428">
        <v>87.65</v>
      </c>
      <c r="F428">
        <v>85.65</v>
      </c>
      <c r="G428">
        <v>11.32</v>
      </c>
      <c r="H428">
        <v>50.36</v>
      </c>
      <c r="I428">
        <v>101.53</v>
      </c>
      <c r="J428">
        <v>23.76</v>
      </c>
      <c r="K428">
        <v>253.63</v>
      </c>
      <c r="L428">
        <v>7.42</v>
      </c>
      <c r="N428">
        <v>19.079999999999998</v>
      </c>
      <c r="P428">
        <v>5.43</v>
      </c>
      <c r="Q428">
        <v>15.99</v>
      </c>
      <c r="R428">
        <v>5.88</v>
      </c>
      <c r="T428">
        <v>8.2100000000000009</v>
      </c>
      <c r="U428">
        <v>23.89</v>
      </c>
      <c r="V428">
        <v>258.08</v>
      </c>
      <c r="W428">
        <v>73.2</v>
      </c>
      <c r="X428">
        <v>7.81</v>
      </c>
      <c r="Y428">
        <v>44.79</v>
      </c>
      <c r="Z428">
        <v>69.61</v>
      </c>
    </row>
    <row r="429" spans="1:26" x14ac:dyDescent="0.25">
      <c r="A429" t="s">
        <v>55</v>
      </c>
      <c r="B429" t="s">
        <v>56</v>
      </c>
      <c r="C429" t="s">
        <v>57</v>
      </c>
      <c r="D429">
        <v>8.06</v>
      </c>
      <c r="E429">
        <v>30.22</v>
      </c>
      <c r="F429">
        <v>25.3</v>
      </c>
      <c r="G429">
        <v>2.42</v>
      </c>
      <c r="H429">
        <v>16.79</v>
      </c>
      <c r="I429">
        <v>30.45</v>
      </c>
      <c r="J429">
        <v>10.25</v>
      </c>
      <c r="K429">
        <v>60.99</v>
      </c>
      <c r="L429">
        <v>1.72</v>
      </c>
      <c r="M429">
        <v>6.73</v>
      </c>
      <c r="N429">
        <v>5.62</v>
      </c>
      <c r="O429">
        <v>1.47</v>
      </c>
      <c r="P429">
        <v>1.36</v>
      </c>
      <c r="Q429">
        <v>3.89</v>
      </c>
      <c r="R429">
        <v>1.41</v>
      </c>
      <c r="S429">
        <v>14.69</v>
      </c>
      <c r="T429">
        <v>2.48</v>
      </c>
      <c r="U429">
        <v>6.63</v>
      </c>
      <c r="V429">
        <v>73.599999999999994</v>
      </c>
      <c r="W429">
        <v>15.95</v>
      </c>
      <c r="X429">
        <v>1.95</v>
      </c>
      <c r="Y429">
        <v>11.8</v>
      </c>
      <c r="Z429">
        <v>12.1</v>
      </c>
    </row>
    <row r="430" spans="1:26" x14ac:dyDescent="0.25">
      <c r="A430" t="s">
        <v>58</v>
      </c>
      <c r="B430" t="s">
        <v>59</v>
      </c>
      <c r="C430" t="s">
        <v>60</v>
      </c>
      <c r="D430">
        <v>1.71</v>
      </c>
      <c r="E430">
        <v>4.8499999999999996</v>
      </c>
      <c r="F430">
        <v>4.3600000000000003</v>
      </c>
      <c r="G430">
        <v>0.88</v>
      </c>
      <c r="H430">
        <v>2.85</v>
      </c>
      <c r="I430">
        <v>6.44</v>
      </c>
      <c r="J430" t="s">
        <v>327</v>
      </c>
      <c r="K430">
        <v>16.010000000000002</v>
      </c>
      <c r="L430">
        <v>0.52</v>
      </c>
      <c r="M430">
        <v>1.6</v>
      </c>
      <c r="N430">
        <v>1.22</v>
      </c>
      <c r="O430">
        <v>0.45</v>
      </c>
      <c r="P430">
        <v>0.37</v>
      </c>
      <c r="Q430">
        <v>0.81</v>
      </c>
      <c r="R430">
        <v>0.41</v>
      </c>
      <c r="S430">
        <v>4.04</v>
      </c>
      <c r="T430">
        <v>0.52</v>
      </c>
      <c r="U430">
        <v>1.59</v>
      </c>
      <c r="V430">
        <v>14.68</v>
      </c>
      <c r="X430">
        <v>0.49</v>
      </c>
      <c r="Z430">
        <v>4.1900000000000004</v>
      </c>
    </row>
    <row r="431" spans="1:26" x14ac:dyDescent="0.25">
      <c r="A431" t="s">
        <v>61</v>
      </c>
      <c r="B431" t="s">
        <v>62</v>
      </c>
      <c r="C431" t="s">
        <v>63</v>
      </c>
      <c r="D431">
        <v>584.49</v>
      </c>
      <c r="E431" t="s">
        <v>327</v>
      </c>
      <c r="F431">
        <v>8.7200000000000006</v>
      </c>
      <c r="G431">
        <v>7.47</v>
      </c>
      <c r="H431" t="s">
        <v>327</v>
      </c>
      <c r="I431">
        <v>29.12</v>
      </c>
      <c r="J431">
        <v>40.64</v>
      </c>
      <c r="K431">
        <v>40.21</v>
      </c>
      <c r="L431">
        <v>4.3600000000000003</v>
      </c>
      <c r="M431" t="s">
        <v>327</v>
      </c>
      <c r="N431">
        <v>2.92</v>
      </c>
      <c r="O431">
        <v>2.2799999999999998</v>
      </c>
      <c r="P431">
        <v>1.1399999999999999</v>
      </c>
      <c r="Q431" t="s">
        <v>327</v>
      </c>
      <c r="R431">
        <v>1.68</v>
      </c>
      <c r="S431">
        <v>10.82</v>
      </c>
      <c r="T431">
        <v>9.4</v>
      </c>
      <c r="U431">
        <v>24.19</v>
      </c>
      <c r="V431">
        <v>211.94</v>
      </c>
      <c r="W431">
        <v>82.18</v>
      </c>
      <c r="X431">
        <v>9.61</v>
      </c>
      <c r="Y431">
        <v>373.95</v>
      </c>
      <c r="Z431">
        <v>11.64</v>
      </c>
    </row>
    <row r="432" spans="1:26" x14ac:dyDescent="0.25">
      <c r="A432" t="s">
        <v>64</v>
      </c>
      <c r="B432" t="s">
        <v>65</v>
      </c>
      <c r="C432" t="s">
        <v>66</v>
      </c>
      <c r="D432">
        <v>626.45000000000005</v>
      </c>
      <c r="E432" t="s">
        <v>327</v>
      </c>
      <c r="F432" t="s">
        <v>327</v>
      </c>
      <c r="G432">
        <v>5.79</v>
      </c>
      <c r="H432" t="s">
        <v>327</v>
      </c>
      <c r="I432">
        <v>28.1</v>
      </c>
      <c r="J432">
        <v>33.1</v>
      </c>
      <c r="K432">
        <v>32.020000000000003</v>
      </c>
      <c r="L432">
        <v>5.54</v>
      </c>
      <c r="M432" t="s">
        <v>327</v>
      </c>
      <c r="N432" t="s">
        <v>327</v>
      </c>
      <c r="O432">
        <v>1.9</v>
      </c>
      <c r="P432">
        <v>0.75</v>
      </c>
      <c r="Q432" t="s">
        <v>327</v>
      </c>
      <c r="R432">
        <v>1.82</v>
      </c>
      <c r="S432" t="s">
        <v>327</v>
      </c>
      <c r="T432">
        <v>8.98</v>
      </c>
      <c r="U432">
        <v>19.760000000000002</v>
      </c>
      <c r="V432">
        <v>106.93</v>
      </c>
      <c r="W432" t="s">
        <v>327</v>
      </c>
      <c r="X432">
        <v>5.58</v>
      </c>
      <c r="Y432">
        <v>225.4</v>
      </c>
      <c r="Z432">
        <v>11.64</v>
      </c>
    </row>
    <row r="433" spans="1:26" x14ac:dyDescent="0.25">
      <c r="A433" t="s">
        <v>67</v>
      </c>
      <c r="B433" t="s">
        <v>68</v>
      </c>
      <c r="C433" t="s">
        <v>69</v>
      </c>
      <c r="D433">
        <v>604</v>
      </c>
      <c r="E433" t="s">
        <v>327</v>
      </c>
      <c r="F433">
        <v>10.73</v>
      </c>
      <c r="G433">
        <v>11.49</v>
      </c>
      <c r="H433" t="s">
        <v>327</v>
      </c>
      <c r="I433">
        <v>69.62</v>
      </c>
      <c r="J433">
        <v>45.65</v>
      </c>
      <c r="K433">
        <v>59.52</v>
      </c>
      <c r="L433">
        <v>6.85</v>
      </c>
      <c r="M433" t="s">
        <v>327</v>
      </c>
      <c r="N433">
        <v>5.43</v>
      </c>
      <c r="O433">
        <v>2.81</v>
      </c>
      <c r="P433">
        <v>0.82</v>
      </c>
      <c r="Q433">
        <v>2.39</v>
      </c>
      <c r="R433">
        <v>2.63</v>
      </c>
      <c r="S433">
        <v>13.1</v>
      </c>
      <c r="T433">
        <v>13.53</v>
      </c>
      <c r="U433">
        <v>24.92</v>
      </c>
      <c r="V433">
        <v>154.01</v>
      </c>
      <c r="W433">
        <v>44.11</v>
      </c>
      <c r="X433">
        <v>8.58</v>
      </c>
      <c r="Y433">
        <v>268.51</v>
      </c>
      <c r="Z433">
        <v>18.399999999999999</v>
      </c>
    </row>
    <row r="434" spans="1:26" x14ac:dyDescent="0.25">
      <c r="A434" t="s">
        <v>70</v>
      </c>
      <c r="B434" t="s">
        <v>71</v>
      </c>
      <c r="C434" t="s">
        <v>72</v>
      </c>
      <c r="D434">
        <v>469.9</v>
      </c>
      <c r="E434" t="s">
        <v>327</v>
      </c>
      <c r="F434">
        <v>8.7200000000000006</v>
      </c>
      <c r="G434">
        <v>9.1999999999999993</v>
      </c>
      <c r="H434" t="s">
        <v>327</v>
      </c>
      <c r="I434">
        <v>20.34</v>
      </c>
      <c r="J434">
        <v>47.53</v>
      </c>
      <c r="K434">
        <v>36.15</v>
      </c>
      <c r="L434">
        <v>6.33</v>
      </c>
      <c r="M434" t="s">
        <v>327</v>
      </c>
      <c r="N434">
        <v>3.38</v>
      </c>
      <c r="O434">
        <v>2.15</v>
      </c>
      <c r="P434">
        <v>0.9</v>
      </c>
      <c r="Q434" t="s">
        <v>327</v>
      </c>
      <c r="R434">
        <v>1.94</v>
      </c>
      <c r="S434">
        <v>9.4499999999999993</v>
      </c>
      <c r="T434">
        <v>14.36</v>
      </c>
      <c r="U434">
        <v>71.650000000000006</v>
      </c>
      <c r="V434">
        <v>186.29</v>
      </c>
      <c r="W434">
        <v>34.56</v>
      </c>
      <c r="X434">
        <v>6.31</v>
      </c>
      <c r="Y434">
        <v>163.78</v>
      </c>
      <c r="Z434">
        <v>12.75</v>
      </c>
    </row>
    <row r="435" spans="1:26" x14ac:dyDescent="0.25">
      <c r="A435" t="s">
        <v>73</v>
      </c>
      <c r="B435" t="s">
        <v>74</v>
      </c>
      <c r="C435" t="s">
        <v>75</v>
      </c>
      <c r="D435">
        <v>996.74</v>
      </c>
      <c r="E435" t="s">
        <v>327</v>
      </c>
      <c r="F435">
        <v>14.22</v>
      </c>
      <c r="G435">
        <v>11.36</v>
      </c>
      <c r="H435" t="s">
        <v>327</v>
      </c>
      <c r="I435">
        <v>59.92</v>
      </c>
      <c r="J435">
        <v>46.9</v>
      </c>
      <c r="K435">
        <v>44.18</v>
      </c>
      <c r="L435">
        <v>6.33</v>
      </c>
      <c r="M435" t="s">
        <v>327</v>
      </c>
      <c r="N435">
        <v>6.75</v>
      </c>
      <c r="O435">
        <v>2.94</v>
      </c>
      <c r="P435">
        <v>1.06</v>
      </c>
      <c r="Q435">
        <v>2.39</v>
      </c>
      <c r="R435">
        <v>3.07</v>
      </c>
      <c r="S435">
        <v>14.02</v>
      </c>
      <c r="T435">
        <v>13.39</v>
      </c>
      <c r="U435">
        <v>23</v>
      </c>
      <c r="V435">
        <v>317.61</v>
      </c>
      <c r="W435">
        <v>92.95</v>
      </c>
      <c r="X435">
        <v>15.14</v>
      </c>
      <c r="Y435">
        <v>524.92999999999995</v>
      </c>
      <c r="Z435">
        <v>24.21</v>
      </c>
    </row>
    <row r="436" spans="1:26" x14ac:dyDescent="0.25">
      <c r="A436" t="s">
        <v>76</v>
      </c>
      <c r="B436" t="s">
        <v>77</v>
      </c>
      <c r="C436" t="s">
        <v>78</v>
      </c>
      <c r="D436">
        <v>547.9</v>
      </c>
      <c r="E436" t="s">
        <v>327</v>
      </c>
      <c r="F436" t="s">
        <v>327</v>
      </c>
      <c r="G436">
        <v>6.5</v>
      </c>
      <c r="H436" t="s">
        <v>327</v>
      </c>
      <c r="I436">
        <v>35.200000000000003</v>
      </c>
      <c r="J436">
        <v>38.130000000000003</v>
      </c>
      <c r="K436" t="s">
        <v>327</v>
      </c>
      <c r="L436">
        <v>4.97</v>
      </c>
      <c r="M436" t="s">
        <v>327</v>
      </c>
      <c r="N436" t="s">
        <v>327</v>
      </c>
      <c r="O436">
        <v>2.15</v>
      </c>
      <c r="P436" t="s">
        <v>327</v>
      </c>
      <c r="Q436" t="s">
        <v>327</v>
      </c>
      <c r="R436">
        <v>2.48</v>
      </c>
      <c r="S436">
        <v>8.32</v>
      </c>
      <c r="T436">
        <v>12.64</v>
      </c>
      <c r="U436">
        <v>28.91</v>
      </c>
      <c r="V436">
        <v>178.46</v>
      </c>
      <c r="W436" t="s">
        <v>327</v>
      </c>
      <c r="X436">
        <v>8.4499999999999993</v>
      </c>
      <c r="Y436">
        <v>338.16</v>
      </c>
      <c r="Z436">
        <v>14.98</v>
      </c>
    </row>
    <row r="437" spans="1:26" x14ac:dyDescent="0.25">
      <c r="A437" t="s">
        <v>79</v>
      </c>
      <c r="B437" t="s">
        <v>80</v>
      </c>
      <c r="C437" t="s">
        <v>81</v>
      </c>
      <c r="D437">
        <v>597.29999999999995</v>
      </c>
      <c r="E437" t="s">
        <v>327</v>
      </c>
      <c r="F437" t="s">
        <v>327</v>
      </c>
      <c r="G437">
        <v>6.02</v>
      </c>
      <c r="H437" t="s">
        <v>327</v>
      </c>
      <c r="I437">
        <v>49.14</v>
      </c>
      <c r="J437">
        <v>28.07</v>
      </c>
      <c r="K437">
        <v>32.020000000000003</v>
      </c>
      <c r="L437">
        <v>5.28</v>
      </c>
      <c r="M437" t="s">
        <v>327</v>
      </c>
      <c r="N437" t="s">
        <v>327</v>
      </c>
      <c r="O437">
        <v>2.94</v>
      </c>
      <c r="P437" t="s">
        <v>327</v>
      </c>
      <c r="Q437" t="s">
        <v>327</v>
      </c>
      <c r="R437">
        <v>1.17</v>
      </c>
      <c r="S437" t="s">
        <v>327</v>
      </c>
      <c r="T437">
        <v>10.91</v>
      </c>
      <c r="U437">
        <v>20.94</v>
      </c>
      <c r="V437">
        <v>234.92</v>
      </c>
      <c r="W437" t="s">
        <v>327</v>
      </c>
      <c r="X437">
        <v>11.87</v>
      </c>
      <c r="Y437">
        <v>448.31</v>
      </c>
      <c r="Z437">
        <v>14.98</v>
      </c>
    </row>
    <row r="438" spans="1:26" x14ac:dyDescent="0.25">
      <c r="A438" t="s">
        <v>82</v>
      </c>
      <c r="B438" t="s">
        <v>83</v>
      </c>
      <c r="C438" t="s">
        <v>84</v>
      </c>
      <c r="D438">
        <v>638.57000000000005</v>
      </c>
      <c r="E438" t="s">
        <v>327</v>
      </c>
      <c r="F438" t="s">
        <v>327</v>
      </c>
      <c r="G438">
        <v>11.23</v>
      </c>
      <c r="H438" t="s">
        <v>327</v>
      </c>
      <c r="I438">
        <v>34.700000000000003</v>
      </c>
      <c r="J438">
        <v>35.619999999999997</v>
      </c>
      <c r="K438">
        <v>48.1</v>
      </c>
      <c r="L438">
        <v>6.49</v>
      </c>
      <c r="M438" t="s">
        <v>327</v>
      </c>
      <c r="N438">
        <v>8.92</v>
      </c>
      <c r="O438">
        <v>2.94</v>
      </c>
      <c r="P438" t="s">
        <v>327</v>
      </c>
      <c r="Q438">
        <v>2</v>
      </c>
      <c r="R438">
        <v>1.59</v>
      </c>
      <c r="S438">
        <v>11.73</v>
      </c>
      <c r="T438">
        <v>15.11</v>
      </c>
      <c r="U438">
        <v>13.55</v>
      </c>
      <c r="V438">
        <v>147.21</v>
      </c>
      <c r="W438" t="s">
        <v>327</v>
      </c>
      <c r="X438">
        <v>6.43</v>
      </c>
      <c r="Y438">
        <v>315.42</v>
      </c>
      <c r="Z438">
        <v>14.98</v>
      </c>
    </row>
    <row r="439" spans="1:26" x14ac:dyDescent="0.25">
      <c r="A439" t="s">
        <v>85</v>
      </c>
      <c r="B439" t="s">
        <v>86</v>
      </c>
      <c r="C439" t="s">
        <v>87</v>
      </c>
      <c r="D439">
        <v>789.18</v>
      </c>
      <c r="E439" t="s">
        <v>327</v>
      </c>
      <c r="F439" t="s">
        <v>327</v>
      </c>
      <c r="G439">
        <v>10.72</v>
      </c>
      <c r="H439" t="s">
        <v>327</v>
      </c>
      <c r="I439">
        <v>17.18</v>
      </c>
      <c r="J439">
        <v>41.89</v>
      </c>
      <c r="K439">
        <v>40.21</v>
      </c>
      <c r="L439">
        <v>6.64</v>
      </c>
      <c r="M439" t="s">
        <v>327</v>
      </c>
      <c r="N439">
        <v>6.2</v>
      </c>
      <c r="O439">
        <v>2.15</v>
      </c>
      <c r="P439" t="s">
        <v>327</v>
      </c>
      <c r="Q439">
        <v>2.78</v>
      </c>
      <c r="R439">
        <v>1.77</v>
      </c>
      <c r="S439">
        <v>10.14</v>
      </c>
      <c r="T439">
        <v>12.84</v>
      </c>
      <c r="U439">
        <v>18.13</v>
      </c>
      <c r="V439">
        <v>210.47</v>
      </c>
      <c r="W439" t="s">
        <v>327</v>
      </c>
      <c r="X439">
        <v>7.72</v>
      </c>
      <c r="Y439">
        <v>239.27</v>
      </c>
      <c r="Z439">
        <v>14.98</v>
      </c>
    </row>
    <row r="440" spans="1:26" x14ac:dyDescent="0.25">
      <c r="A440" t="s">
        <v>88</v>
      </c>
      <c r="B440" t="s">
        <v>89</v>
      </c>
      <c r="C440" t="s">
        <v>90</v>
      </c>
      <c r="D440">
        <v>811.4</v>
      </c>
      <c r="E440" t="s">
        <v>327</v>
      </c>
      <c r="F440">
        <v>12.54</v>
      </c>
      <c r="G440">
        <v>18.920000000000002</v>
      </c>
      <c r="H440" t="s">
        <v>327</v>
      </c>
      <c r="I440">
        <v>42.21</v>
      </c>
      <c r="J440">
        <v>71.89</v>
      </c>
      <c r="K440">
        <v>70.55</v>
      </c>
      <c r="L440">
        <v>7.49</v>
      </c>
      <c r="M440" t="s">
        <v>327</v>
      </c>
      <c r="N440">
        <v>19.66</v>
      </c>
      <c r="O440">
        <v>2.68</v>
      </c>
      <c r="P440">
        <v>1.06</v>
      </c>
      <c r="Q440">
        <v>4.72</v>
      </c>
      <c r="R440">
        <v>5.16</v>
      </c>
      <c r="S440">
        <v>27.77</v>
      </c>
      <c r="T440">
        <v>19.02</v>
      </c>
      <c r="U440">
        <v>22.71</v>
      </c>
      <c r="V440">
        <v>213.41</v>
      </c>
      <c r="W440">
        <v>62.76</v>
      </c>
      <c r="X440">
        <v>9.7799999999999994</v>
      </c>
      <c r="Y440">
        <v>296.45</v>
      </c>
      <c r="Z440">
        <v>28.95</v>
      </c>
    </row>
    <row r="441" spans="1:26" x14ac:dyDescent="0.25">
      <c r="A441" t="s">
        <v>91</v>
      </c>
      <c r="B441" t="s">
        <v>92</v>
      </c>
      <c r="C441" t="s">
        <v>93</v>
      </c>
      <c r="D441">
        <v>777.72</v>
      </c>
      <c r="E441" t="s">
        <v>327</v>
      </c>
      <c r="F441">
        <v>10.73</v>
      </c>
      <c r="G441">
        <v>15.15</v>
      </c>
      <c r="H441">
        <v>6.6</v>
      </c>
      <c r="I441">
        <v>27.08</v>
      </c>
      <c r="J441">
        <v>50.03</v>
      </c>
      <c r="K441">
        <v>91.74</v>
      </c>
      <c r="L441">
        <v>8.7799999999999994</v>
      </c>
      <c r="M441" t="s">
        <v>327</v>
      </c>
      <c r="N441">
        <v>12.08</v>
      </c>
      <c r="O441">
        <v>3.75</v>
      </c>
      <c r="P441">
        <v>0.98</v>
      </c>
      <c r="Q441">
        <v>5.0999999999999996</v>
      </c>
      <c r="R441">
        <v>3.53</v>
      </c>
      <c r="S441">
        <v>19.28</v>
      </c>
      <c r="T441">
        <v>13.12</v>
      </c>
      <c r="U441">
        <v>27.29</v>
      </c>
      <c r="V441">
        <v>150.62</v>
      </c>
      <c r="W441">
        <v>76.06</v>
      </c>
      <c r="X441">
        <v>8.9700000000000006</v>
      </c>
      <c r="Y441">
        <v>243.04</v>
      </c>
      <c r="Z441">
        <v>26.57</v>
      </c>
    </row>
    <row r="442" spans="1:26" x14ac:dyDescent="0.25">
      <c r="A442" t="s">
        <v>94</v>
      </c>
      <c r="B442" t="s">
        <v>95</v>
      </c>
      <c r="C442" t="s">
        <v>96</v>
      </c>
      <c r="D442">
        <v>431.38</v>
      </c>
      <c r="E442" t="s">
        <v>327</v>
      </c>
      <c r="F442" t="s">
        <v>327</v>
      </c>
      <c r="G442">
        <v>5.08</v>
      </c>
      <c r="H442" t="s">
        <v>327</v>
      </c>
      <c r="I442">
        <v>23.99</v>
      </c>
      <c r="J442">
        <v>28.07</v>
      </c>
      <c r="K442">
        <v>32.020000000000003</v>
      </c>
      <c r="L442">
        <v>5.91</v>
      </c>
      <c r="M442" t="s">
        <v>327</v>
      </c>
      <c r="N442" t="s">
        <v>327</v>
      </c>
      <c r="O442">
        <v>2.15</v>
      </c>
      <c r="P442" t="s">
        <v>327</v>
      </c>
      <c r="Q442" t="s">
        <v>327</v>
      </c>
      <c r="R442">
        <v>1.59</v>
      </c>
      <c r="S442" t="s">
        <v>327</v>
      </c>
      <c r="T442">
        <v>11.88</v>
      </c>
      <c r="U442">
        <v>8.52</v>
      </c>
      <c r="V442">
        <v>155.69</v>
      </c>
      <c r="W442" t="s">
        <v>327</v>
      </c>
      <c r="X442">
        <v>5.0199999999999996</v>
      </c>
      <c r="Y442">
        <v>175.78</v>
      </c>
      <c r="Z442">
        <v>11.64</v>
      </c>
    </row>
    <row r="443" spans="1:26" x14ac:dyDescent="0.25">
      <c r="A443" t="s">
        <v>97</v>
      </c>
      <c r="B443" t="s">
        <v>98</v>
      </c>
      <c r="C443" t="s">
        <v>99</v>
      </c>
      <c r="D443">
        <v>424.14</v>
      </c>
      <c r="E443" t="s">
        <v>327</v>
      </c>
      <c r="F443" t="s">
        <v>327</v>
      </c>
      <c r="G443">
        <v>4.16</v>
      </c>
      <c r="H443" t="s">
        <v>327</v>
      </c>
      <c r="I443">
        <v>29.12</v>
      </c>
      <c r="J443">
        <v>21.76</v>
      </c>
      <c r="K443" t="s">
        <v>327</v>
      </c>
      <c r="L443">
        <v>5.18</v>
      </c>
      <c r="M443" t="s">
        <v>327</v>
      </c>
      <c r="N443" t="s">
        <v>327</v>
      </c>
      <c r="O443">
        <v>1.9</v>
      </c>
      <c r="P443">
        <v>0.9</v>
      </c>
      <c r="Q443" t="s">
        <v>327</v>
      </c>
      <c r="R443">
        <v>0.82</v>
      </c>
      <c r="S443" t="s">
        <v>327</v>
      </c>
      <c r="T443">
        <v>11.19</v>
      </c>
      <c r="U443">
        <v>15.77</v>
      </c>
      <c r="V443">
        <v>90.62</v>
      </c>
      <c r="W443" t="s">
        <v>327</v>
      </c>
      <c r="X443">
        <v>7.59</v>
      </c>
      <c r="Y443">
        <v>271.81</v>
      </c>
      <c r="Z443">
        <v>9.4600000000000009</v>
      </c>
    </row>
    <row r="444" spans="1:26" x14ac:dyDescent="0.25">
      <c r="A444" t="s">
        <v>100</v>
      </c>
      <c r="B444" t="s">
        <v>101</v>
      </c>
      <c r="C444" t="s">
        <v>102</v>
      </c>
      <c r="D444">
        <v>364.59</v>
      </c>
      <c r="E444" t="s">
        <v>327</v>
      </c>
      <c r="F444">
        <v>9.75</v>
      </c>
      <c r="G444">
        <v>4.3899999999999997</v>
      </c>
      <c r="H444" t="s">
        <v>327</v>
      </c>
      <c r="I444">
        <v>17.71</v>
      </c>
      <c r="J444">
        <v>30.59</v>
      </c>
      <c r="K444" t="s">
        <v>327</v>
      </c>
      <c r="L444">
        <v>6.33</v>
      </c>
      <c r="M444" t="s">
        <v>327</v>
      </c>
      <c r="N444" t="s">
        <v>327</v>
      </c>
      <c r="O444">
        <v>2.41</v>
      </c>
      <c r="P444" t="s">
        <v>327</v>
      </c>
      <c r="Q444" t="s">
        <v>327</v>
      </c>
      <c r="R444">
        <v>1.41</v>
      </c>
      <c r="S444" t="s">
        <v>327</v>
      </c>
      <c r="T444">
        <v>11.47</v>
      </c>
      <c r="U444">
        <v>14.44</v>
      </c>
      <c r="V444">
        <v>100.95</v>
      </c>
      <c r="W444" t="s">
        <v>327</v>
      </c>
      <c r="X444">
        <v>7.29</v>
      </c>
      <c r="Y444">
        <v>191.09</v>
      </c>
      <c r="Z444">
        <v>12.75</v>
      </c>
    </row>
    <row r="445" spans="1:26" x14ac:dyDescent="0.25">
      <c r="A445" t="s">
        <v>103</v>
      </c>
      <c r="B445" t="s">
        <v>104</v>
      </c>
      <c r="C445" t="s">
        <v>105</v>
      </c>
      <c r="D445">
        <v>254.15</v>
      </c>
      <c r="E445" t="s">
        <v>327</v>
      </c>
      <c r="F445" t="s">
        <v>327</v>
      </c>
      <c r="G445">
        <v>3.71</v>
      </c>
      <c r="H445" t="s">
        <v>327</v>
      </c>
      <c r="I445">
        <v>35.71</v>
      </c>
      <c r="J445">
        <v>33.729999999999997</v>
      </c>
      <c r="K445" t="s">
        <v>327</v>
      </c>
      <c r="L445">
        <v>5.6</v>
      </c>
      <c r="M445" t="s">
        <v>327</v>
      </c>
      <c r="N445" t="s">
        <v>327</v>
      </c>
      <c r="O445">
        <v>1.9</v>
      </c>
      <c r="P445" t="s">
        <v>327</v>
      </c>
      <c r="Q445" t="s">
        <v>327</v>
      </c>
      <c r="R445">
        <v>1.84</v>
      </c>
      <c r="S445" t="s">
        <v>327</v>
      </c>
      <c r="T445">
        <v>9.1199999999999992</v>
      </c>
      <c r="U445">
        <v>16.8</v>
      </c>
      <c r="V445">
        <v>143.76</v>
      </c>
      <c r="W445" t="s">
        <v>327</v>
      </c>
      <c r="X445">
        <v>4.7699999999999996</v>
      </c>
      <c r="Y445">
        <v>145.04</v>
      </c>
      <c r="Z445">
        <v>10.54</v>
      </c>
    </row>
    <row r="446" spans="1:26" x14ac:dyDescent="0.25">
      <c r="A446" t="s">
        <v>106</v>
      </c>
      <c r="B446" t="s">
        <v>107</v>
      </c>
      <c r="C446" t="s">
        <v>108</v>
      </c>
      <c r="D446">
        <v>577.42999999999995</v>
      </c>
      <c r="E446" t="s">
        <v>327</v>
      </c>
      <c r="F446">
        <v>15.8</v>
      </c>
      <c r="G446">
        <v>7.72</v>
      </c>
      <c r="H446" t="s">
        <v>327</v>
      </c>
      <c r="I446">
        <v>22.95</v>
      </c>
      <c r="J446">
        <v>35.619999999999997</v>
      </c>
      <c r="K446">
        <v>36.15</v>
      </c>
      <c r="L446">
        <v>6.33</v>
      </c>
      <c r="M446" t="s">
        <v>327</v>
      </c>
      <c r="N446" t="s">
        <v>327</v>
      </c>
      <c r="O446">
        <v>1.9</v>
      </c>
      <c r="P446">
        <v>1.06</v>
      </c>
      <c r="Q446">
        <v>2.59</v>
      </c>
      <c r="R446">
        <v>4.2</v>
      </c>
      <c r="S446">
        <v>9</v>
      </c>
      <c r="T446">
        <v>9.81</v>
      </c>
      <c r="U446">
        <v>19.309999999999999</v>
      </c>
      <c r="V446">
        <v>222.12</v>
      </c>
      <c r="W446" t="s">
        <v>327</v>
      </c>
      <c r="X446">
        <v>4.5999999999999996</v>
      </c>
      <c r="Y446">
        <v>366.49</v>
      </c>
      <c r="Z446">
        <v>16.11</v>
      </c>
    </row>
    <row r="447" spans="1:26" x14ac:dyDescent="0.25">
      <c r="A447" t="s">
        <v>109</v>
      </c>
      <c r="B447" t="s">
        <v>110</v>
      </c>
      <c r="C447" t="s">
        <v>111</v>
      </c>
      <c r="D447">
        <v>146.88</v>
      </c>
      <c r="E447" t="s">
        <v>327</v>
      </c>
      <c r="F447" t="s">
        <v>327</v>
      </c>
      <c r="G447" t="s">
        <v>327</v>
      </c>
      <c r="H447" t="s">
        <v>327</v>
      </c>
      <c r="I447">
        <v>20.34</v>
      </c>
      <c r="J447" t="s">
        <v>327</v>
      </c>
      <c r="K447" t="s">
        <v>327</v>
      </c>
      <c r="L447" t="s">
        <v>327</v>
      </c>
      <c r="M447" t="s">
        <v>327</v>
      </c>
      <c r="N447" t="s">
        <v>327</v>
      </c>
      <c r="O447">
        <v>1.39</v>
      </c>
      <c r="P447" t="s">
        <v>327</v>
      </c>
      <c r="Q447" t="s">
        <v>327</v>
      </c>
      <c r="R447">
        <v>6.79</v>
      </c>
      <c r="S447" t="s">
        <v>327</v>
      </c>
      <c r="T447">
        <v>2.59</v>
      </c>
      <c r="U447">
        <v>19.16</v>
      </c>
      <c r="V447">
        <v>420.82</v>
      </c>
      <c r="W447" t="s">
        <v>327</v>
      </c>
      <c r="X447">
        <v>2.5099999999999998</v>
      </c>
      <c r="Y447">
        <v>88.28</v>
      </c>
      <c r="Z447" t="s">
        <v>327</v>
      </c>
    </row>
    <row r="448" spans="1:26" x14ac:dyDescent="0.25">
      <c r="A448" t="s">
        <v>112</v>
      </c>
      <c r="B448" t="s">
        <v>113</v>
      </c>
      <c r="C448" t="s">
        <v>114</v>
      </c>
      <c r="D448">
        <v>868.7</v>
      </c>
      <c r="E448" t="s">
        <v>327</v>
      </c>
      <c r="F448">
        <v>12.54</v>
      </c>
      <c r="G448">
        <v>14.62</v>
      </c>
      <c r="H448">
        <v>14.47</v>
      </c>
      <c r="I448">
        <v>268.70999999999998</v>
      </c>
      <c r="J448">
        <v>66.28</v>
      </c>
      <c r="K448">
        <v>51.96</v>
      </c>
      <c r="L448">
        <v>7.92</v>
      </c>
      <c r="M448" t="s">
        <v>327</v>
      </c>
      <c r="N448">
        <v>3.73</v>
      </c>
      <c r="O448">
        <v>2.68</v>
      </c>
      <c r="P448">
        <v>1.94</v>
      </c>
      <c r="Q448">
        <v>7.39</v>
      </c>
      <c r="R448">
        <v>16.309999999999999</v>
      </c>
      <c r="S448">
        <v>12.65</v>
      </c>
      <c r="T448">
        <v>15.87</v>
      </c>
      <c r="U448">
        <v>118.45</v>
      </c>
      <c r="V448">
        <v>2062.56</v>
      </c>
      <c r="W448">
        <v>367.66</v>
      </c>
      <c r="X448">
        <v>103.32</v>
      </c>
      <c r="Y448">
        <v>1291.31</v>
      </c>
      <c r="Z448">
        <v>27.76</v>
      </c>
    </row>
    <row r="449" spans="1:26" x14ac:dyDescent="0.25">
      <c r="A449" t="s">
        <v>115</v>
      </c>
      <c r="B449" t="s">
        <v>116</v>
      </c>
      <c r="C449" t="s">
        <v>117</v>
      </c>
      <c r="D449">
        <v>760.08</v>
      </c>
      <c r="E449" t="s">
        <v>327</v>
      </c>
      <c r="F449">
        <v>14.22</v>
      </c>
      <c r="G449">
        <v>10.97</v>
      </c>
      <c r="H449">
        <v>6.6</v>
      </c>
      <c r="I449">
        <v>88.84</v>
      </c>
      <c r="J449">
        <v>60.66</v>
      </c>
      <c r="K449">
        <v>48.1</v>
      </c>
      <c r="L449">
        <v>9.32</v>
      </c>
      <c r="M449" t="s">
        <v>327</v>
      </c>
      <c r="N449">
        <v>4.9800000000000004</v>
      </c>
      <c r="O449">
        <v>3.75</v>
      </c>
      <c r="P449">
        <v>1.37</v>
      </c>
      <c r="Q449">
        <v>3.17</v>
      </c>
      <c r="R449">
        <v>9.25</v>
      </c>
      <c r="S449">
        <v>13.56</v>
      </c>
      <c r="T449">
        <v>15.73</v>
      </c>
      <c r="U449">
        <v>46.6</v>
      </c>
      <c r="V449">
        <v>772.96</v>
      </c>
      <c r="W449">
        <v>153.63</v>
      </c>
      <c r="X449">
        <v>25.74</v>
      </c>
      <c r="Y449">
        <v>880.88</v>
      </c>
      <c r="Z449">
        <v>31.35</v>
      </c>
    </row>
    <row r="450" spans="1:26" x14ac:dyDescent="0.25">
      <c r="A450" t="s">
        <v>118</v>
      </c>
      <c r="B450" t="s">
        <v>119</v>
      </c>
      <c r="C450" t="s">
        <v>120</v>
      </c>
      <c r="D450">
        <v>1195.83</v>
      </c>
      <c r="E450" t="s">
        <v>327</v>
      </c>
      <c r="F450">
        <v>15.8</v>
      </c>
      <c r="G450">
        <v>17.559999999999999</v>
      </c>
      <c r="H450">
        <v>10.14</v>
      </c>
      <c r="I450">
        <v>63.81</v>
      </c>
      <c r="J450">
        <v>80</v>
      </c>
      <c r="K450">
        <v>68.73</v>
      </c>
      <c r="L450">
        <v>7.17</v>
      </c>
      <c r="M450" t="s">
        <v>327</v>
      </c>
      <c r="N450">
        <v>14.36</v>
      </c>
      <c r="O450">
        <v>3.48</v>
      </c>
      <c r="P450">
        <v>1.37</v>
      </c>
      <c r="Q450">
        <v>3.95</v>
      </c>
      <c r="R450">
        <v>10.45</v>
      </c>
      <c r="S450">
        <v>27.08</v>
      </c>
      <c r="T450">
        <v>18.61</v>
      </c>
      <c r="U450">
        <v>81.95</v>
      </c>
      <c r="V450">
        <v>316.37</v>
      </c>
      <c r="W450">
        <v>117.34</v>
      </c>
      <c r="X450">
        <v>8.7899999999999991</v>
      </c>
      <c r="Y450">
        <v>1038.1500000000001</v>
      </c>
      <c r="Z450">
        <v>38.65</v>
      </c>
    </row>
    <row r="451" spans="1:26" x14ac:dyDescent="0.25">
      <c r="A451" t="s">
        <v>121</v>
      </c>
      <c r="B451" t="s">
        <v>122</v>
      </c>
      <c r="C451" t="s">
        <v>123</v>
      </c>
      <c r="D451">
        <v>647.44000000000005</v>
      </c>
      <c r="E451" t="s">
        <v>327</v>
      </c>
      <c r="F451">
        <v>10.73</v>
      </c>
      <c r="G451">
        <v>10.97</v>
      </c>
      <c r="H451" t="s">
        <v>327</v>
      </c>
      <c r="I451">
        <v>76.37</v>
      </c>
      <c r="J451">
        <v>44.4</v>
      </c>
      <c r="K451">
        <v>55.76</v>
      </c>
      <c r="L451">
        <v>9.32</v>
      </c>
      <c r="M451" t="s">
        <v>327</v>
      </c>
      <c r="N451">
        <v>2.44</v>
      </c>
      <c r="O451">
        <v>3.07</v>
      </c>
      <c r="P451">
        <v>0.98</v>
      </c>
      <c r="Q451" t="s">
        <v>327</v>
      </c>
      <c r="R451">
        <v>4.2</v>
      </c>
      <c r="S451">
        <v>12.19</v>
      </c>
      <c r="T451">
        <v>14.08</v>
      </c>
      <c r="U451">
        <v>29.35</v>
      </c>
      <c r="V451">
        <v>213.41</v>
      </c>
      <c r="W451">
        <v>73.680000000000007</v>
      </c>
      <c r="X451">
        <v>11.72</v>
      </c>
      <c r="Y451">
        <v>627.76</v>
      </c>
      <c r="Z451">
        <v>23.04</v>
      </c>
    </row>
    <row r="452" spans="1:26" x14ac:dyDescent="0.25">
      <c r="A452" t="s">
        <v>124</v>
      </c>
      <c r="B452" t="s">
        <v>125</v>
      </c>
      <c r="C452" t="s">
        <v>126</v>
      </c>
      <c r="D452">
        <v>548.85</v>
      </c>
      <c r="E452" t="s">
        <v>327</v>
      </c>
      <c r="F452" t="s">
        <v>327</v>
      </c>
      <c r="G452">
        <v>7.35</v>
      </c>
      <c r="H452" t="s">
        <v>327</v>
      </c>
      <c r="I452">
        <v>40.22</v>
      </c>
      <c r="J452">
        <v>43.14</v>
      </c>
      <c r="K452" t="s">
        <v>327</v>
      </c>
      <c r="L452">
        <v>6.01</v>
      </c>
      <c r="M452" t="s">
        <v>327</v>
      </c>
      <c r="N452" t="s">
        <v>327</v>
      </c>
      <c r="O452">
        <v>2.15</v>
      </c>
      <c r="P452" t="s">
        <v>327</v>
      </c>
      <c r="Q452">
        <v>1.61</v>
      </c>
      <c r="R452">
        <v>3.78</v>
      </c>
      <c r="S452" t="s">
        <v>327</v>
      </c>
      <c r="T452">
        <v>11.19</v>
      </c>
      <c r="U452">
        <v>24.19</v>
      </c>
      <c r="V452">
        <v>204.54</v>
      </c>
      <c r="W452">
        <v>54.43</v>
      </c>
      <c r="X452">
        <v>6.78</v>
      </c>
      <c r="Y452">
        <v>254.97</v>
      </c>
      <c r="Z452">
        <v>13.86</v>
      </c>
    </row>
    <row r="453" spans="1:26" x14ac:dyDescent="0.25">
      <c r="A453" t="s">
        <v>127</v>
      </c>
      <c r="B453" t="s">
        <v>128</v>
      </c>
      <c r="C453" t="s">
        <v>129</v>
      </c>
      <c r="D453">
        <v>350.51</v>
      </c>
      <c r="E453" t="s">
        <v>327</v>
      </c>
      <c r="F453">
        <v>8.7200000000000006</v>
      </c>
      <c r="G453">
        <v>8.6999999999999993</v>
      </c>
      <c r="H453" t="s">
        <v>327</v>
      </c>
      <c r="I453">
        <v>73.48</v>
      </c>
      <c r="J453">
        <v>41.89</v>
      </c>
      <c r="K453" t="s">
        <v>327</v>
      </c>
      <c r="L453">
        <v>7.81</v>
      </c>
      <c r="M453" t="s">
        <v>327</v>
      </c>
      <c r="N453" t="s">
        <v>327</v>
      </c>
      <c r="O453">
        <v>2.41</v>
      </c>
      <c r="P453" t="s">
        <v>327</v>
      </c>
      <c r="Q453">
        <v>2.39</v>
      </c>
      <c r="R453">
        <v>4.3600000000000003</v>
      </c>
      <c r="S453">
        <v>8.32</v>
      </c>
      <c r="T453">
        <v>12.15</v>
      </c>
      <c r="U453">
        <v>48.08</v>
      </c>
      <c r="V453">
        <v>562.54999999999995</v>
      </c>
      <c r="W453">
        <v>68.77</v>
      </c>
      <c r="X453">
        <v>17.66</v>
      </c>
      <c r="Y453">
        <v>464.12</v>
      </c>
      <c r="Z453">
        <v>14.98</v>
      </c>
    </row>
    <row r="454" spans="1:26" x14ac:dyDescent="0.25">
      <c r="A454" t="s">
        <v>130</v>
      </c>
      <c r="B454" t="s">
        <v>131</v>
      </c>
      <c r="C454" t="s">
        <v>132</v>
      </c>
      <c r="D454">
        <v>888.77</v>
      </c>
      <c r="E454" t="s">
        <v>327</v>
      </c>
      <c r="F454">
        <v>12.54</v>
      </c>
      <c r="G454">
        <v>16.75</v>
      </c>
      <c r="H454" t="s">
        <v>327</v>
      </c>
      <c r="I454">
        <v>109.75</v>
      </c>
      <c r="J454">
        <v>66.900000000000006</v>
      </c>
      <c r="K454">
        <v>63.23</v>
      </c>
      <c r="L454">
        <v>9.1</v>
      </c>
      <c r="M454" t="s">
        <v>327</v>
      </c>
      <c r="N454">
        <v>8.27</v>
      </c>
      <c r="O454">
        <v>2.94</v>
      </c>
      <c r="P454">
        <v>1.37</v>
      </c>
      <c r="Q454">
        <v>3.75</v>
      </c>
      <c r="R454">
        <v>13.03</v>
      </c>
      <c r="S454">
        <v>19.28</v>
      </c>
      <c r="T454">
        <v>14.49</v>
      </c>
      <c r="U454">
        <v>65.459999999999994</v>
      </c>
      <c r="V454">
        <v>557.69000000000005</v>
      </c>
      <c r="W454">
        <v>185.37</v>
      </c>
      <c r="X454">
        <v>29.39</v>
      </c>
      <c r="Y454">
        <v>560.69000000000005</v>
      </c>
      <c r="Z454">
        <v>26.57</v>
      </c>
    </row>
    <row r="455" spans="1:26" x14ac:dyDescent="0.25">
      <c r="A455" t="s">
        <v>133</v>
      </c>
      <c r="B455" t="s">
        <v>134</v>
      </c>
      <c r="C455" t="s">
        <v>135</v>
      </c>
      <c r="D455">
        <v>1589.06</v>
      </c>
      <c r="E455" t="s">
        <v>327</v>
      </c>
      <c r="F455">
        <v>20.079999999999998</v>
      </c>
      <c r="G455">
        <v>22.92</v>
      </c>
      <c r="H455">
        <v>14.04</v>
      </c>
      <c r="I455">
        <v>82.14</v>
      </c>
      <c r="J455">
        <v>85.61</v>
      </c>
      <c r="K455">
        <v>120.34</v>
      </c>
      <c r="L455">
        <v>12.05</v>
      </c>
      <c r="M455" t="s">
        <v>327</v>
      </c>
      <c r="N455">
        <v>20.86</v>
      </c>
      <c r="O455">
        <v>6.57</v>
      </c>
      <c r="P455">
        <v>0.9</v>
      </c>
      <c r="Q455">
        <v>7.96</v>
      </c>
      <c r="R455">
        <v>10.27</v>
      </c>
      <c r="S455">
        <v>34.68</v>
      </c>
      <c r="T455">
        <v>23.82</v>
      </c>
      <c r="U455">
        <v>63.69</v>
      </c>
      <c r="V455">
        <v>378.24</v>
      </c>
      <c r="W455">
        <v>149</v>
      </c>
      <c r="X455">
        <v>16.309999999999999</v>
      </c>
      <c r="Y455">
        <v>1574.17</v>
      </c>
      <c r="Z455">
        <v>59.95</v>
      </c>
    </row>
    <row r="456" spans="1:26" x14ac:dyDescent="0.25">
      <c r="A456" t="s">
        <v>136</v>
      </c>
      <c r="B456" t="s">
        <v>137</v>
      </c>
      <c r="C456" t="s">
        <v>138</v>
      </c>
      <c r="D456">
        <v>1576.14</v>
      </c>
      <c r="E456">
        <v>69.180000000000007</v>
      </c>
      <c r="F456">
        <v>20.74</v>
      </c>
      <c r="G456">
        <v>19.059999999999999</v>
      </c>
      <c r="H456">
        <v>12.75</v>
      </c>
      <c r="I456">
        <v>295.72000000000003</v>
      </c>
      <c r="J456">
        <v>85.61</v>
      </c>
      <c r="K456">
        <v>55.76</v>
      </c>
      <c r="L456">
        <v>7.49</v>
      </c>
      <c r="M456">
        <v>3.36</v>
      </c>
      <c r="N456">
        <v>12.81</v>
      </c>
      <c r="O456">
        <v>3.48</v>
      </c>
      <c r="P456">
        <v>1.61</v>
      </c>
      <c r="Q456">
        <v>5.49</v>
      </c>
      <c r="R456">
        <v>39.14</v>
      </c>
      <c r="S456">
        <v>23.64</v>
      </c>
      <c r="T456">
        <v>19.98</v>
      </c>
      <c r="U456">
        <v>514.94000000000005</v>
      </c>
      <c r="V456">
        <v>2302.58</v>
      </c>
      <c r="W456">
        <v>335.74</v>
      </c>
      <c r="X456">
        <v>74.040000000000006</v>
      </c>
      <c r="Y456">
        <v>1293.44</v>
      </c>
      <c r="Z456">
        <v>44.82</v>
      </c>
    </row>
    <row r="457" spans="1:26" x14ac:dyDescent="0.25">
      <c r="A457" t="s">
        <v>139</v>
      </c>
      <c r="B457" t="s">
        <v>140</v>
      </c>
      <c r="C457" t="s">
        <v>141</v>
      </c>
      <c r="D457">
        <v>1029.6300000000001</v>
      </c>
      <c r="E457" t="s">
        <v>327</v>
      </c>
      <c r="F457">
        <v>11.65</v>
      </c>
      <c r="G457">
        <v>15.41</v>
      </c>
      <c r="H457" t="s">
        <v>327</v>
      </c>
      <c r="I457">
        <v>39.22</v>
      </c>
      <c r="J457">
        <v>56.91</v>
      </c>
      <c r="K457">
        <v>81.27</v>
      </c>
      <c r="L457">
        <v>7.92</v>
      </c>
      <c r="M457" t="s">
        <v>327</v>
      </c>
      <c r="N457">
        <v>11.98</v>
      </c>
      <c r="O457">
        <v>2.68</v>
      </c>
      <c r="P457">
        <v>1.3</v>
      </c>
      <c r="Q457">
        <v>6.25</v>
      </c>
      <c r="R457">
        <v>5.32</v>
      </c>
      <c r="S457">
        <v>19.97</v>
      </c>
      <c r="T457">
        <v>15.66</v>
      </c>
      <c r="U457">
        <v>26.84</v>
      </c>
      <c r="V457">
        <v>381.67</v>
      </c>
      <c r="W457">
        <v>58.23</v>
      </c>
      <c r="X457">
        <v>7.05</v>
      </c>
      <c r="Y457">
        <v>276.68</v>
      </c>
      <c r="Z457">
        <v>27.76</v>
      </c>
    </row>
    <row r="458" spans="1:26" x14ac:dyDescent="0.25">
      <c r="A458" t="s">
        <v>142</v>
      </c>
      <c r="B458" t="s">
        <v>143</v>
      </c>
      <c r="C458" t="s">
        <v>144</v>
      </c>
      <c r="D458">
        <v>1186.02</v>
      </c>
      <c r="E458" t="s">
        <v>327</v>
      </c>
      <c r="F458">
        <v>12.54</v>
      </c>
      <c r="G458">
        <v>14.35</v>
      </c>
      <c r="H458">
        <v>6.6</v>
      </c>
      <c r="I458">
        <v>72.52</v>
      </c>
      <c r="J458">
        <v>56.91</v>
      </c>
      <c r="K458">
        <v>44.18</v>
      </c>
      <c r="L458">
        <v>9.2100000000000009</v>
      </c>
      <c r="M458" t="s">
        <v>327</v>
      </c>
      <c r="N458">
        <v>6.09</v>
      </c>
      <c r="O458">
        <v>3.75</v>
      </c>
      <c r="P458">
        <v>1.3</v>
      </c>
      <c r="Q458">
        <v>3.17</v>
      </c>
      <c r="R458">
        <v>6.45</v>
      </c>
      <c r="S458">
        <v>15.39</v>
      </c>
      <c r="T458">
        <v>15.32</v>
      </c>
      <c r="U458">
        <v>130.51</v>
      </c>
      <c r="V458">
        <v>778.05</v>
      </c>
      <c r="W458">
        <v>180.31</v>
      </c>
      <c r="X458">
        <v>33.28</v>
      </c>
      <c r="Y458">
        <v>837.21</v>
      </c>
      <c r="Z458">
        <v>25.39</v>
      </c>
    </row>
    <row r="459" spans="1:26" x14ac:dyDescent="0.25">
      <c r="A459" t="s">
        <v>145</v>
      </c>
      <c r="B459" t="s">
        <v>146</v>
      </c>
      <c r="C459" t="s">
        <v>147</v>
      </c>
      <c r="D459">
        <v>799.98</v>
      </c>
      <c r="E459" t="s">
        <v>327</v>
      </c>
      <c r="F459">
        <v>9.75</v>
      </c>
      <c r="G459">
        <v>18.38</v>
      </c>
      <c r="H459" t="s">
        <v>327</v>
      </c>
      <c r="I459">
        <v>56.01</v>
      </c>
      <c r="J459">
        <v>56.91</v>
      </c>
      <c r="K459">
        <v>70.55</v>
      </c>
      <c r="L459">
        <v>9.86</v>
      </c>
      <c r="M459" t="s">
        <v>327</v>
      </c>
      <c r="N459">
        <v>11.87</v>
      </c>
      <c r="O459">
        <v>3.48</v>
      </c>
      <c r="P459">
        <v>0.9</v>
      </c>
      <c r="Q459">
        <v>4.33</v>
      </c>
      <c r="R459">
        <v>5.48</v>
      </c>
      <c r="S459">
        <v>18.36</v>
      </c>
      <c r="T459">
        <v>16.420000000000002</v>
      </c>
      <c r="U459">
        <v>23</v>
      </c>
      <c r="V459">
        <v>399.77</v>
      </c>
      <c r="W459">
        <v>92.95</v>
      </c>
      <c r="X459">
        <v>14.06</v>
      </c>
      <c r="Y459">
        <v>281.93</v>
      </c>
      <c r="Z459">
        <v>25.39</v>
      </c>
    </row>
    <row r="460" spans="1:26" x14ac:dyDescent="0.25">
      <c r="A460" t="s">
        <v>148</v>
      </c>
      <c r="B460" t="s">
        <v>149</v>
      </c>
      <c r="C460" t="s">
        <v>150</v>
      </c>
      <c r="D460">
        <v>837.31</v>
      </c>
      <c r="E460" t="s">
        <v>327</v>
      </c>
      <c r="F460">
        <v>17.29</v>
      </c>
      <c r="G460">
        <v>25.03</v>
      </c>
      <c r="H460">
        <v>16.170000000000002</v>
      </c>
      <c r="I460">
        <v>71.56</v>
      </c>
      <c r="J460">
        <v>88.1</v>
      </c>
      <c r="K460">
        <v>150.88999999999999</v>
      </c>
      <c r="L460">
        <v>10.29</v>
      </c>
      <c r="M460" t="s">
        <v>327</v>
      </c>
      <c r="N460">
        <v>22.07</v>
      </c>
      <c r="O460">
        <v>6.28</v>
      </c>
      <c r="P460">
        <v>1.86</v>
      </c>
      <c r="Q460">
        <v>10.050000000000001</v>
      </c>
      <c r="R460">
        <v>11.09</v>
      </c>
      <c r="S460">
        <v>36.53</v>
      </c>
      <c r="T460">
        <v>25.32</v>
      </c>
      <c r="U460">
        <v>43.36</v>
      </c>
      <c r="V460">
        <v>279.55</v>
      </c>
      <c r="W460">
        <v>109.37</v>
      </c>
      <c r="X460">
        <v>15.38</v>
      </c>
      <c r="Y460">
        <v>672.67</v>
      </c>
      <c r="Z460">
        <v>59.95</v>
      </c>
    </row>
    <row r="461" spans="1:26" x14ac:dyDescent="0.25">
      <c r="A461" t="s">
        <v>151</v>
      </c>
      <c r="B461" t="s">
        <v>152</v>
      </c>
      <c r="C461" t="s">
        <v>153</v>
      </c>
      <c r="D461">
        <v>1654.9</v>
      </c>
      <c r="E461" t="s">
        <v>327</v>
      </c>
      <c r="F461">
        <v>27.96</v>
      </c>
      <c r="G461">
        <v>27.02</v>
      </c>
      <c r="H461">
        <v>12.32</v>
      </c>
      <c r="I461">
        <v>166.17</v>
      </c>
      <c r="J461">
        <v>98.07</v>
      </c>
      <c r="K461">
        <v>128.5</v>
      </c>
      <c r="L461">
        <v>8.7799999999999994</v>
      </c>
      <c r="M461" t="s">
        <v>327</v>
      </c>
      <c r="N461">
        <v>20.260000000000002</v>
      </c>
      <c r="O461">
        <v>5.14</v>
      </c>
      <c r="P461">
        <v>2.2599999999999998</v>
      </c>
      <c r="Q461">
        <v>17.920000000000002</v>
      </c>
      <c r="R461">
        <v>14.33</v>
      </c>
      <c r="S461">
        <v>32.380000000000003</v>
      </c>
      <c r="T461">
        <v>38.549999999999997</v>
      </c>
      <c r="U461">
        <v>92.25</v>
      </c>
      <c r="V461">
        <v>772.96</v>
      </c>
      <c r="W461">
        <v>256.47000000000003</v>
      </c>
      <c r="X461">
        <v>45.55</v>
      </c>
      <c r="Y461">
        <v>1144.27</v>
      </c>
      <c r="Z461">
        <v>51.08</v>
      </c>
    </row>
    <row r="462" spans="1:26" x14ac:dyDescent="0.25">
      <c r="A462" t="s">
        <v>154</v>
      </c>
      <c r="B462" t="s">
        <v>155</v>
      </c>
      <c r="C462" t="s">
        <v>156</v>
      </c>
      <c r="D462">
        <v>1377.14</v>
      </c>
      <c r="E462" t="s">
        <v>327</v>
      </c>
      <c r="F462">
        <v>15.8</v>
      </c>
      <c r="G462">
        <v>18.100000000000001</v>
      </c>
      <c r="H462">
        <v>10.58</v>
      </c>
      <c r="I462">
        <v>120.15</v>
      </c>
      <c r="J462">
        <v>78.75</v>
      </c>
      <c r="K462">
        <v>88.28</v>
      </c>
      <c r="L462">
        <v>6.64</v>
      </c>
      <c r="M462" t="s">
        <v>327</v>
      </c>
      <c r="N462">
        <v>11.46</v>
      </c>
      <c r="O462">
        <v>5</v>
      </c>
      <c r="P462">
        <v>1.22</v>
      </c>
      <c r="Q462">
        <v>4.72</v>
      </c>
      <c r="R462">
        <v>12.23</v>
      </c>
      <c r="S462">
        <v>22.72</v>
      </c>
      <c r="T462">
        <v>16.55</v>
      </c>
      <c r="U462">
        <v>457.65</v>
      </c>
      <c r="V462">
        <v>876.28</v>
      </c>
      <c r="W462">
        <v>151.58000000000001</v>
      </c>
      <c r="X462">
        <v>23.85</v>
      </c>
      <c r="Y462">
        <v>1280.7</v>
      </c>
      <c r="Z462">
        <v>43.58</v>
      </c>
    </row>
    <row r="463" spans="1:26" x14ac:dyDescent="0.25">
      <c r="A463" t="s">
        <v>157</v>
      </c>
      <c r="B463" t="s">
        <v>158</v>
      </c>
      <c r="C463" t="s">
        <v>159</v>
      </c>
      <c r="D463">
        <v>886.24</v>
      </c>
      <c r="E463" t="s">
        <v>327</v>
      </c>
      <c r="F463">
        <v>11.65</v>
      </c>
      <c r="G463">
        <v>14.88</v>
      </c>
      <c r="H463" t="s">
        <v>327</v>
      </c>
      <c r="I463">
        <v>89.79</v>
      </c>
      <c r="J463">
        <v>74.39</v>
      </c>
      <c r="K463">
        <v>44.18</v>
      </c>
      <c r="L463">
        <v>6.85</v>
      </c>
      <c r="M463" t="s">
        <v>327</v>
      </c>
      <c r="N463">
        <v>5.87</v>
      </c>
      <c r="O463">
        <v>3.21</v>
      </c>
      <c r="P463">
        <v>1.37</v>
      </c>
      <c r="Q463">
        <v>2.78</v>
      </c>
      <c r="R463">
        <v>12.85</v>
      </c>
      <c r="S463">
        <v>16.989999999999998</v>
      </c>
      <c r="T463">
        <v>15.18</v>
      </c>
      <c r="U463">
        <v>51.32</v>
      </c>
      <c r="V463">
        <v>344.32</v>
      </c>
      <c r="W463">
        <v>91.56</v>
      </c>
      <c r="X463">
        <v>6.75</v>
      </c>
      <c r="Y463">
        <v>376.26</v>
      </c>
      <c r="Z463">
        <v>36.200000000000003</v>
      </c>
    </row>
    <row r="464" spans="1:26" x14ac:dyDescent="0.25">
      <c r="A464" t="s">
        <v>160</v>
      </c>
      <c r="B464" t="s">
        <v>161</v>
      </c>
      <c r="C464" t="s">
        <v>162</v>
      </c>
      <c r="D464">
        <v>582.77</v>
      </c>
      <c r="E464">
        <v>364.52</v>
      </c>
      <c r="F464">
        <v>61.19</v>
      </c>
      <c r="G464">
        <v>32.340000000000003</v>
      </c>
      <c r="H464">
        <v>44.05</v>
      </c>
      <c r="I464">
        <v>1145.5999999999999</v>
      </c>
      <c r="J464">
        <v>196.59</v>
      </c>
      <c r="K464">
        <v>91.74</v>
      </c>
      <c r="L464">
        <v>7.6</v>
      </c>
      <c r="M464">
        <v>12.11</v>
      </c>
      <c r="N464">
        <v>9.34</v>
      </c>
      <c r="O464">
        <v>8.32</v>
      </c>
      <c r="P464">
        <v>3.17</v>
      </c>
      <c r="Q464">
        <v>28.12</v>
      </c>
      <c r="R464">
        <v>780.94</v>
      </c>
      <c r="S464">
        <v>29.62</v>
      </c>
      <c r="T464">
        <v>39.43</v>
      </c>
      <c r="U464">
        <v>780</v>
      </c>
      <c r="V464">
        <v>16864.419999999998</v>
      </c>
      <c r="W464">
        <v>4549.9399999999996</v>
      </c>
      <c r="X464">
        <v>696.21</v>
      </c>
      <c r="Y464">
        <v>8372.24</v>
      </c>
      <c r="Z464">
        <v>83.94</v>
      </c>
    </row>
    <row r="465" spans="1:26" x14ac:dyDescent="0.25">
      <c r="A465" t="s">
        <v>163</v>
      </c>
      <c r="B465" t="s">
        <v>164</v>
      </c>
      <c r="C465" t="s">
        <v>165</v>
      </c>
      <c r="D465">
        <v>1228.26</v>
      </c>
      <c r="E465">
        <v>176.15</v>
      </c>
      <c r="F465">
        <v>28.52</v>
      </c>
      <c r="G465">
        <v>30.46</v>
      </c>
      <c r="H465">
        <v>26.21</v>
      </c>
      <c r="I465">
        <v>425.63</v>
      </c>
      <c r="J465">
        <v>151.65</v>
      </c>
      <c r="K465">
        <v>123.61</v>
      </c>
      <c r="L465">
        <v>8.35</v>
      </c>
      <c r="M465">
        <v>4.87</v>
      </c>
      <c r="N465">
        <v>25.74</v>
      </c>
      <c r="O465">
        <v>7.88</v>
      </c>
      <c r="P465">
        <v>2.1800000000000002</v>
      </c>
      <c r="Q465">
        <v>13.81</v>
      </c>
      <c r="R465">
        <v>84.04</v>
      </c>
      <c r="S465">
        <v>38.840000000000003</v>
      </c>
      <c r="T465">
        <v>18.13</v>
      </c>
      <c r="U465">
        <v>332.5</v>
      </c>
      <c r="V465">
        <v>2556.63</v>
      </c>
      <c r="W465">
        <v>427.85</v>
      </c>
      <c r="X465">
        <v>94.34</v>
      </c>
      <c r="Y465">
        <v>2126.1799999999998</v>
      </c>
      <c r="Z465">
        <v>94.52</v>
      </c>
    </row>
    <row r="466" spans="1:26" x14ac:dyDescent="0.25">
      <c r="A466" t="s">
        <v>166</v>
      </c>
      <c r="B466" t="s">
        <v>167</v>
      </c>
      <c r="C466" t="s">
        <v>168</v>
      </c>
      <c r="D466">
        <v>3055.95</v>
      </c>
      <c r="E466">
        <v>265.89</v>
      </c>
      <c r="F466">
        <v>39.5</v>
      </c>
      <c r="G466">
        <v>30.89</v>
      </c>
      <c r="H466">
        <v>55.94</v>
      </c>
      <c r="I466">
        <v>1915.28</v>
      </c>
      <c r="J466">
        <v>179.73</v>
      </c>
      <c r="K466">
        <v>118.69</v>
      </c>
      <c r="L466">
        <v>7.28</v>
      </c>
      <c r="M466">
        <v>9.25</v>
      </c>
      <c r="N466">
        <v>14.57</v>
      </c>
      <c r="O466">
        <v>6.28</v>
      </c>
      <c r="P466">
        <v>3.17</v>
      </c>
      <c r="Q466">
        <v>27.94</v>
      </c>
      <c r="R466">
        <v>94.09</v>
      </c>
      <c r="S466">
        <v>46.7</v>
      </c>
      <c r="T466">
        <v>51.66</v>
      </c>
      <c r="U466">
        <v>508.23</v>
      </c>
      <c r="V466">
        <v>7114.26</v>
      </c>
      <c r="W466">
        <v>1586.21</v>
      </c>
      <c r="X466">
        <v>542.53</v>
      </c>
      <c r="Y466">
        <v>4091.72</v>
      </c>
      <c r="Z466">
        <v>63.79</v>
      </c>
    </row>
    <row r="467" spans="1:26" x14ac:dyDescent="0.25">
      <c r="A467" t="s">
        <v>169</v>
      </c>
      <c r="B467" t="s">
        <v>170</v>
      </c>
      <c r="C467" t="s">
        <v>171</v>
      </c>
      <c r="D467">
        <v>1192.77</v>
      </c>
      <c r="E467" t="s">
        <v>327</v>
      </c>
      <c r="F467">
        <v>17.29</v>
      </c>
      <c r="G467">
        <v>24.19</v>
      </c>
      <c r="H467">
        <v>9.27</v>
      </c>
      <c r="I467">
        <v>93.13</v>
      </c>
      <c r="J467">
        <v>76.88</v>
      </c>
      <c r="K467">
        <v>115.39</v>
      </c>
      <c r="L467">
        <v>10.19</v>
      </c>
      <c r="M467" t="s">
        <v>327</v>
      </c>
      <c r="N467">
        <v>16.420000000000002</v>
      </c>
      <c r="O467">
        <v>4.8600000000000003</v>
      </c>
      <c r="P467">
        <v>1.37</v>
      </c>
      <c r="Q467">
        <v>7.39</v>
      </c>
      <c r="R467">
        <v>10.69</v>
      </c>
      <c r="S467">
        <v>35.61</v>
      </c>
      <c r="T467">
        <v>20.53</v>
      </c>
      <c r="U467">
        <v>37.76</v>
      </c>
      <c r="V467">
        <v>353.81</v>
      </c>
      <c r="W467">
        <v>137.85</v>
      </c>
      <c r="X467">
        <v>14.4</v>
      </c>
      <c r="Y467">
        <v>770.6</v>
      </c>
      <c r="Z467">
        <v>47.32</v>
      </c>
    </row>
    <row r="468" spans="1:26" x14ac:dyDescent="0.25">
      <c r="A468" t="s">
        <v>172</v>
      </c>
      <c r="B468" t="s">
        <v>173</v>
      </c>
      <c r="C468" t="s">
        <v>174</v>
      </c>
      <c r="D468">
        <v>1003.07</v>
      </c>
      <c r="E468" t="s">
        <v>327</v>
      </c>
      <c r="F468">
        <v>18.72</v>
      </c>
      <c r="G468">
        <v>23.62</v>
      </c>
      <c r="H468">
        <v>14.04</v>
      </c>
      <c r="I468">
        <v>53.08</v>
      </c>
      <c r="J468">
        <v>72.52</v>
      </c>
      <c r="K468">
        <v>134.97</v>
      </c>
      <c r="L468">
        <v>8.35</v>
      </c>
      <c r="M468" t="s">
        <v>327</v>
      </c>
      <c r="N468">
        <v>25.84</v>
      </c>
      <c r="O468">
        <v>5</v>
      </c>
      <c r="P468">
        <v>0.9</v>
      </c>
      <c r="Q468">
        <v>7.77</v>
      </c>
      <c r="R468">
        <v>10</v>
      </c>
      <c r="S468">
        <v>33.76</v>
      </c>
      <c r="T468">
        <v>29.55</v>
      </c>
      <c r="U468">
        <v>27.73</v>
      </c>
      <c r="V468">
        <v>220.68</v>
      </c>
      <c r="W468">
        <v>103.65</v>
      </c>
      <c r="X468">
        <v>5.92</v>
      </c>
      <c r="Y468">
        <v>476.08</v>
      </c>
      <c r="Z468">
        <v>51.08</v>
      </c>
    </row>
    <row r="469" spans="1:26" x14ac:dyDescent="0.25">
      <c r="A469" t="s">
        <v>175</v>
      </c>
      <c r="B469" t="s">
        <v>176</v>
      </c>
      <c r="C469" t="s">
        <v>177</v>
      </c>
      <c r="D469">
        <v>946.77</v>
      </c>
      <c r="E469">
        <v>76.55</v>
      </c>
      <c r="F469">
        <v>20.079999999999998</v>
      </c>
      <c r="G469">
        <v>25.45</v>
      </c>
      <c r="H469">
        <v>15.32</v>
      </c>
      <c r="I469">
        <v>418.13</v>
      </c>
      <c r="J469">
        <v>101.18</v>
      </c>
      <c r="K469">
        <v>98.6</v>
      </c>
      <c r="L469">
        <v>9.2100000000000009</v>
      </c>
      <c r="M469">
        <v>3.36</v>
      </c>
      <c r="N469">
        <v>26.04</v>
      </c>
      <c r="O469">
        <v>5.42</v>
      </c>
      <c r="P469">
        <v>0.75</v>
      </c>
      <c r="Q469">
        <v>10.8</v>
      </c>
      <c r="R469">
        <v>26.88</v>
      </c>
      <c r="S469">
        <v>35.61</v>
      </c>
      <c r="T469">
        <v>33.85</v>
      </c>
      <c r="U469">
        <v>162.59</v>
      </c>
      <c r="V469">
        <v>2830.4</v>
      </c>
      <c r="W469">
        <v>503.19</v>
      </c>
      <c r="X469">
        <v>253.9</v>
      </c>
      <c r="Y469">
        <v>2902.86</v>
      </c>
      <c r="Z469">
        <v>48.57</v>
      </c>
    </row>
    <row r="470" spans="1:26" x14ac:dyDescent="0.25">
      <c r="A470" t="s">
        <v>178</v>
      </c>
      <c r="B470" t="s">
        <v>179</v>
      </c>
      <c r="C470" t="s">
        <v>180</v>
      </c>
      <c r="D470">
        <v>102.41</v>
      </c>
      <c r="E470" t="s">
        <v>327</v>
      </c>
      <c r="F470" t="s">
        <v>327</v>
      </c>
      <c r="G470" t="s">
        <v>327</v>
      </c>
      <c r="H470" t="s">
        <v>327</v>
      </c>
      <c r="I470">
        <v>39.22</v>
      </c>
      <c r="J470" t="s">
        <v>327</v>
      </c>
      <c r="K470" t="s">
        <v>327</v>
      </c>
      <c r="L470" t="s">
        <v>327</v>
      </c>
      <c r="M470" t="s">
        <v>327</v>
      </c>
      <c r="N470">
        <v>9.1300000000000008</v>
      </c>
      <c r="O470" t="s">
        <v>327</v>
      </c>
      <c r="P470" t="s">
        <v>327</v>
      </c>
      <c r="Q470">
        <v>4.33</v>
      </c>
      <c r="R470" t="s">
        <v>327</v>
      </c>
      <c r="S470" t="s">
        <v>327</v>
      </c>
      <c r="T470">
        <v>3.01</v>
      </c>
      <c r="U470" t="s">
        <v>327</v>
      </c>
      <c r="V470">
        <v>114.69</v>
      </c>
      <c r="W470" t="s">
        <v>327</v>
      </c>
      <c r="X470">
        <v>2.17</v>
      </c>
      <c r="Y470">
        <v>31.2</v>
      </c>
      <c r="Z470" t="s">
        <v>327</v>
      </c>
    </row>
    <row r="471" spans="1:26" x14ac:dyDescent="0.25">
      <c r="A471" t="s">
        <v>181</v>
      </c>
      <c r="B471" t="s">
        <v>182</v>
      </c>
      <c r="C471" t="s">
        <v>183</v>
      </c>
      <c r="D471">
        <v>894.64</v>
      </c>
      <c r="E471" t="s">
        <v>327</v>
      </c>
      <c r="F471">
        <v>26.27</v>
      </c>
      <c r="G471">
        <v>26.73</v>
      </c>
      <c r="H471">
        <v>20.39</v>
      </c>
      <c r="I471">
        <v>115.9</v>
      </c>
      <c r="J471">
        <v>115.51</v>
      </c>
      <c r="K471">
        <v>169.61</v>
      </c>
      <c r="L471">
        <v>14.22</v>
      </c>
      <c r="M471">
        <v>4.5</v>
      </c>
      <c r="N471">
        <v>28.41</v>
      </c>
      <c r="O471">
        <v>12.24</v>
      </c>
      <c r="P471">
        <v>1.1399999999999999</v>
      </c>
      <c r="Q471">
        <v>9.2899999999999991</v>
      </c>
      <c r="R471">
        <v>14.1</v>
      </c>
      <c r="S471">
        <v>35.14</v>
      </c>
      <c r="T471">
        <v>36.85</v>
      </c>
      <c r="U471">
        <v>36.28</v>
      </c>
      <c r="V471">
        <v>216.33</v>
      </c>
      <c r="W471">
        <v>94.33</v>
      </c>
      <c r="X471">
        <v>8.11</v>
      </c>
      <c r="Y471">
        <v>663.96</v>
      </c>
      <c r="Z471">
        <v>91.86</v>
      </c>
    </row>
    <row r="472" spans="1:26" x14ac:dyDescent="0.25">
      <c r="A472" t="s">
        <v>184</v>
      </c>
      <c r="B472" t="s">
        <v>185</v>
      </c>
      <c r="C472" t="s">
        <v>186</v>
      </c>
      <c r="D472">
        <v>3677.15</v>
      </c>
      <c r="E472">
        <v>1315.84</v>
      </c>
      <c r="F472">
        <v>71.510000000000005</v>
      </c>
      <c r="G472">
        <v>34.24</v>
      </c>
      <c r="H472">
        <v>62.22</v>
      </c>
      <c r="I472">
        <v>1222.22</v>
      </c>
      <c r="J472">
        <v>278.7</v>
      </c>
      <c r="K472">
        <v>150.88999999999999</v>
      </c>
      <c r="L472">
        <v>9.32</v>
      </c>
      <c r="M472">
        <v>20.22</v>
      </c>
      <c r="N472">
        <v>9.56</v>
      </c>
      <c r="O472">
        <v>9.06</v>
      </c>
      <c r="P472">
        <v>5.96</v>
      </c>
      <c r="Q472">
        <v>61.9</v>
      </c>
      <c r="R472">
        <v>333.05</v>
      </c>
      <c r="S472">
        <v>46.23</v>
      </c>
      <c r="T472">
        <v>82.34</v>
      </c>
      <c r="U472">
        <v>2463.5100000000002</v>
      </c>
      <c r="V472">
        <v>21214.86</v>
      </c>
      <c r="W472">
        <v>7201.29</v>
      </c>
      <c r="X472">
        <v>1285.8399999999999</v>
      </c>
      <c r="Y472">
        <v>4390.58</v>
      </c>
      <c r="Z472">
        <v>120.75</v>
      </c>
    </row>
    <row r="473" spans="1:26" x14ac:dyDescent="0.25">
      <c r="A473" t="s">
        <v>187</v>
      </c>
      <c r="B473" t="s">
        <v>188</v>
      </c>
      <c r="C473" t="s">
        <v>189</v>
      </c>
      <c r="D473">
        <v>1304.57</v>
      </c>
      <c r="E473" t="s">
        <v>327</v>
      </c>
      <c r="F473">
        <v>20.079999999999998</v>
      </c>
      <c r="G473">
        <v>19.88</v>
      </c>
      <c r="H473">
        <v>9.27</v>
      </c>
      <c r="I473">
        <v>48.65</v>
      </c>
      <c r="J473">
        <v>89.35</v>
      </c>
      <c r="K473">
        <v>91.74</v>
      </c>
      <c r="L473">
        <v>9.75</v>
      </c>
      <c r="M473" t="s">
        <v>327</v>
      </c>
      <c r="N473">
        <v>27.42</v>
      </c>
      <c r="O473">
        <v>4.3</v>
      </c>
      <c r="P473">
        <v>1.1399999999999999</v>
      </c>
      <c r="Q473">
        <v>7.96</v>
      </c>
      <c r="R473">
        <v>5.81</v>
      </c>
      <c r="S473">
        <v>35.61</v>
      </c>
      <c r="T473">
        <v>24.98</v>
      </c>
      <c r="U473">
        <v>30.38</v>
      </c>
      <c r="V473">
        <v>275.62</v>
      </c>
      <c r="W473">
        <v>114.92</v>
      </c>
      <c r="X473">
        <v>10.82</v>
      </c>
      <c r="Y473">
        <v>589.05999999999995</v>
      </c>
      <c r="Z473">
        <v>51.08</v>
      </c>
    </row>
    <row r="474" spans="1:26" x14ac:dyDescent="0.25">
      <c r="A474" t="s">
        <v>190</v>
      </c>
      <c r="B474" t="s">
        <v>191</v>
      </c>
      <c r="C474" t="s">
        <v>192</v>
      </c>
      <c r="D474">
        <v>1100.17</v>
      </c>
      <c r="E474" t="s">
        <v>327</v>
      </c>
      <c r="F474" t="s">
        <v>327</v>
      </c>
      <c r="G474">
        <v>20.57</v>
      </c>
      <c r="H474" t="s">
        <v>327</v>
      </c>
      <c r="I474">
        <v>75.41</v>
      </c>
      <c r="J474">
        <v>56.28</v>
      </c>
      <c r="K474">
        <v>88.28</v>
      </c>
      <c r="L474">
        <v>7.97</v>
      </c>
      <c r="M474" t="s">
        <v>327</v>
      </c>
      <c r="N474">
        <v>15.39</v>
      </c>
      <c r="O474">
        <v>4.72</v>
      </c>
      <c r="P474" t="s">
        <v>327</v>
      </c>
      <c r="Q474">
        <v>4.33</v>
      </c>
      <c r="R474">
        <v>5.21</v>
      </c>
      <c r="S474">
        <v>25.02</v>
      </c>
      <c r="T474">
        <v>23.47</v>
      </c>
      <c r="U474">
        <v>31.27</v>
      </c>
      <c r="V474">
        <v>223.56</v>
      </c>
      <c r="W474">
        <v>75.27</v>
      </c>
      <c r="X474">
        <v>9.9600000000000009</v>
      </c>
      <c r="Y474">
        <v>506.78</v>
      </c>
      <c r="Z474">
        <v>37.42</v>
      </c>
    </row>
    <row r="475" spans="1:26" x14ac:dyDescent="0.25">
      <c r="A475" t="s">
        <v>193</v>
      </c>
      <c r="B475" t="s">
        <v>194</v>
      </c>
      <c r="C475" t="s">
        <v>195</v>
      </c>
      <c r="D475">
        <v>1374.05</v>
      </c>
      <c r="E475">
        <v>86.24</v>
      </c>
      <c r="F475">
        <v>30.14</v>
      </c>
      <c r="G475">
        <v>18.649999999999999</v>
      </c>
      <c r="H475">
        <v>21.23</v>
      </c>
      <c r="I475">
        <v>449.12</v>
      </c>
      <c r="J475">
        <v>104.3</v>
      </c>
      <c r="K475">
        <v>57.65</v>
      </c>
      <c r="L475">
        <v>7.97</v>
      </c>
      <c r="M475">
        <v>3.51</v>
      </c>
      <c r="N475">
        <v>6.53</v>
      </c>
      <c r="O475">
        <v>4.4400000000000004</v>
      </c>
      <c r="P475">
        <v>1.3</v>
      </c>
      <c r="Q475">
        <v>7.77</v>
      </c>
      <c r="R475">
        <v>36.630000000000003</v>
      </c>
      <c r="S475">
        <v>19.05</v>
      </c>
      <c r="T475">
        <v>30.1</v>
      </c>
      <c r="U475">
        <v>178.77</v>
      </c>
      <c r="V475">
        <v>2259.31</v>
      </c>
      <c r="W475">
        <v>1037.9100000000001</v>
      </c>
      <c r="X475">
        <v>261.62</v>
      </c>
      <c r="Y475">
        <v>5372.07</v>
      </c>
      <c r="Z475">
        <v>34.979999999999997</v>
      </c>
    </row>
    <row r="476" spans="1:26" x14ac:dyDescent="0.25">
      <c r="A476" t="s">
        <v>196</v>
      </c>
      <c r="B476" t="s">
        <v>197</v>
      </c>
      <c r="C476" t="s">
        <v>198</v>
      </c>
      <c r="D476">
        <v>1025.8699999999999</v>
      </c>
      <c r="E476" t="s">
        <v>327</v>
      </c>
      <c r="F476">
        <v>17.29</v>
      </c>
      <c r="G476">
        <v>30.02</v>
      </c>
      <c r="H476">
        <v>10.14</v>
      </c>
      <c r="I476">
        <v>58.46</v>
      </c>
      <c r="J476">
        <v>100.56</v>
      </c>
      <c r="K476">
        <v>131.74</v>
      </c>
      <c r="L476">
        <v>9.1</v>
      </c>
      <c r="M476" t="s">
        <v>327</v>
      </c>
      <c r="N476">
        <v>32.909999999999997</v>
      </c>
      <c r="O476">
        <v>4.3</v>
      </c>
      <c r="P476" t="s">
        <v>327</v>
      </c>
      <c r="Q476">
        <v>10.050000000000001</v>
      </c>
      <c r="R476">
        <v>8.9</v>
      </c>
      <c r="S476">
        <v>42.99</v>
      </c>
      <c r="T476">
        <v>39.159999999999997</v>
      </c>
      <c r="U476">
        <v>35.69</v>
      </c>
      <c r="V476">
        <v>198.54</v>
      </c>
      <c r="W476">
        <v>103.65</v>
      </c>
      <c r="X476">
        <v>13.65</v>
      </c>
      <c r="Y476">
        <v>1228.98</v>
      </c>
      <c r="Z476">
        <v>53.6</v>
      </c>
    </row>
    <row r="477" spans="1:26" x14ac:dyDescent="0.25">
      <c r="A477" t="s">
        <v>199</v>
      </c>
      <c r="B477" t="s">
        <v>200</v>
      </c>
      <c r="C477" t="s">
        <v>201</v>
      </c>
      <c r="D477">
        <v>721.85</v>
      </c>
      <c r="E477" t="s">
        <v>327</v>
      </c>
      <c r="F477">
        <v>17.29</v>
      </c>
      <c r="G477">
        <v>26.45</v>
      </c>
      <c r="H477">
        <v>10.58</v>
      </c>
      <c r="I477">
        <v>63.81</v>
      </c>
      <c r="J477">
        <v>86.86</v>
      </c>
      <c r="K477">
        <v>108.73</v>
      </c>
      <c r="L477">
        <v>8.56</v>
      </c>
      <c r="M477" t="s">
        <v>327</v>
      </c>
      <c r="N477">
        <v>25.25</v>
      </c>
      <c r="O477">
        <v>5.42</v>
      </c>
      <c r="P477">
        <v>0.82</v>
      </c>
      <c r="Q477">
        <v>7.39</v>
      </c>
      <c r="R477">
        <v>11.27</v>
      </c>
      <c r="S477">
        <v>37.68</v>
      </c>
      <c r="T477">
        <v>31.8</v>
      </c>
      <c r="U477">
        <v>33.630000000000003</v>
      </c>
      <c r="V477">
        <v>248.8</v>
      </c>
      <c r="W477">
        <v>167.53</v>
      </c>
      <c r="X477">
        <v>25.96</v>
      </c>
      <c r="Y477">
        <v>2094.85</v>
      </c>
      <c r="Z477">
        <v>46.07</v>
      </c>
    </row>
    <row r="478" spans="1:26" x14ac:dyDescent="0.25">
      <c r="A478" t="s">
        <v>202</v>
      </c>
      <c r="B478" t="s">
        <v>203</v>
      </c>
      <c r="C478" t="s">
        <v>204</v>
      </c>
      <c r="D478">
        <v>1074.08</v>
      </c>
      <c r="E478">
        <v>184.87</v>
      </c>
      <c r="F478">
        <v>41.31</v>
      </c>
      <c r="G478">
        <v>52</v>
      </c>
      <c r="H478">
        <v>336.22</v>
      </c>
      <c r="I478">
        <v>1579.45</v>
      </c>
      <c r="J478">
        <v>196.59</v>
      </c>
      <c r="K478">
        <v>118.69</v>
      </c>
      <c r="L478">
        <v>8.67</v>
      </c>
      <c r="M478">
        <v>13.16</v>
      </c>
      <c r="N478">
        <v>18.75</v>
      </c>
      <c r="O478">
        <v>9.81</v>
      </c>
      <c r="P478">
        <v>3.59</v>
      </c>
      <c r="Q478">
        <v>25.72</v>
      </c>
      <c r="R478">
        <v>224.05</v>
      </c>
      <c r="S478">
        <v>36.99</v>
      </c>
      <c r="T478">
        <v>33.1</v>
      </c>
      <c r="U478">
        <v>391.07</v>
      </c>
      <c r="V478">
        <v>25333.87</v>
      </c>
      <c r="W478">
        <v>10890.76</v>
      </c>
      <c r="X478">
        <v>3643.53</v>
      </c>
      <c r="Y478" t="s">
        <v>326</v>
      </c>
      <c r="Z478">
        <v>100.52</v>
      </c>
    </row>
    <row r="479" spans="1:26" x14ac:dyDescent="0.25">
      <c r="A479" t="s">
        <v>205</v>
      </c>
      <c r="B479" t="s">
        <v>206</v>
      </c>
      <c r="C479" t="s">
        <v>207</v>
      </c>
      <c r="D479">
        <v>635.4</v>
      </c>
      <c r="E479" t="s">
        <v>327</v>
      </c>
      <c r="F479" t="s">
        <v>327</v>
      </c>
      <c r="G479">
        <v>22.79</v>
      </c>
      <c r="H479" t="s">
        <v>327</v>
      </c>
      <c r="I479">
        <v>60.89</v>
      </c>
      <c r="J479">
        <v>65.03</v>
      </c>
      <c r="K479">
        <v>96.89</v>
      </c>
      <c r="L479">
        <v>1.04</v>
      </c>
      <c r="M479" t="s">
        <v>327</v>
      </c>
      <c r="N479">
        <v>10.09</v>
      </c>
      <c r="O479">
        <v>2.41</v>
      </c>
      <c r="P479">
        <v>0.9</v>
      </c>
      <c r="Q479">
        <v>11.56</v>
      </c>
      <c r="R479">
        <v>7.1</v>
      </c>
      <c r="S479">
        <v>27.77</v>
      </c>
      <c r="T479">
        <v>19.43</v>
      </c>
      <c r="U479">
        <v>69.88</v>
      </c>
      <c r="V479">
        <v>349.08</v>
      </c>
      <c r="W479">
        <v>141.09</v>
      </c>
      <c r="X479">
        <v>40.47</v>
      </c>
      <c r="Y479">
        <v>842.83</v>
      </c>
      <c r="Z479">
        <v>24.8</v>
      </c>
    </row>
    <row r="480" spans="1:26" x14ac:dyDescent="0.25">
      <c r="A480" t="s">
        <v>208</v>
      </c>
      <c r="B480" t="s">
        <v>209</v>
      </c>
      <c r="C480" t="s">
        <v>210</v>
      </c>
      <c r="D480">
        <v>1962.63</v>
      </c>
      <c r="E480">
        <v>248.16</v>
      </c>
      <c r="F480">
        <v>32.75</v>
      </c>
      <c r="G480">
        <v>31.33</v>
      </c>
      <c r="H480">
        <v>27.03</v>
      </c>
      <c r="I480">
        <v>466.05</v>
      </c>
      <c r="J480">
        <v>129.22</v>
      </c>
      <c r="K480">
        <v>125.25</v>
      </c>
      <c r="L480">
        <v>9.15</v>
      </c>
      <c r="M480">
        <v>5.63</v>
      </c>
      <c r="N480">
        <v>19.05</v>
      </c>
      <c r="O480">
        <v>6.85</v>
      </c>
      <c r="P480">
        <v>2.67</v>
      </c>
      <c r="Q480">
        <v>19.04</v>
      </c>
      <c r="R480">
        <v>73.930000000000007</v>
      </c>
      <c r="S480">
        <v>49.94</v>
      </c>
      <c r="T480">
        <v>28.19</v>
      </c>
      <c r="U480">
        <v>292.5</v>
      </c>
      <c r="V480">
        <v>3687.78</v>
      </c>
      <c r="W480">
        <v>884.45</v>
      </c>
      <c r="X480">
        <v>290.95</v>
      </c>
      <c r="Y480">
        <v>4621.37</v>
      </c>
      <c r="Z480">
        <v>63.79</v>
      </c>
    </row>
    <row r="481" spans="1:26" x14ac:dyDescent="0.25">
      <c r="A481" t="s">
        <v>211</v>
      </c>
      <c r="B481" t="s">
        <v>212</v>
      </c>
      <c r="C481" t="s">
        <v>213</v>
      </c>
      <c r="D481">
        <v>1411.85</v>
      </c>
      <c r="E481" t="s">
        <v>327</v>
      </c>
      <c r="F481">
        <v>10.73</v>
      </c>
      <c r="G481">
        <v>22.23</v>
      </c>
      <c r="H481">
        <v>8.83</v>
      </c>
      <c r="I481">
        <v>98.37</v>
      </c>
      <c r="J481">
        <v>88.72</v>
      </c>
      <c r="K481">
        <v>77.73</v>
      </c>
      <c r="L481">
        <v>7.6</v>
      </c>
      <c r="M481" t="s">
        <v>327</v>
      </c>
      <c r="N481">
        <v>25.45</v>
      </c>
      <c r="O481">
        <v>3.21</v>
      </c>
      <c r="P481">
        <v>1.22</v>
      </c>
      <c r="Q481">
        <v>3.56</v>
      </c>
      <c r="R481">
        <v>7.33</v>
      </c>
      <c r="S481">
        <v>35.369999999999997</v>
      </c>
      <c r="T481">
        <v>30.37</v>
      </c>
      <c r="U481">
        <v>32.450000000000003</v>
      </c>
      <c r="V481">
        <v>230.69</v>
      </c>
      <c r="W481">
        <v>101.7</v>
      </c>
      <c r="X481">
        <v>9.76</v>
      </c>
      <c r="Y481">
        <v>581.14</v>
      </c>
      <c r="Z481">
        <v>38.65</v>
      </c>
    </row>
    <row r="482" spans="1:26" x14ac:dyDescent="0.25">
      <c r="A482" t="s">
        <v>214</v>
      </c>
      <c r="B482" t="s">
        <v>215</v>
      </c>
      <c r="C482" t="s">
        <v>216</v>
      </c>
      <c r="D482">
        <v>23.71</v>
      </c>
      <c r="E482" t="s">
        <v>327</v>
      </c>
      <c r="F482" t="s">
        <v>327</v>
      </c>
      <c r="G482">
        <v>1.97</v>
      </c>
      <c r="H482" t="s">
        <v>327</v>
      </c>
      <c r="I482" t="s">
        <v>327</v>
      </c>
      <c r="J482" t="s">
        <v>327</v>
      </c>
      <c r="K482" t="s">
        <v>327</v>
      </c>
      <c r="L482" t="s">
        <v>327</v>
      </c>
      <c r="M482" t="s">
        <v>327</v>
      </c>
      <c r="N482" t="s">
        <v>327</v>
      </c>
      <c r="O482" t="s">
        <v>327</v>
      </c>
      <c r="P482" t="s">
        <v>327</v>
      </c>
      <c r="Q482" t="s">
        <v>327</v>
      </c>
      <c r="R482" t="s">
        <v>327</v>
      </c>
      <c r="S482" t="s">
        <v>327</v>
      </c>
      <c r="T482" t="s">
        <v>327</v>
      </c>
      <c r="U482">
        <v>4.07</v>
      </c>
      <c r="V482" t="s">
        <v>327</v>
      </c>
      <c r="W482" t="s">
        <v>327</v>
      </c>
      <c r="X482" t="s">
        <v>327</v>
      </c>
      <c r="Y482">
        <v>65.44</v>
      </c>
      <c r="Z482" t="s">
        <v>327</v>
      </c>
    </row>
    <row r="483" spans="1:26" x14ac:dyDescent="0.25">
      <c r="A483" t="s">
        <v>217</v>
      </c>
      <c r="B483" t="s">
        <v>218</v>
      </c>
      <c r="C483" t="s">
        <v>219</v>
      </c>
      <c r="D483">
        <v>1137.8</v>
      </c>
      <c r="E483" t="s">
        <v>327</v>
      </c>
      <c r="F483">
        <v>17.29</v>
      </c>
      <c r="G483">
        <v>22.51</v>
      </c>
      <c r="H483">
        <v>17.02</v>
      </c>
      <c r="I483">
        <v>163.36000000000001</v>
      </c>
      <c r="J483">
        <v>88.1</v>
      </c>
      <c r="K483">
        <v>115.39</v>
      </c>
      <c r="L483">
        <v>11.28</v>
      </c>
      <c r="M483" t="s">
        <v>327</v>
      </c>
      <c r="N483">
        <v>13.75</v>
      </c>
      <c r="O483">
        <v>5.14</v>
      </c>
      <c r="P483">
        <v>1.53</v>
      </c>
      <c r="Q483">
        <v>6.63</v>
      </c>
      <c r="R483">
        <v>10.69</v>
      </c>
      <c r="S483">
        <v>27.77</v>
      </c>
      <c r="T483">
        <v>16.55</v>
      </c>
      <c r="U483">
        <v>110.21</v>
      </c>
      <c r="V483">
        <v>498.95</v>
      </c>
      <c r="W483">
        <v>214.22</v>
      </c>
      <c r="X483">
        <v>32.75</v>
      </c>
      <c r="Y483">
        <v>2680.23</v>
      </c>
      <c r="Z483">
        <v>51.08</v>
      </c>
    </row>
    <row r="484" spans="1:26" x14ac:dyDescent="0.25">
      <c r="A484" t="s">
        <v>220</v>
      </c>
      <c r="B484" t="s">
        <v>221</v>
      </c>
      <c r="C484" t="s">
        <v>222</v>
      </c>
      <c r="D484">
        <v>839.51</v>
      </c>
      <c r="E484" t="s">
        <v>327</v>
      </c>
      <c r="F484">
        <v>12.54</v>
      </c>
      <c r="G484">
        <v>19.739999999999998</v>
      </c>
      <c r="H484">
        <v>8.83</v>
      </c>
      <c r="I484">
        <v>62.84</v>
      </c>
      <c r="J484">
        <v>70.02</v>
      </c>
      <c r="K484">
        <v>95.18</v>
      </c>
      <c r="L484">
        <v>9.9700000000000006</v>
      </c>
      <c r="M484" t="s">
        <v>327</v>
      </c>
      <c r="N484">
        <v>14.88</v>
      </c>
      <c r="O484">
        <v>4.8600000000000003</v>
      </c>
      <c r="P484">
        <v>1.3</v>
      </c>
      <c r="Q484">
        <v>6.63</v>
      </c>
      <c r="R484">
        <v>5.21</v>
      </c>
      <c r="S484">
        <v>25.02</v>
      </c>
      <c r="T484">
        <v>18.47</v>
      </c>
      <c r="U484">
        <v>33.92</v>
      </c>
      <c r="V484">
        <v>307.66000000000003</v>
      </c>
      <c r="W484">
        <v>154.13999999999999</v>
      </c>
      <c r="X484">
        <v>25.21</v>
      </c>
      <c r="Y484">
        <v>2478.65</v>
      </c>
      <c r="Z484">
        <v>38.65</v>
      </c>
    </row>
    <row r="485" spans="1:26" x14ac:dyDescent="0.25">
      <c r="A485" t="s">
        <v>223</v>
      </c>
      <c r="B485" t="s">
        <v>224</v>
      </c>
      <c r="C485" t="s">
        <v>225</v>
      </c>
      <c r="D485">
        <v>1602.76</v>
      </c>
      <c r="E485">
        <v>178.68</v>
      </c>
      <c r="F485">
        <v>18.72</v>
      </c>
      <c r="G485">
        <v>17.29</v>
      </c>
      <c r="H485">
        <v>6.6</v>
      </c>
      <c r="I485">
        <v>178.32</v>
      </c>
      <c r="J485">
        <v>94.33</v>
      </c>
      <c r="K485">
        <v>84.79</v>
      </c>
      <c r="L485">
        <v>6.27</v>
      </c>
      <c r="M485" t="s">
        <v>327</v>
      </c>
      <c r="N485">
        <v>9.77</v>
      </c>
      <c r="O485">
        <v>4.03</v>
      </c>
      <c r="P485">
        <v>0.75</v>
      </c>
      <c r="Q485">
        <v>8.5299999999999994</v>
      </c>
      <c r="R485">
        <v>56.97</v>
      </c>
      <c r="S485">
        <v>25.48</v>
      </c>
      <c r="T485">
        <v>21.97</v>
      </c>
      <c r="U485">
        <v>267.87</v>
      </c>
      <c r="V485">
        <v>1565.24</v>
      </c>
      <c r="W485">
        <v>416.32</v>
      </c>
      <c r="X485">
        <v>84.96</v>
      </c>
      <c r="Y485">
        <v>2313.6799999999998</v>
      </c>
      <c r="Z485">
        <v>39.880000000000003</v>
      </c>
    </row>
    <row r="486" spans="1:26" x14ac:dyDescent="0.25">
      <c r="A486" t="s">
        <v>226</v>
      </c>
      <c r="B486" t="s">
        <v>227</v>
      </c>
      <c r="C486" t="s">
        <v>228</v>
      </c>
      <c r="D486">
        <v>418.59</v>
      </c>
      <c r="E486" t="s">
        <v>327</v>
      </c>
      <c r="F486" t="s">
        <v>327</v>
      </c>
      <c r="G486">
        <v>20.29</v>
      </c>
      <c r="H486" t="s">
        <v>327</v>
      </c>
      <c r="I486">
        <v>40.71</v>
      </c>
      <c r="J486" t="s">
        <v>327</v>
      </c>
      <c r="K486">
        <v>81.27</v>
      </c>
      <c r="L486">
        <v>2.17</v>
      </c>
      <c r="M486" t="s">
        <v>327</v>
      </c>
      <c r="N486">
        <v>10.09</v>
      </c>
      <c r="O486">
        <v>4.58</v>
      </c>
      <c r="P486" t="s">
        <v>327</v>
      </c>
      <c r="Q486">
        <v>5.87</v>
      </c>
      <c r="R486" t="s">
        <v>327</v>
      </c>
      <c r="S486">
        <v>12.65</v>
      </c>
      <c r="T486">
        <v>6.08</v>
      </c>
      <c r="U486">
        <v>180.69</v>
      </c>
      <c r="V486">
        <v>2073.58</v>
      </c>
      <c r="W486">
        <v>334.09</v>
      </c>
      <c r="X486">
        <v>27.89</v>
      </c>
      <c r="Y486">
        <v>3424.35</v>
      </c>
      <c r="Z486">
        <v>25.39</v>
      </c>
    </row>
    <row r="487" spans="1:26" x14ac:dyDescent="0.25">
      <c r="A487" t="s">
        <v>229</v>
      </c>
      <c r="B487" t="s">
        <v>230</v>
      </c>
      <c r="C487" t="s">
        <v>231</v>
      </c>
      <c r="D487">
        <v>1978</v>
      </c>
      <c r="E487" t="s">
        <v>327</v>
      </c>
      <c r="F487">
        <v>14.22</v>
      </c>
      <c r="G487">
        <v>14.22</v>
      </c>
      <c r="H487" t="s">
        <v>327</v>
      </c>
      <c r="I487">
        <v>90.74</v>
      </c>
      <c r="J487">
        <v>56.91</v>
      </c>
      <c r="K487">
        <v>50.03</v>
      </c>
      <c r="L487">
        <v>6.43</v>
      </c>
      <c r="M487" t="s">
        <v>327</v>
      </c>
      <c r="N487">
        <v>6.75</v>
      </c>
      <c r="O487">
        <v>2.41</v>
      </c>
      <c r="P487">
        <v>1.53</v>
      </c>
      <c r="Q487">
        <v>1.61</v>
      </c>
      <c r="R487">
        <v>6.17</v>
      </c>
      <c r="S487">
        <v>15.39</v>
      </c>
      <c r="T487">
        <v>15.59</v>
      </c>
      <c r="U487">
        <v>37.909999999999997</v>
      </c>
      <c r="V487">
        <v>311.41000000000003</v>
      </c>
      <c r="W487">
        <v>131.22999999999999</v>
      </c>
      <c r="X487">
        <v>21.14</v>
      </c>
      <c r="Y487">
        <v>1695.88</v>
      </c>
      <c r="Z487">
        <v>28.95</v>
      </c>
    </row>
    <row r="488" spans="1:26" x14ac:dyDescent="0.25">
      <c r="A488" t="s">
        <v>232</v>
      </c>
      <c r="B488" t="s">
        <v>233</v>
      </c>
      <c r="C488" t="s">
        <v>234</v>
      </c>
      <c r="D488">
        <v>916.15</v>
      </c>
      <c r="E488" t="s">
        <v>327</v>
      </c>
      <c r="F488">
        <v>26.27</v>
      </c>
      <c r="G488">
        <v>17.29</v>
      </c>
      <c r="H488" t="s">
        <v>327</v>
      </c>
      <c r="I488">
        <v>78.3</v>
      </c>
      <c r="J488">
        <v>59.41</v>
      </c>
      <c r="K488">
        <v>81.27</v>
      </c>
      <c r="L488">
        <v>6.75</v>
      </c>
      <c r="M488" t="s">
        <v>327</v>
      </c>
      <c r="N488">
        <v>5.21</v>
      </c>
      <c r="O488">
        <v>5.99</v>
      </c>
      <c r="P488">
        <v>1.3</v>
      </c>
      <c r="Q488">
        <v>3.75</v>
      </c>
      <c r="R488">
        <v>7.1</v>
      </c>
      <c r="S488">
        <v>19.28</v>
      </c>
      <c r="T488">
        <v>18.34</v>
      </c>
      <c r="U488">
        <v>32.450000000000003</v>
      </c>
      <c r="V488">
        <v>335.92</v>
      </c>
      <c r="W488">
        <v>112.48</v>
      </c>
      <c r="X488">
        <v>22.78</v>
      </c>
      <c r="Y488">
        <v>2224.4499999999998</v>
      </c>
      <c r="Z488">
        <v>34.979999999999997</v>
      </c>
    </row>
    <row r="489" spans="1:26" x14ac:dyDescent="0.25">
      <c r="A489" t="s">
        <v>235</v>
      </c>
      <c r="B489" t="s">
        <v>236</v>
      </c>
      <c r="C489" t="s">
        <v>237</v>
      </c>
      <c r="D489">
        <v>1339.36</v>
      </c>
      <c r="E489">
        <v>68.56</v>
      </c>
      <c r="F489">
        <v>28.52</v>
      </c>
      <c r="G489">
        <v>21.67</v>
      </c>
      <c r="H489">
        <v>36.01</v>
      </c>
      <c r="I489">
        <v>169.91</v>
      </c>
      <c r="J489">
        <v>127.97</v>
      </c>
      <c r="K489">
        <v>105.37</v>
      </c>
      <c r="L489">
        <v>8.4499999999999993</v>
      </c>
      <c r="M489" t="s">
        <v>327</v>
      </c>
      <c r="N489">
        <v>16.920000000000002</v>
      </c>
      <c r="O489">
        <v>4.58</v>
      </c>
      <c r="P489">
        <v>1.61</v>
      </c>
      <c r="Q489">
        <v>13.25</v>
      </c>
      <c r="R489">
        <v>42.32</v>
      </c>
      <c r="S489">
        <v>26.85</v>
      </c>
      <c r="T489">
        <v>22.65</v>
      </c>
      <c r="U489">
        <v>267.43</v>
      </c>
      <c r="V489">
        <v>2728.64</v>
      </c>
      <c r="W489">
        <v>955.37</v>
      </c>
      <c r="X489">
        <v>285.23</v>
      </c>
      <c r="Y489">
        <v>3947.68</v>
      </c>
      <c r="Z489">
        <v>54.86</v>
      </c>
    </row>
    <row r="490" spans="1:26" x14ac:dyDescent="0.25">
      <c r="A490" t="s">
        <v>238</v>
      </c>
      <c r="B490" t="s">
        <v>239</v>
      </c>
      <c r="C490" t="s">
        <v>240</v>
      </c>
      <c r="D490">
        <v>1611.11</v>
      </c>
      <c r="E490">
        <v>332.48</v>
      </c>
      <c r="F490">
        <v>38.58</v>
      </c>
      <c r="G490">
        <v>58.67</v>
      </c>
      <c r="H490">
        <v>115.1</v>
      </c>
      <c r="I490">
        <v>278.02</v>
      </c>
      <c r="J490">
        <v>132.94999999999999</v>
      </c>
      <c r="K490">
        <v>141.37</v>
      </c>
      <c r="L490">
        <v>8.67</v>
      </c>
      <c r="M490">
        <v>11.2</v>
      </c>
      <c r="N490">
        <v>15.19</v>
      </c>
      <c r="O490">
        <v>8.61</v>
      </c>
      <c r="P490">
        <v>3.25</v>
      </c>
      <c r="Q490">
        <v>20.53</v>
      </c>
      <c r="R490">
        <v>184.09</v>
      </c>
      <c r="S490">
        <v>32.15</v>
      </c>
      <c r="T490">
        <v>31.46</v>
      </c>
      <c r="U490">
        <v>937.93</v>
      </c>
      <c r="V490">
        <v>6631.04</v>
      </c>
      <c r="W490">
        <v>3174.71</v>
      </c>
      <c r="X490">
        <v>617.42999999999995</v>
      </c>
      <c r="Y490">
        <v>12980.54</v>
      </c>
      <c r="Z490">
        <v>103.2</v>
      </c>
    </row>
    <row r="491" spans="1:26" x14ac:dyDescent="0.25">
      <c r="A491" t="s">
        <v>241</v>
      </c>
      <c r="B491" t="s">
        <v>242</v>
      </c>
      <c r="C491" t="s">
        <v>243</v>
      </c>
      <c r="D491">
        <v>573.52</v>
      </c>
      <c r="E491">
        <v>500.24</v>
      </c>
      <c r="F491">
        <v>38.58</v>
      </c>
      <c r="G491">
        <v>120.68</v>
      </c>
      <c r="H491">
        <v>2198.6</v>
      </c>
      <c r="I491">
        <v>1057.5999999999999</v>
      </c>
      <c r="J491">
        <v>266.13</v>
      </c>
      <c r="K491">
        <v>102</v>
      </c>
      <c r="L491">
        <v>7.17</v>
      </c>
      <c r="M491">
        <v>16.16</v>
      </c>
      <c r="N491">
        <v>30.76</v>
      </c>
      <c r="O491">
        <v>11.62</v>
      </c>
      <c r="P491">
        <v>3.34</v>
      </c>
      <c r="Q491">
        <v>18.11</v>
      </c>
      <c r="R491">
        <v>192.16</v>
      </c>
      <c r="S491">
        <v>34.909999999999997</v>
      </c>
      <c r="T491">
        <v>63.46</v>
      </c>
      <c r="U491">
        <v>487.39</v>
      </c>
      <c r="V491" t="s">
        <v>326</v>
      </c>
      <c r="W491">
        <v>24240.62</v>
      </c>
      <c r="X491" t="s">
        <v>326</v>
      </c>
      <c r="Y491" t="s">
        <v>326</v>
      </c>
      <c r="Z491">
        <v>136.47</v>
      </c>
    </row>
    <row r="492" spans="1:26" x14ac:dyDescent="0.25">
      <c r="A492" t="s">
        <v>244</v>
      </c>
      <c r="B492" t="s">
        <v>245</v>
      </c>
      <c r="C492" t="s">
        <v>246</v>
      </c>
      <c r="D492">
        <v>847.12</v>
      </c>
      <c r="E492" t="s">
        <v>327</v>
      </c>
      <c r="F492">
        <v>10.73</v>
      </c>
      <c r="G492">
        <v>9.4499999999999993</v>
      </c>
      <c r="H492" t="s">
        <v>327</v>
      </c>
      <c r="I492">
        <v>158.22</v>
      </c>
      <c r="J492">
        <v>70.64</v>
      </c>
      <c r="K492" t="s">
        <v>327</v>
      </c>
      <c r="L492">
        <v>5.13</v>
      </c>
      <c r="M492" t="s">
        <v>327</v>
      </c>
      <c r="N492" t="s">
        <v>327</v>
      </c>
      <c r="O492">
        <v>2.81</v>
      </c>
      <c r="P492">
        <v>1.37</v>
      </c>
      <c r="Q492" t="s">
        <v>327</v>
      </c>
      <c r="R492">
        <v>8.26</v>
      </c>
      <c r="S492">
        <v>11.73</v>
      </c>
      <c r="T492">
        <v>26.41</v>
      </c>
      <c r="U492">
        <v>64.28</v>
      </c>
      <c r="V492">
        <v>236.32</v>
      </c>
      <c r="W492">
        <v>207.44</v>
      </c>
      <c r="X492">
        <v>29.61</v>
      </c>
      <c r="Y492">
        <v>3897.64</v>
      </c>
      <c r="Z492">
        <v>20.7</v>
      </c>
    </row>
    <row r="493" spans="1:26" x14ac:dyDescent="0.25">
      <c r="A493" t="s">
        <v>247</v>
      </c>
      <c r="B493" t="s">
        <v>248</v>
      </c>
      <c r="C493" t="s">
        <v>249</v>
      </c>
      <c r="D493">
        <v>398.95</v>
      </c>
      <c r="E493" t="s">
        <v>327</v>
      </c>
      <c r="F493" t="s">
        <v>327</v>
      </c>
      <c r="G493">
        <v>9.83</v>
      </c>
      <c r="H493" t="s">
        <v>327</v>
      </c>
      <c r="I493">
        <v>167.11</v>
      </c>
      <c r="J493">
        <v>48.15</v>
      </c>
      <c r="K493">
        <v>63.23</v>
      </c>
      <c r="L493">
        <v>7.49</v>
      </c>
      <c r="M493" t="s">
        <v>327</v>
      </c>
      <c r="N493">
        <v>3.15</v>
      </c>
      <c r="O493">
        <v>3.21</v>
      </c>
      <c r="P493" t="s">
        <v>327</v>
      </c>
      <c r="Q493">
        <v>4.72</v>
      </c>
      <c r="R493">
        <v>8.26</v>
      </c>
      <c r="S493">
        <v>9.23</v>
      </c>
      <c r="T493">
        <v>12.15</v>
      </c>
      <c r="U493">
        <v>26.25</v>
      </c>
      <c r="V493">
        <v>229.27</v>
      </c>
      <c r="W493">
        <v>142.16</v>
      </c>
      <c r="X493">
        <v>21.67</v>
      </c>
      <c r="Y493">
        <v>710.19</v>
      </c>
      <c r="Z493">
        <v>25.39</v>
      </c>
    </row>
    <row r="494" spans="1:26" x14ac:dyDescent="0.25">
      <c r="A494" t="s">
        <v>250</v>
      </c>
      <c r="B494" t="s">
        <v>251</v>
      </c>
      <c r="C494" t="s">
        <v>252</v>
      </c>
      <c r="D494">
        <v>839.71</v>
      </c>
      <c r="E494" t="s">
        <v>327</v>
      </c>
      <c r="F494">
        <v>15.8</v>
      </c>
      <c r="G494">
        <v>12.39</v>
      </c>
      <c r="H494" t="s">
        <v>327</v>
      </c>
      <c r="I494">
        <v>122.99</v>
      </c>
      <c r="J494">
        <v>51.91</v>
      </c>
      <c r="K494">
        <v>44.18</v>
      </c>
      <c r="L494">
        <v>5.49</v>
      </c>
      <c r="M494" t="s">
        <v>327</v>
      </c>
      <c r="N494">
        <v>3.85</v>
      </c>
      <c r="O494">
        <v>3.48</v>
      </c>
      <c r="P494">
        <v>0.82</v>
      </c>
      <c r="Q494">
        <v>2</v>
      </c>
      <c r="R494">
        <v>8.7200000000000006</v>
      </c>
      <c r="S494">
        <v>12.19</v>
      </c>
      <c r="T494">
        <v>14.77</v>
      </c>
      <c r="U494">
        <v>38.049999999999997</v>
      </c>
      <c r="V494">
        <v>216.33</v>
      </c>
      <c r="W494">
        <v>209.15</v>
      </c>
      <c r="X494">
        <v>35.1</v>
      </c>
      <c r="Y494">
        <v>5240.79</v>
      </c>
      <c r="Z494">
        <v>21.87</v>
      </c>
    </row>
    <row r="495" spans="1:26" x14ac:dyDescent="0.25">
      <c r="A495" t="s">
        <v>253</v>
      </c>
      <c r="B495" t="s">
        <v>254</v>
      </c>
      <c r="C495" t="s">
        <v>255</v>
      </c>
      <c r="D495">
        <v>1651.92</v>
      </c>
      <c r="E495">
        <v>48.96</v>
      </c>
      <c r="F495">
        <v>24.5</v>
      </c>
      <c r="G495">
        <v>13.04</v>
      </c>
      <c r="H495">
        <v>23.73</v>
      </c>
      <c r="I495">
        <v>635.91999999999996</v>
      </c>
      <c r="J495">
        <v>43.14</v>
      </c>
      <c r="K495">
        <v>51.96</v>
      </c>
      <c r="L495">
        <v>2.12</v>
      </c>
      <c r="M495">
        <v>6.39</v>
      </c>
      <c r="N495">
        <v>3.5</v>
      </c>
      <c r="O495">
        <v>5.28</v>
      </c>
      <c r="P495">
        <v>2.1800000000000002</v>
      </c>
      <c r="Q495">
        <v>9.67</v>
      </c>
      <c r="R495">
        <v>68.88</v>
      </c>
      <c r="S495">
        <v>9</v>
      </c>
      <c r="T495">
        <v>13.12</v>
      </c>
      <c r="U495">
        <v>185.25</v>
      </c>
      <c r="V495">
        <v>1554.33</v>
      </c>
      <c r="W495">
        <v>611.97</v>
      </c>
      <c r="X495">
        <v>92.77</v>
      </c>
      <c r="Y495">
        <v>4315.6000000000004</v>
      </c>
      <c r="Z495">
        <v>26.57</v>
      </c>
    </row>
    <row r="496" spans="1:26" x14ac:dyDescent="0.25">
      <c r="A496" t="s">
        <v>256</v>
      </c>
      <c r="B496" t="s">
        <v>257</v>
      </c>
      <c r="C496" t="s">
        <v>258</v>
      </c>
      <c r="D496">
        <v>472.07</v>
      </c>
      <c r="E496" t="s">
        <v>327</v>
      </c>
      <c r="F496" t="s">
        <v>327</v>
      </c>
      <c r="G496">
        <v>6.14</v>
      </c>
      <c r="H496" t="s">
        <v>327</v>
      </c>
      <c r="I496">
        <v>190.46</v>
      </c>
      <c r="J496">
        <v>61.91</v>
      </c>
      <c r="K496" t="s">
        <v>327</v>
      </c>
      <c r="L496">
        <v>4.67</v>
      </c>
      <c r="M496" t="s">
        <v>327</v>
      </c>
      <c r="N496" t="s">
        <v>327</v>
      </c>
      <c r="O496">
        <v>2.41</v>
      </c>
      <c r="P496">
        <v>0.9</v>
      </c>
      <c r="Q496" t="s">
        <v>327</v>
      </c>
      <c r="R496">
        <v>8.9600000000000009</v>
      </c>
      <c r="S496">
        <v>9.4499999999999993</v>
      </c>
      <c r="T496">
        <v>12.02</v>
      </c>
      <c r="U496">
        <v>59.86</v>
      </c>
      <c r="V496">
        <v>129.57</v>
      </c>
      <c r="W496">
        <v>83.66</v>
      </c>
      <c r="X496">
        <v>10.69</v>
      </c>
      <c r="Y496">
        <v>1966.47</v>
      </c>
      <c r="Z496">
        <v>19.55</v>
      </c>
    </row>
    <row r="497" spans="1:26" x14ac:dyDescent="0.25">
      <c r="A497" t="s">
        <v>259</v>
      </c>
      <c r="B497" t="s">
        <v>260</v>
      </c>
      <c r="C497" t="s">
        <v>261</v>
      </c>
      <c r="D497">
        <v>784.24</v>
      </c>
      <c r="E497" t="s">
        <v>327</v>
      </c>
      <c r="F497" t="s">
        <v>327</v>
      </c>
      <c r="G497">
        <v>6.5</v>
      </c>
      <c r="H497" t="s">
        <v>327</v>
      </c>
      <c r="I497">
        <v>56.01</v>
      </c>
      <c r="J497">
        <v>38.130000000000003</v>
      </c>
      <c r="K497" t="s">
        <v>327</v>
      </c>
      <c r="L497">
        <v>5.8</v>
      </c>
      <c r="M497" t="s">
        <v>327</v>
      </c>
      <c r="N497" t="s">
        <v>327</v>
      </c>
      <c r="O497">
        <v>1.9</v>
      </c>
      <c r="P497">
        <v>1.22</v>
      </c>
      <c r="Q497" t="s">
        <v>327</v>
      </c>
      <c r="R497">
        <v>3.99</v>
      </c>
      <c r="S497" t="s">
        <v>327</v>
      </c>
      <c r="T497">
        <v>10.91</v>
      </c>
      <c r="U497">
        <v>24.33</v>
      </c>
      <c r="V497">
        <v>210.47</v>
      </c>
      <c r="W497">
        <v>85.86</v>
      </c>
      <c r="X497">
        <v>10.51</v>
      </c>
      <c r="Y497">
        <v>1688.7</v>
      </c>
      <c r="Z497">
        <v>13.86</v>
      </c>
    </row>
    <row r="498" spans="1:26" x14ac:dyDescent="0.25">
      <c r="A498" t="s">
        <v>262</v>
      </c>
      <c r="B498" t="s">
        <v>263</v>
      </c>
      <c r="C498" t="s">
        <v>264</v>
      </c>
      <c r="D498">
        <v>1090.07</v>
      </c>
      <c r="E498">
        <v>128.58000000000001</v>
      </c>
      <c r="F498">
        <v>29.61</v>
      </c>
      <c r="G498">
        <v>26.45</v>
      </c>
      <c r="H498">
        <v>85.45</v>
      </c>
      <c r="I498">
        <v>703.13</v>
      </c>
      <c r="J498">
        <v>106.79</v>
      </c>
      <c r="K498">
        <v>51.96</v>
      </c>
      <c r="L498">
        <v>5.8</v>
      </c>
      <c r="M498">
        <v>7.74</v>
      </c>
      <c r="N498">
        <v>14.06</v>
      </c>
      <c r="O498">
        <v>3.89</v>
      </c>
      <c r="P498">
        <v>2.63</v>
      </c>
      <c r="Q498">
        <v>7.77</v>
      </c>
      <c r="R498">
        <v>46.67</v>
      </c>
      <c r="S498">
        <v>21.8</v>
      </c>
      <c r="T498">
        <v>17.989999999999998</v>
      </c>
      <c r="U498">
        <v>332.65</v>
      </c>
      <c r="V498">
        <v>2740.35</v>
      </c>
      <c r="W498">
        <v>2961.33</v>
      </c>
      <c r="X498">
        <v>581.33000000000004</v>
      </c>
      <c r="Y498">
        <v>11024.04</v>
      </c>
      <c r="Z498">
        <v>44.82</v>
      </c>
    </row>
    <row r="499" spans="1:26" x14ac:dyDescent="0.25">
      <c r="A499" t="s">
        <v>265</v>
      </c>
      <c r="B499" t="s">
        <v>266</v>
      </c>
      <c r="C499" t="s">
        <v>267</v>
      </c>
      <c r="D499">
        <v>1226.94</v>
      </c>
      <c r="E499" t="s">
        <v>327</v>
      </c>
      <c r="F499" t="s">
        <v>327</v>
      </c>
      <c r="G499">
        <v>11.74</v>
      </c>
      <c r="H499" t="s">
        <v>327</v>
      </c>
      <c r="I499">
        <v>58.46</v>
      </c>
      <c r="J499">
        <v>46.9</v>
      </c>
      <c r="K499">
        <v>72.36</v>
      </c>
      <c r="L499">
        <v>6.7</v>
      </c>
      <c r="M499" t="s">
        <v>327</v>
      </c>
      <c r="N499">
        <v>6.31</v>
      </c>
      <c r="O499">
        <v>2.41</v>
      </c>
      <c r="P499" t="s">
        <v>327</v>
      </c>
      <c r="Q499">
        <v>3.95</v>
      </c>
      <c r="R499">
        <v>7.33</v>
      </c>
      <c r="S499">
        <v>15.39</v>
      </c>
      <c r="T499">
        <v>13.53</v>
      </c>
      <c r="U499">
        <v>24.04</v>
      </c>
      <c r="V499">
        <v>163.98</v>
      </c>
      <c r="W499">
        <v>82.92</v>
      </c>
      <c r="X499">
        <v>14.16</v>
      </c>
      <c r="Y499">
        <v>3120.93</v>
      </c>
      <c r="Z499">
        <v>33.770000000000003</v>
      </c>
    </row>
    <row r="500" spans="1:26" x14ac:dyDescent="0.25">
      <c r="A500" t="s">
        <v>268</v>
      </c>
      <c r="B500" t="s">
        <v>269</v>
      </c>
      <c r="C500" t="s">
        <v>270</v>
      </c>
      <c r="D500">
        <v>780.78</v>
      </c>
      <c r="E500">
        <v>29.82</v>
      </c>
      <c r="F500">
        <v>17.29</v>
      </c>
      <c r="G500">
        <v>15.68</v>
      </c>
      <c r="H500">
        <v>48.83</v>
      </c>
      <c r="I500">
        <v>384.87</v>
      </c>
      <c r="J500">
        <v>73.760000000000005</v>
      </c>
      <c r="K500">
        <v>32.020000000000003</v>
      </c>
      <c r="L500">
        <v>4.46</v>
      </c>
      <c r="M500">
        <v>4.72</v>
      </c>
      <c r="N500" t="s">
        <v>327</v>
      </c>
      <c r="O500">
        <v>3.75</v>
      </c>
      <c r="P500">
        <v>1.1399999999999999</v>
      </c>
      <c r="Q500">
        <v>12.31</v>
      </c>
      <c r="R500">
        <v>25.34</v>
      </c>
      <c r="S500">
        <v>12.88</v>
      </c>
      <c r="T500">
        <v>14.97</v>
      </c>
      <c r="U500">
        <v>87.84</v>
      </c>
      <c r="V500">
        <v>1176.6099999999999</v>
      </c>
      <c r="W500">
        <v>4713.5600000000004</v>
      </c>
      <c r="X500">
        <v>992.71</v>
      </c>
      <c r="Y500">
        <v>7983.63</v>
      </c>
      <c r="Z500">
        <v>19.55</v>
      </c>
    </row>
    <row r="501" spans="1:26" x14ac:dyDescent="0.25">
      <c r="A501" t="s">
        <v>271</v>
      </c>
      <c r="B501" t="s">
        <v>272</v>
      </c>
      <c r="C501" t="s">
        <v>273</v>
      </c>
      <c r="D501">
        <v>1794.32</v>
      </c>
      <c r="E501" t="s">
        <v>327</v>
      </c>
      <c r="F501">
        <v>18.72</v>
      </c>
      <c r="G501">
        <v>20.02</v>
      </c>
      <c r="H501">
        <v>13.18</v>
      </c>
      <c r="I501">
        <v>675.23</v>
      </c>
      <c r="J501">
        <v>83.12</v>
      </c>
      <c r="K501">
        <v>40.21</v>
      </c>
      <c r="L501">
        <v>4.51</v>
      </c>
      <c r="M501" t="s">
        <v>327</v>
      </c>
      <c r="N501" t="s">
        <v>327</v>
      </c>
      <c r="O501">
        <v>3.75</v>
      </c>
      <c r="P501">
        <v>1.74</v>
      </c>
      <c r="Q501">
        <v>4.72</v>
      </c>
      <c r="R501">
        <v>13.72</v>
      </c>
      <c r="S501">
        <v>18.59</v>
      </c>
      <c r="T501">
        <v>15.94</v>
      </c>
      <c r="U501">
        <v>138.31</v>
      </c>
      <c r="V501">
        <v>1129</v>
      </c>
      <c r="W501">
        <v>418.99</v>
      </c>
      <c r="X501">
        <v>82.47</v>
      </c>
      <c r="Y501">
        <v>17514.87</v>
      </c>
      <c r="Z501">
        <v>26.57</v>
      </c>
    </row>
    <row r="502" spans="1:26" x14ac:dyDescent="0.25">
      <c r="A502" t="s">
        <v>274</v>
      </c>
      <c r="B502" t="s">
        <v>275</v>
      </c>
      <c r="C502" t="s">
        <v>276</v>
      </c>
      <c r="D502">
        <v>1305.69</v>
      </c>
      <c r="E502" t="s">
        <v>327</v>
      </c>
      <c r="F502" t="s">
        <v>327</v>
      </c>
      <c r="G502">
        <v>6.74</v>
      </c>
      <c r="H502" t="s">
        <v>327</v>
      </c>
      <c r="I502">
        <v>26.56</v>
      </c>
      <c r="J502">
        <v>53.78</v>
      </c>
      <c r="K502" t="s">
        <v>327</v>
      </c>
      <c r="L502">
        <v>4.97</v>
      </c>
      <c r="M502" t="s">
        <v>327</v>
      </c>
      <c r="N502" t="s">
        <v>327</v>
      </c>
      <c r="O502">
        <v>1.1499999999999999</v>
      </c>
      <c r="P502" t="s">
        <v>327</v>
      </c>
      <c r="Q502" t="s">
        <v>327</v>
      </c>
      <c r="R502">
        <v>1.71</v>
      </c>
      <c r="S502" t="s">
        <v>327</v>
      </c>
      <c r="T502">
        <v>14.91</v>
      </c>
      <c r="U502">
        <v>18.72</v>
      </c>
      <c r="V502">
        <v>226.42</v>
      </c>
      <c r="W502">
        <v>82.92</v>
      </c>
      <c r="X502">
        <v>10.77</v>
      </c>
      <c r="Y502">
        <v>619.33000000000004</v>
      </c>
      <c r="Z502">
        <v>17.25</v>
      </c>
    </row>
    <row r="503" spans="1:26" x14ac:dyDescent="0.25">
      <c r="A503" t="s">
        <v>277</v>
      </c>
      <c r="B503" t="s">
        <v>278</v>
      </c>
      <c r="C503" t="s">
        <v>279</v>
      </c>
      <c r="D503">
        <v>1421.49</v>
      </c>
      <c r="E503" t="s">
        <v>327</v>
      </c>
      <c r="F503">
        <v>10.73</v>
      </c>
      <c r="G503">
        <v>20.149999999999999</v>
      </c>
      <c r="H503" t="s">
        <v>327</v>
      </c>
      <c r="I503">
        <v>93.61</v>
      </c>
      <c r="J503">
        <v>85.61</v>
      </c>
      <c r="K503">
        <v>74.150000000000006</v>
      </c>
      <c r="L503">
        <v>9.75</v>
      </c>
      <c r="M503" t="s">
        <v>327</v>
      </c>
      <c r="N503">
        <v>22.37</v>
      </c>
      <c r="O503">
        <v>3.21</v>
      </c>
      <c r="P503" t="s">
        <v>327</v>
      </c>
      <c r="Q503">
        <v>5.0999999999999996</v>
      </c>
      <c r="R503">
        <v>8.61</v>
      </c>
      <c r="S503">
        <v>25.02</v>
      </c>
      <c r="T503">
        <v>23.34</v>
      </c>
      <c r="U503">
        <v>38.5</v>
      </c>
      <c r="V503">
        <v>172.09</v>
      </c>
      <c r="W503">
        <v>123.24</v>
      </c>
      <c r="X503">
        <v>22.37</v>
      </c>
      <c r="Y503">
        <v>1175.58</v>
      </c>
      <c r="Z503">
        <v>47.32</v>
      </c>
    </row>
    <row r="504" spans="1:26" x14ac:dyDescent="0.25">
      <c r="A504" t="s">
        <v>280</v>
      </c>
      <c r="B504" t="s">
        <v>281</v>
      </c>
      <c r="C504" t="s">
        <v>282</v>
      </c>
      <c r="D504">
        <v>293.64999999999998</v>
      </c>
      <c r="E504" t="s">
        <v>327</v>
      </c>
      <c r="F504">
        <v>15.8</v>
      </c>
      <c r="G504">
        <v>14.49</v>
      </c>
      <c r="H504" t="s">
        <v>327</v>
      </c>
      <c r="I504">
        <v>208.64</v>
      </c>
      <c r="J504">
        <v>79.38</v>
      </c>
      <c r="K504">
        <v>48.1</v>
      </c>
      <c r="L504">
        <v>5.6</v>
      </c>
      <c r="M504" t="s">
        <v>327</v>
      </c>
      <c r="N504">
        <v>10.4</v>
      </c>
      <c r="O504">
        <v>3.21</v>
      </c>
      <c r="P504" t="s">
        <v>327</v>
      </c>
      <c r="Q504">
        <v>2.78</v>
      </c>
      <c r="R504">
        <v>12.91</v>
      </c>
      <c r="S504">
        <v>17.68</v>
      </c>
      <c r="T504">
        <v>13.81</v>
      </c>
      <c r="U504">
        <v>52.79</v>
      </c>
      <c r="V504">
        <v>227.85</v>
      </c>
      <c r="W504">
        <v>224.99</v>
      </c>
      <c r="X504">
        <v>66.45</v>
      </c>
      <c r="Y504">
        <v>2319.9499999999998</v>
      </c>
      <c r="Z504">
        <v>37.42</v>
      </c>
    </row>
    <row r="505" spans="1:26" x14ac:dyDescent="0.25">
      <c r="A505" t="s">
        <v>283</v>
      </c>
      <c r="B505" t="s">
        <v>284</v>
      </c>
      <c r="C505" t="s">
        <v>285</v>
      </c>
      <c r="D505">
        <v>636.65</v>
      </c>
      <c r="E505" t="s">
        <v>327</v>
      </c>
      <c r="F505" t="s">
        <v>327</v>
      </c>
      <c r="G505">
        <v>8.08</v>
      </c>
      <c r="H505" t="s">
        <v>327</v>
      </c>
      <c r="I505">
        <v>30.14</v>
      </c>
      <c r="J505">
        <v>35.619999999999997</v>
      </c>
      <c r="K505" t="s">
        <v>327</v>
      </c>
      <c r="L505">
        <v>5.54</v>
      </c>
      <c r="M505" t="s">
        <v>327</v>
      </c>
      <c r="N505">
        <v>3.38</v>
      </c>
      <c r="O505">
        <v>2.41</v>
      </c>
      <c r="P505">
        <v>1.26</v>
      </c>
      <c r="Q505" t="s">
        <v>327</v>
      </c>
      <c r="R505">
        <v>3.32</v>
      </c>
      <c r="S505">
        <v>13.56</v>
      </c>
      <c r="T505">
        <v>14.91</v>
      </c>
      <c r="U505">
        <v>38.94</v>
      </c>
      <c r="V505">
        <v>102.96</v>
      </c>
      <c r="W505">
        <v>99.72</v>
      </c>
      <c r="X505">
        <v>9.9600000000000009</v>
      </c>
      <c r="Y505">
        <v>856.34</v>
      </c>
      <c r="Z505">
        <v>13.86</v>
      </c>
    </row>
    <row r="506" spans="1:26" x14ac:dyDescent="0.25">
      <c r="A506" t="s">
        <v>286</v>
      </c>
      <c r="B506" t="s">
        <v>287</v>
      </c>
      <c r="C506" t="s">
        <v>288</v>
      </c>
      <c r="D506">
        <v>1090.5999999999999</v>
      </c>
      <c r="E506" t="s">
        <v>327</v>
      </c>
      <c r="F506">
        <v>8.7200000000000006</v>
      </c>
      <c r="G506">
        <v>20.7</v>
      </c>
      <c r="H506" t="s">
        <v>327</v>
      </c>
      <c r="I506">
        <v>53.57</v>
      </c>
      <c r="J506">
        <v>75.63</v>
      </c>
      <c r="K506">
        <v>66.91</v>
      </c>
      <c r="L506">
        <v>6.43</v>
      </c>
      <c r="M506" t="s">
        <v>327</v>
      </c>
      <c r="N506">
        <v>13.54</v>
      </c>
      <c r="O506">
        <v>2.68</v>
      </c>
      <c r="P506">
        <v>1.26</v>
      </c>
      <c r="Q506">
        <v>5.49</v>
      </c>
      <c r="R506">
        <v>7.85</v>
      </c>
      <c r="S506">
        <v>21.8</v>
      </c>
      <c r="T506">
        <v>18.059999999999999</v>
      </c>
      <c r="U506">
        <v>44.84</v>
      </c>
      <c r="V506">
        <v>530.16</v>
      </c>
      <c r="W506">
        <v>113.7</v>
      </c>
      <c r="X506">
        <v>7.05</v>
      </c>
      <c r="Y506">
        <v>667.28</v>
      </c>
      <c r="Z506">
        <v>30.15</v>
      </c>
    </row>
    <row r="507" spans="1:26" x14ac:dyDescent="0.25">
      <c r="A507" t="s">
        <v>289</v>
      </c>
      <c r="B507" t="s">
        <v>290</v>
      </c>
      <c r="C507" t="s">
        <v>291</v>
      </c>
      <c r="D507">
        <v>735.05</v>
      </c>
      <c r="E507" t="s">
        <v>327</v>
      </c>
      <c r="F507" t="s">
        <v>327</v>
      </c>
      <c r="G507">
        <v>5.67</v>
      </c>
      <c r="H507" t="s">
        <v>327</v>
      </c>
      <c r="I507">
        <v>155.87</v>
      </c>
      <c r="J507">
        <v>62.53</v>
      </c>
      <c r="K507" t="s">
        <v>327</v>
      </c>
      <c r="L507">
        <v>5.8</v>
      </c>
      <c r="M507" t="s">
        <v>327</v>
      </c>
      <c r="N507" t="s">
        <v>327</v>
      </c>
      <c r="O507">
        <v>2.15</v>
      </c>
      <c r="P507" t="s">
        <v>327</v>
      </c>
      <c r="Q507" t="s">
        <v>327</v>
      </c>
      <c r="R507">
        <v>5.27</v>
      </c>
      <c r="S507">
        <v>8.09</v>
      </c>
      <c r="T507">
        <v>19.37</v>
      </c>
      <c r="U507">
        <v>32.15</v>
      </c>
      <c r="V507">
        <v>147.21</v>
      </c>
      <c r="W507">
        <v>113.09</v>
      </c>
      <c r="X507">
        <v>9.0500000000000007</v>
      </c>
      <c r="Y507">
        <v>833.08</v>
      </c>
      <c r="Z507">
        <v>14.42</v>
      </c>
    </row>
    <row r="508" spans="1:26" x14ac:dyDescent="0.25">
      <c r="A508" t="s">
        <v>292</v>
      </c>
      <c r="B508" t="s">
        <v>293</v>
      </c>
      <c r="C508" t="s">
        <v>294</v>
      </c>
      <c r="D508">
        <v>487.55</v>
      </c>
      <c r="E508" t="s">
        <v>327</v>
      </c>
      <c r="F508" t="s">
        <v>327</v>
      </c>
      <c r="G508">
        <v>8.6999999999999993</v>
      </c>
      <c r="H508" t="s">
        <v>327</v>
      </c>
      <c r="I508">
        <v>99.32</v>
      </c>
      <c r="J508">
        <v>51.91</v>
      </c>
      <c r="K508" t="s">
        <v>327</v>
      </c>
      <c r="L508">
        <v>4.7699999999999996</v>
      </c>
      <c r="M508" t="s">
        <v>327</v>
      </c>
      <c r="N508" t="s">
        <v>327</v>
      </c>
      <c r="O508">
        <v>2.15</v>
      </c>
      <c r="P508" t="s">
        <v>327</v>
      </c>
      <c r="Q508" t="s">
        <v>327</v>
      </c>
      <c r="R508">
        <v>9.14</v>
      </c>
      <c r="S508" t="s">
        <v>327</v>
      </c>
      <c r="T508">
        <v>15.32</v>
      </c>
      <c r="U508">
        <v>28.91</v>
      </c>
      <c r="V508">
        <v>122.23</v>
      </c>
      <c r="W508">
        <v>73.680000000000007</v>
      </c>
      <c r="X508">
        <v>9.01</v>
      </c>
      <c r="Y508">
        <v>1090.97</v>
      </c>
      <c r="Z508">
        <v>18.399999999999999</v>
      </c>
    </row>
    <row r="509" spans="1:26" x14ac:dyDescent="0.25">
      <c r="A509" t="s">
        <v>295</v>
      </c>
      <c r="B509" t="s">
        <v>296</v>
      </c>
      <c r="C509" t="s">
        <v>297</v>
      </c>
      <c r="D509">
        <v>830.82</v>
      </c>
      <c r="E509" t="s">
        <v>327</v>
      </c>
      <c r="F509" t="s">
        <v>327</v>
      </c>
      <c r="G509">
        <v>9.1999999999999993</v>
      </c>
      <c r="H509" t="s">
        <v>327</v>
      </c>
      <c r="I509">
        <v>113.54</v>
      </c>
      <c r="J509">
        <v>47.53</v>
      </c>
      <c r="K509">
        <v>32.020000000000003</v>
      </c>
      <c r="L509">
        <v>6.22</v>
      </c>
      <c r="M509" t="s">
        <v>327</v>
      </c>
      <c r="N509">
        <v>4.3</v>
      </c>
      <c r="O509">
        <v>2.41</v>
      </c>
      <c r="P509" t="s">
        <v>327</v>
      </c>
      <c r="Q509" t="s">
        <v>327</v>
      </c>
      <c r="R509">
        <v>7.36</v>
      </c>
      <c r="S509">
        <v>9.4499999999999993</v>
      </c>
      <c r="T509">
        <v>12.84</v>
      </c>
      <c r="U509">
        <v>23.3</v>
      </c>
      <c r="V509">
        <v>180.04</v>
      </c>
      <c r="W509">
        <v>95.7</v>
      </c>
      <c r="X509">
        <v>7.76</v>
      </c>
      <c r="Y509">
        <v>556.97</v>
      </c>
      <c r="Z509">
        <v>17.25</v>
      </c>
    </row>
    <row r="510" spans="1:26" x14ac:dyDescent="0.25">
      <c r="A510" t="s">
        <v>298</v>
      </c>
      <c r="B510" t="s">
        <v>299</v>
      </c>
      <c r="C510" t="s">
        <v>300</v>
      </c>
      <c r="D510">
        <v>562.46</v>
      </c>
      <c r="E510">
        <v>139.51</v>
      </c>
      <c r="F510">
        <v>12.54</v>
      </c>
      <c r="G510">
        <v>17.29</v>
      </c>
      <c r="H510" t="s">
        <v>327</v>
      </c>
      <c r="I510">
        <v>289.2</v>
      </c>
      <c r="J510">
        <v>64.400000000000006</v>
      </c>
      <c r="K510" t="s">
        <v>327</v>
      </c>
      <c r="L510">
        <v>4.3099999999999996</v>
      </c>
      <c r="M510" t="s">
        <v>327</v>
      </c>
      <c r="N510">
        <v>4.1900000000000004</v>
      </c>
      <c r="O510">
        <v>1.03</v>
      </c>
      <c r="P510" t="s">
        <v>327</v>
      </c>
      <c r="Q510">
        <v>8.15</v>
      </c>
      <c r="R510">
        <v>13.63</v>
      </c>
      <c r="S510">
        <v>9.91</v>
      </c>
      <c r="T510">
        <v>14.77</v>
      </c>
      <c r="U510">
        <v>478.32</v>
      </c>
      <c r="V510">
        <v>749.9</v>
      </c>
      <c r="W510">
        <v>197.03</v>
      </c>
      <c r="X510">
        <v>15.05</v>
      </c>
      <c r="Y510">
        <v>1462.27</v>
      </c>
      <c r="Z510">
        <v>25.98</v>
      </c>
    </row>
    <row r="511" spans="1:26" x14ac:dyDescent="0.25">
      <c r="A511" t="s">
        <v>301</v>
      </c>
      <c r="B511" t="s">
        <v>302</v>
      </c>
      <c r="C511" t="s">
        <v>303</v>
      </c>
      <c r="D511">
        <v>414.74</v>
      </c>
      <c r="E511" t="s">
        <v>327</v>
      </c>
      <c r="F511" t="s">
        <v>327</v>
      </c>
      <c r="G511">
        <v>7.47</v>
      </c>
      <c r="H511" t="s">
        <v>327</v>
      </c>
      <c r="I511">
        <v>52.09</v>
      </c>
      <c r="J511">
        <v>40.64</v>
      </c>
      <c r="K511" t="s">
        <v>327</v>
      </c>
      <c r="L511">
        <v>6.8</v>
      </c>
      <c r="M511" t="s">
        <v>327</v>
      </c>
      <c r="N511" t="s">
        <v>327</v>
      </c>
      <c r="O511">
        <v>2.2799999999999998</v>
      </c>
      <c r="P511">
        <v>1.3</v>
      </c>
      <c r="Q511" t="s">
        <v>327</v>
      </c>
      <c r="R511">
        <v>4.75</v>
      </c>
      <c r="S511">
        <v>9</v>
      </c>
      <c r="T511">
        <v>9.6</v>
      </c>
      <c r="U511">
        <v>27.14</v>
      </c>
      <c r="V511">
        <v>186.29</v>
      </c>
      <c r="W511">
        <v>112.48</v>
      </c>
      <c r="X511">
        <v>9.48</v>
      </c>
      <c r="Y511">
        <v>903.85</v>
      </c>
      <c r="Z511">
        <v>17.25</v>
      </c>
    </row>
    <row r="512" spans="1:26" x14ac:dyDescent="0.25">
      <c r="A512" t="s">
        <v>304</v>
      </c>
      <c r="B512" t="s">
        <v>305</v>
      </c>
      <c r="C512" t="s">
        <v>306</v>
      </c>
      <c r="D512">
        <v>1500.25</v>
      </c>
      <c r="E512" t="s">
        <v>327</v>
      </c>
      <c r="F512">
        <v>11.65</v>
      </c>
      <c r="G512">
        <v>23.34</v>
      </c>
      <c r="H512">
        <v>13.61</v>
      </c>
      <c r="I512">
        <v>411.56</v>
      </c>
      <c r="J512">
        <v>76.88</v>
      </c>
      <c r="K512">
        <v>81.27</v>
      </c>
      <c r="L512">
        <v>6.64</v>
      </c>
      <c r="M512" t="s">
        <v>327</v>
      </c>
      <c r="N512">
        <v>25.84</v>
      </c>
      <c r="O512">
        <v>3.21</v>
      </c>
      <c r="P512">
        <v>1.37</v>
      </c>
      <c r="Q512">
        <v>3.95</v>
      </c>
      <c r="R512">
        <v>9.52</v>
      </c>
      <c r="S512">
        <v>36.53</v>
      </c>
      <c r="T512">
        <v>26.75</v>
      </c>
      <c r="U512">
        <v>44.25</v>
      </c>
      <c r="V512">
        <v>159.03</v>
      </c>
      <c r="W512">
        <v>189</v>
      </c>
      <c r="X512">
        <v>26.16</v>
      </c>
      <c r="Y512">
        <v>2700.85</v>
      </c>
      <c r="Z512">
        <v>36.200000000000003</v>
      </c>
    </row>
    <row r="513" spans="1:26" x14ac:dyDescent="0.25">
      <c r="A513" t="s">
        <v>307</v>
      </c>
      <c r="B513" t="s">
        <v>308</v>
      </c>
      <c r="C513" t="s">
        <v>309</v>
      </c>
      <c r="D513">
        <v>543.72</v>
      </c>
      <c r="E513" t="s">
        <v>327</v>
      </c>
      <c r="F513" t="s">
        <v>327</v>
      </c>
      <c r="G513">
        <v>3.71</v>
      </c>
      <c r="H513" t="s">
        <v>327</v>
      </c>
      <c r="I513">
        <v>54.06</v>
      </c>
      <c r="J513" t="s">
        <v>327</v>
      </c>
      <c r="K513" t="s">
        <v>327</v>
      </c>
      <c r="L513">
        <v>3.3</v>
      </c>
      <c r="M513" t="s">
        <v>327</v>
      </c>
      <c r="N513" t="s">
        <v>327</v>
      </c>
      <c r="O513">
        <v>1.1499999999999999</v>
      </c>
      <c r="P513" t="s">
        <v>327</v>
      </c>
      <c r="Q513" t="s">
        <v>327</v>
      </c>
      <c r="R513">
        <v>1.66</v>
      </c>
      <c r="S513" t="s">
        <v>327</v>
      </c>
      <c r="T513">
        <v>8.57</v>
      </c>
      <c r="U513">
        <v>42.77</v>
      </c>
      <c r="V513">
        <v>213.41</v>
      </c>
      <c r="W513">
        <v>82.92</v>
      </c>
      <c r="X513">
        <v>16.55</v>
      </c>
      <c r="Y513">
        <v>1207.1099999999999</v>
      </c>
      <c r="Z513">
        <v>10.54</v>
      </c>
    </row>
    <row r="514" spans="1:26" x14ac:dyDescent="0.25">
      <c r="A514" t="s">
        <v>310</v>
      </c>
      <c r="B514" t="s">
        <v>311</v>
      </c>
      <c r="C514" t="s">
        <v>312</v>
      </c>
      <c r="D514">
        <v>224.02</v>
      </c>
      <c r="E514" t="s">
        <v>327</v>
      </c>
      <c r="F514" t="s">
        <v>327</v>
      </c>
      <c r="G514">
        <v>20.29</v>
      </c>
      <c r="H514" t="s">
        <v>327</v>
      </c>
      <c r="I514">
        <v>173.65</v>
      </c>
      <c r="J514">
        <v>66.900000000000006</v>
      </c>
      <c r="K514">
        <v>55.76</v>
      </c>
      <c r="L514">
        <v>4.7699999999999996</v>
      </c>
      <c r="M514" t="s">
        <v>327</v>
      </c>
      <c r="N514">
        <v>4.9800000000000004</v>
      </c>
      <c r="O514">
        <v>1.1499999999999999</v>
      </c>
      <c r="P514" t="s">
        <v>327</v>
      </c>
      <c r="Q514">
        <v>3.75</v>
      </c>
      <c r="R514">
        <v>7.02</v>
      </c>
      <c r="S514">
        <v>20.89</v>
      </c>
      <c r="T514">
        <v>17.79</v>
      </c>
      <c r="U514">
        <v>83.13</v>
      </c>
      <c r="V514">
        <v>167.24</v>
      </c>
      <c r="W514" t="s">
        <v>327</v>
      </c>
      <c r="X514">
        <v>1.26</v>
      </c>
      <c r="Y514">
        <v>908.25</v>
      </c>
      <c r="Z514">
        <v>26.57</v>
      </c>
    </row>
    <row r="515" spans="1:26" x14ac:dyDescent="0.25">
      <c r="A515" t="s">
        <v>313</v>
      </c>
      <c r="B515" t="s">
        <v>314</v>
      </c>
      <c r="C515" t="s">
        <v>315</v>
      </c>
      <c r="D515">
        <v>646.17999999999995</v>
      </c>
      <c r="E515" t="s">
        <v>327</v>
      </c>
      <c r="F515" t="s">
        <v>327</v>
      </c>
      <c r="G515">
        <v>8.9499999999999993</v>
      </c>
      <c r="H515" t="s">
        <v>327</v>
      </c>
      <c r="I515">
        <v>121.1</v>
      </c>
      <c r="J515">
        <v>48.15</v>
      </c>
      <c r="K515">
        <v>46.15</v>
      </c>
      <c r="L515">
        <v>5.7</v>
      </c>
      <c r="M515" t="s">
        <v>327</v>
      </c>
      <c r="N515">
        <v>2.68</v>
      </c>
      <c r="O515">
        <v>0.91</v>
      </c>
      <c r="P515">
        <v>1.65</v>
      </c>
      <c r="Q515" t="s">
        <v>327</v>
      </c>
      <c r="R515">
        <v>5.81</v>
      </c>
      <c r="S515">
        <v>8.5399999999999991</v>
      </c>
      <c r="T515">
        <v>11.4</v>
      </c>
      <c r="U515">
        <v>26.25</v>
      </c>
      <c r="V515">
        <v>180.04</v>
      </c>
      <c r="W515">
        <v>65.38</v>
      </c>
      <c r="X515">
        <v>9.74</v>
      </c>
      <c r="Y515">
        <v>1064.58</v>
      </c>
      <c r="Z515">
        <v>12.75</v>
      </c>
    </row>
    <row r="516" spans="1:26" x14ac:dyDescent="0.25">
      <c r="A516" t="s">
        <v>316</v>
      </c>
      <c r="B516" t="s">
        <v>317</v>
      </c>
      <c r="C516" t="s">
        <v>318</v>
      </c>
      <c r="D516">
        <v>1040.93</v>
      </c>
      <c r="E516" t="s">
        <v>327</v>
      </c>
      <c r="F516">
        <v>10.73</v>
      </c>
      <c r="G516">
        <v>14.35</v>
      </c>
      <c r="H516" t="s">
        <v>327</v>
      </c>
      <c r="I516">
        <v>57.97</v>
      </c>
      <c r="J516">
        <v>53.16</v>
      </c>
      <c r="K516">
        <v>32.020000000000003</v>
      </c>
      <c r="L516">
        <v>6.8</v>
      </c>
      <c r="M516" t="s">
        <v>327</v>
      </c>
      <c r="N516">
        <v>3.15</v>
      </c>
      <c r="O516">
        <v>2.68</v>
      </c>
      <c r="P516" t="s">
        <v>327</v>
      </c>
      <c r="Q516">
        <v>2.78</v>
      </c>
      <c r="R516">
        <v>9.19</v>
      </c>
      <c r="S516">
        <v>11.73</v>
      </c>
      <c r="T516">
        <v>13.12</v>
      </c>
      <c r="U516">
        <v>149.93</v>
      </c>
      <c r="V516">
        <v>206.03</v>
      </c>
      <c r="W516">
        <v>117.34</v>
      </c>
      <c r="X516">
        <v>14.84</v>
      </c>
      <c r="Y516">
        <v>1602.67</v>
      </c>
      <c r="Z516">
        <v>19.55</v>
      </c>
    </row>
    <row r="517" spans="1:26" x14ac:dyDescent="0.25">
      <c r="A517" t="s">
        <v>319</v>
      </c>
      <c r="B517" t="s">
        <v>320</v>
      </c>
      <c r="C517" t="s">
        <v>321</v>
      </c>
      <c r="D517">
        <v>840.71</v>
      </c>
      <c r="E517" t="s">
        <v>327</v>
      </c>
      <c r="F517">
        <v>14.22</v>
      </c>
      <c r="G517">
        <v>26.16</v>
      </c>
      <c r="H517">
        <v>8.3800000000000008</v>
      </c>
      <c r="I517">
        <v>166.17</v>
      </c>
      <c r="J517">
        <v>100.56</v>
      </c>
      <c r="K517">
        <v>63.23</v>
      </c>
      <c r="L517">
        <v>6.85</v>
      </c>
      <c r="M517" t="s">
        <v>327</v>
      </c>
      <c r="N517">
        <v>35.729999999999997</v>
      </c>
      <c r="O517">
        <v>3.75</v>
      </c>
      <c r="P517">
        <v>0.75</v>
      </c>
      <c r="Q517">
        <v>7.01</v>
      </c>
      <c r="R517">
        <v>12.13</v>
      </c>
      <c r="S517">
        <v>33.299999999999997</v>
      </c>
      <c r="T517">
        <v>40.049999999999997</v>
      </c>
      <c r="U517">
        <v>82.54</v>
      </c>
      <c r="V517">
        <v>354.99</v>
      </c>
      <c r="W517">
        <v>140.01</v>
      </c>
      <c r="X517">
        <v>15.96</v>
      </c>
      <c r="Y517">
        <v>1589.97</v>
      </c>
      <c r="Z517">
        <v>42.34</v>
      </c>
    </row>
    <row r="523" spans="1:26" x14ac:dyDescent="0.25">
      <c r="A523" s="1"/>
      <c r="B523" s="1"/>
      <c r="C523" s="1"/>
      <c r="D523" s="1" t="s">
        <v>6</v>
      </c>
      <c r="E523" s="1" t="s">
        <v>7</v>
      </c>
      <c r="F523" s="1" t="s">
        <v>8</v>
      </c>
      <c r="G523" s="1" t="s">
        <v>9</v>
      </c>
      <c r="H523" s="1" t="s">
        <v>10</v>
      </c>
      <c r="I523" s="1" t="s">
        <v>11</v>
      </c>
      <c r="J523" s="1" t="s">
        <v>12</v>
      </c>
      <c r="K523" s="1" t="s">
        <v>13</v>
      </c>
      <c r="L523" s="1" t="s">
        <v>14</v>
      </c>
      <c r="M523" s="1" t="s">
        <v>15</v>
      </c>
      <c r="N523" s="1" t="s">
        <v>16</v>
      </c>
      <c r="O523" s="1" t="s">
        <v>17</v>
      </c>
      <c r="P523" s="1" t="s">
        <v>18</v>
      </c>
      <c r="Q523" s="1" t="s">
        <v>19</v>
      </c>
      <c r="R523" s="1" t="s">
        <v>20</v>
      </c>
      <c r="S523" s="1" t="s">
        <v>21</v>
      </c>
      <c r="T523" s="1" t="s">
        <v>22</v>
      </c>
      <c r="U523" s="1" t="s">
        <v>23</v>
      </c>
      <c r="V523" s="1" t="s">
        <v>24</v>
      </c>
      <c r="W523" s="1" t="s">
        <v>25</v>
      </c>
      <c r="X523" s="1" t="s">
        <v>26</v>
      </c>
      <c r="Y523" s="1" t="s">
        <v>27</v>
      </c>
      <c r="Z523" s="1" t="s">
        <v>28</v>
      </c>
    </row>
    <row r="524" spans="1:26" x14ac:dyDescent="0.25">
      <c r="A524" s="1" t="s">
        <v>29</v>
      </c>
      <c r="B524" s="1" t="s">
        <v>30</v>
      </c>
      <c r="C524" s="1" t="s">
        <v>31</v>
      </c>
      <c r="D524" s="1" t="s">
        <v>328</v>
      </c>
      <c r="E524" s="1" t="s">
        <v>328</v>
      </c>
      <c r="F524" s="1" t="s">
        <v>328</v>
      </c>
      <c r="G524" s="1" t="s">
        <v>328</v>
      </c>
      <c r="H524" s="1" t="s">
        <v>328</v>
      </c>
      <c r="I524" s="1" t="s">
        <v>328</v>
      </c>
      <c r="J524" s="1" t="s">
        <v>328</v>
      </c>
      <c r="K524" s="1" t="s">
        <v>328</v>
      </c>
      <c r="L524" s="1" t="s">
        <v>328</v>
      </c>
      <c r="M524" s="1" t="s">
        <v>328</v>
      </c>
      <c r="N524" s="1" t="s">
        <v>328</v>
      </c>
      <c r="O524" s="1" t="s">
        <v>328</v>
      </c>
      <c r="P524" s="1" t="s">
        <v>328</v>
      </c>
      <c r="Q524" s="1" t="s">
        <v>328</v>
      </c>
      <c r="R524" s="1" t="s">
        <v>328</v>
      </c>
      <c r="S524" s="1" t="s">
        <v>328</v>
      </c>
      <c r="T524" s="1" t="s">
        <v>328</v>
      </c>
      <c r="U524" s="1" t="s">
        <v>328</v>
      </c>
      <c r="V524" s="1" t="s">
        <v>328</v>
      </c>
      <c r="W524" s="1" t="s">
        <v>328</v>
      </c>
      <c r="X524" s="1" t="s">
        <v>328</v>
      </c>
      <c r="Y524" s="1" t="s">
        <v>328</v>
      </c>
      <c r="Z524" s="1" t="s">
        <v>328</v>
      </c>
    </row>
    <row r="525" spans="1:26" x14ac:dyDescent="0.25">
      <c r="A525" t="s">
        <v>33</v>
      </c>
      <c r="B525" t="s">
        <v>34</v>
      </c>
      <c r="C525" t="s">
        <v>35</v>
      </c>
    </row>
    <row r="526" spans="1:26" x14ac:dyDescent="0.25">
      <c r="A526" t="s">
        <v>36</v>
      </c>
      <c r="B526" t="s">
        <v>37</v>
      </c>
      <c r="C526" t="s">
        <v>38</v>
      </c>
      <c r="G526">
        <v>11854.13</v>
      </c>
      <c r="J526">
        <v>31924.85</v>
      </c>
      <c r="L526">
        <v>8088.35</v>
      </c>
      <c r="O526">
        <v>6625.75</v>
      </c>
      <c r="P526">
        <v>5253.08</v>
      </c>
      <c r="R526">
        <v>6722.01</v>
      </c>
      <c r="S526">
        <v>40134.51</v>
      </c>
      <c r="Z526">
        <v>59945.99</v>
      </c>
    </row>
    <row r="527" spans="1:26" x14ac:dyDescent="0.25">
      <c r="A527" t="s">
        <v>40</v>
      </c>
      <c r="B527" t="s">
        <v>41</v>
      </c>
      <c r="C527" t="s">
        <v>42</v>
      </c>
      <c r="D527">
        <v>7749.99</v>
      </c>
      <c r="E527">
        <v>25888.82</v>
      </c>
      <c r="F527">
        <v>19531.18</v>
      </c>
      <c r="G527">
        <v>2866.47</v>
      </c>
      <c r="H527">
        <v>14286.02</v>
      </c>
      <c r="I527">
        <v>28322.02</v>
      </c>
      <c r="J527">
        <v>8241.41</v>
      </c>
      <c r="K527">
        <v>63650.12</v>
      </c>
      <c r="L527">
        <v>1917.11</v>
      </c>
      <c r="M527">
        <v>6919.17</v>
      </c>
      <c r="N527">
        <v>5250.13</v>
      </c>
      <c r="O527">
        <v>1656.61</v>
      </c>
      <c r="P527">
        <v>1550.4</v>
      </c>
      <c r="Q527">
        <v>3838.65</v>
      </c>
      <c r="R527">
        <v>1491.56</v>
      </c>
      <c r="S527">
        <v>16085.69</v>
      </c>
      <c r="T527">
        <v>2300.44</v>
      </c>
      <c r="U527">
        <v>6528.44</v>
      </c>
      <c r="W527">
        <v>19677.8</v>
      </c>
      <c r="X527">
        <v>1984.71</v>
      </c>
      <c r="Y527">
        <v>11776.19</v>
      </c>
      <c r="Z527">
        <v>14906.35</v>
      </c>
    </row>
    <row r="528" spans="1:26" x14ac:dyDescent="0.25">
      <c r="A528" t="s">
        <v>43</v>
      </c>
      <c r="B528" t="s">
        <v>44</v>
      </c>
      <c r="C528" t="s">
        <v>45</v>
      </c>
      <c r="D528">
        <v>1903.47</v>
      </c>
      <c r="E528">
        <v>5968.41</v>
      </c>
      <c r="F528">
        <v>6098.42</v>
      </c>
      <c r="G528">
        <v>737.54</v>
      </c>
      <c r="H528">
        <v>3604.04</v>
      </c>
      <c r="I528">
        <v>6974.74</v>
      </c>
      <c r="J528">
        <v>2004.65</v>
      </c>
      <c r="K528">
        <v>16157.57</v>
      </c>
      <c r="L528">
        <v>484.55</v>
      </c>
      <c r="M528">
        <v>1576.12</v>
      </c>
      <c r="N528">
        <v>1355.99</v>
      </c>
      <c r="O528">
        <v>415.54</v>
      </c>
      <c r="P528">
        <v>342.88</v>
      </c>
      <c r="Q528">
        <v>1101.96</v>
      </c>
      <c r="R528">
        <v>404.26</v>
      </c>
      <c r="S528">
        <v>4300.22</v>
      </c>
      <c r="T528">
        <v>577.05999999999995</v>
      </c>
      <c r="U528">
        <v>1652.14</v>
      </c>
      <c r="V528">
        <v>17287.46</v>
      </c>
      <c r="W528">
        <v>4435.8500000000004</v>
      </c>
      <c r="X528">
        <v>507.07</v>
      </c>
      <c r="Y528">
        <v>2879.92</v>
      </c>
      <c r="Z528">
        <v>3790.03</v>
      </c>
    </row>
    <row r="529" spans="1:26" x14ac:dyDescent="0.25">
      <c r="A529" t="s">
        <v>46</v>
      </c>
      <c r="B529" t="s">
        <v>47</v>
      </c>
      <c r="C529" t="s">
        <v>48</v>
      </c>
      <c r="D529">
        <v>484.17</v>
      </c>
      <c r="E529">
        <v>1601.01</v>
      </c>
      <c r="F529">
        <v>1417.82</v>
      </c>
      <c r="G529">
        <v>171.43</v>
      </c>
      <c r="H529">
        <v>874.45</v>
      </c>
      <c r="I529">
        <v>1752.01</v>
      </c>
      <c r="J529">
        <v>481.53</v>
      </c>
      <c r="K529">
        <v>3965.84</v>
      </c>
      <c r="L529">
        <v>115.43</v>
      </c>
      <c r="M529">
        <v>451.68</v>
      </c>
      <c r="N529">
        <v>316.05</v>
      </c>
      <c r="O529">
        <v>100.52</v>
      </c>
      <c r="P529">
        <v>90.76</v>
      </c>
      <c r="Q529">
        <v>193.51</v>
      </c>
      <c r="R529">
        <v>87.99</v>
      </c>
      <c r="S529">
        <v>927.24</v>
      </c>
      <c r="T529">
        <v>140.6</v>
      </c>
      <c r="U529">
        <v>397.15</v>
      </c>
      <c r="V529">
        <v>4295.32</v>
      </c>
      <c r="W529">
        <v>1152.18</v>
      </c>
      <c r="X529">
        <v>123.65</v>
      </c>
      <c r="Y529">
        <v>717.13</v>
      </c>
      <c r="Z529">
        <v>905.71</v>
      </c>
    </row>
    <row r="530" spans="1:26" x14ac:dyDescent="0.25">
      <c r="A530" t="s">
        <v>49</v>
      </c>
      <c r="B530" t="s">
        <v>50</v>
      </c>
      <c r="C530" t="s">
        <v>51</v>
      </c>
      <c r="D530">
        <v>119.69</v>
      </c>
      <c r="E530">
        <v>415.58</v>
      </c>
      <c r="F530">
        <v>370.94</v>
      </c>
      <c r="G530">
        <v>48.8</v>
      </c>
      <c r="H530">
        <v>241.39</v>
      </c>
      <c r="I530">
        <v>463.2</v>
      </c>
      <c r="J530">
        <v>152.57</v>
      </c>
      <c r="K530">
        <v>1010.04</v>
      </c>
      <c r="L530">
        <v>32.909999999999997</v>
      </c>
      <c r="M530">
        <v>98.67</v>
      </c>
      <c r="N530">
        <v>90.25</v>
      </c>
      <c r="O530">
        <v>27.47</v>
      </c>
      <c r="P530">
        <v>23.36</v>
      </c>
      <c r="Q530">
        <v>71.989999999999995</v>
      </c>
      <c r="R530">
        <v>26.61</v>
      </c>
      <c r="S530">
        <v>259.67</v>
      </c>
      <c r="T530">
        <v>38.9</v>
      </c>
      <c r="U530">
        <v>111.91</v>
      </c>
      <c r="V530">
        <v>1096.81</v>
      </c>
      <c r="W530">
        <v>282.24</v>
      </c>
      <c r="X530">
        <v>31.82</v>
      </c>
      <c r="Y530">
        <v>183.76</v>
      </c>
      <c r="Z530">
        <v>230.73</v>
      </c>
    </row>
    <row r="531" spans="1:26" x14ac:dyDescent="0.25">
      <c r="A531" t="s">
        <v>52</v>
      </c>
      <c r="B531" t="s">
        <v>53</v>
      </c>
      <c r="C531" t="s">
        <v>54</v>
      </c>
      <c r="D531">
        <v>29.17</v>
      </c>
      <c r="E531">
        <v>87.65</v>
      </c>
      <c r="F531">
        <v>85.65</v>
      </c>
      <c r="G531">
        <v>11.32</v>
      </c>
      <c r="H531">
        <v>50.36</v>
      </c>
      <c r="I531">
        <v>101.53</v>
      </c>
      <c r="J531">
        <v>23.76</v>
      </c>
      <c r="K531">
        <v>253.63</v>
      </c>
      <c r="L531">
        <v>7.42</v>
      </c>
      <c r="N531">
        <v>19.079999999999998</v>
      </c>
      <c r="P531">
        <v>5.43</v>
      </c>
      <c r="Q531">
        <v>15.99</v>
      </c>
      <c r="R531">
        <v>5.88</v>
      </c>
      <c r="T531">
        <v>8.2100000000000009</v>
      </c>
      <c r="U531">
        <v>23.89</v>
      </c>
      <c r="V531">
        <v>258.08</v>
      </c>
      <c r="W531">
        <v>73.2</v>
      </c>
      <c r="X531">
        <v>7.81</v>
      </c>
      <c r="Y531">
        <v>44.79</v>
      </c>
      <c r="Z531">
        <v>69.61</v>
      </c>
    </row>
    <row r="532" spans="1:26" x14ac:dyDescent="0.25">
      <c r="A532" t="s">
        <v>55</v>
      </c>
      <c r="B532" t="s">
        <v>56</v>
      </c>
      <c r="C532" t="s">
        <v>57</v>
      </c>
      <c r="D532">
        <v>8.06</v>
      </c>
      <c r="E532">
        <v>30.22</v>
      </c>
      <c r="F532">
        <v>25.3</v>
      </c>
      <c r="G532">
        <v>2.42</v>
      </c>
      <c r="H532">
        <v>16.79</v>
      </c>
      <c r="I532">
        <v>30.45</v>
      </c>
      <c r="J532">
        <v>10.25</v>
      </c>
      <c r="K532">
        <v>60.99</v>
      </c>
      <c r="L532">
        <v>1.72</v>
      </c>
      <c r="M532">
        <v>6.73</v>
      </c>
      <c r="N532">
        <v>5.62</v>
      </c>
      <c r="O532">
        <v>1.47</v>
      </c>
      <c r="P532">
        <v>1.36</v>
      </c>
      <c r="Q532">
        <v>3.89</v>
      </c>
      <c r="R532">
        <v>1.41</v>
      </c>
      <c r="S532">
        <v>14.69</v>
      </c>
      <c r="T532">
        <v>2.48</v>
      </c>
      <c r="U532">
        <v>6.63</v>
      </c>
      <c r="V532">
        <v>73.599999999999994</v>
      </c>
      <c r="W532">
        <v>15.95</v>
      </c>
      <c r="X532">
        <v>1.95</v>
      </c>
      <c r="Y532">
        <v>11.8</v>
      </c>
      <c r="Z532">
        <v>12.1</v>
      </c>
    </row>
    <row r="533" spans="1:26" x14ac:dyDescent="0.25">
      <c r="A533" t="s">
        <v>58</v>
      </c>
      <c r="B533" t="s">
        <v>59</v>
      </c>
      <c r="C533" t="s">
        <v>60</v>
      </c>
      <c r="D533">
        <v>1.71</v>
      </c>
      <c r="E533">
        <v>4.8499999999999996</v>
      </c>
      <c r="F533">
        <v>4.3600000000000003</v>
      </c>
      <c r="G533">
        <v>0.88</v>
      </c>
      <c r="H533">
        <v>2.85</v>
      </c>
      <c r="I533">
        <v>6.44</v>
      </c>
      <c r="J533">
        <v>2.58</v>
      </c>
      <c r="K533">
        <v>16.010000000000002</v>
      </c>
      <c r="L533">
        <v>0.52</v>
      </c>
      <c r="M533">
        <v>1.6</v>
      </c>
      <c r="N533">
        <v>1.22</v>
      </c>
      <c r="O533">
        <v>0.45</v>
      </c>
      <c r="P533">
        <v>0.37</v>
      </c>
      <c r="Q533">
        <v>0.81</v>
      </c>
      <c r="R533">
        <v>0.41</v>
      </c>
      <c r="S533">
        <v>4.04</v>
      </c>
      <c r="T533">
        <v>0.52</v>
      </c>
      <c r="U533">
        <v>1.59</v>
      </c>
      <c r="V533">
        <v>14.68</v>
      </c>
      <c r="X533">
        <v>0.49</v>
      </c>
      <c r="Z533">
        <v>4.1900000000000004</v>
      </c>
    </row>
    <row r="534" spans="1:26" x14ac:dyDescent="0.25">
      <c r="A534" t="s">
        <v>61</v>
      </c>
      <c r="B534" t="s">
        <v>62</v>
      </c>
      <c r="C534" t="s">
        <v>63</v>
      </c>
      <c r="D534">
        <v>584.49</v>
      </c>
      <c r="E534" t="s">
        <v>327</v>
      </c>
      <c r="F534">
        <v>8.7200000000000006</v>
      </c>
      <c r="G534">
        <v>7.47</v>
      </c>
      <c r="H534" t="s">
        <v>329</v>
      </c>
      <c r="I534">
        <v>29.12</v>
      </c>
      <c r="J534">
        <v>40.64</v>
      </c>
      <c r="K534">
        <v>40.21</v>
      </c>
      <c r="L534">
        <v>4.3600000000000003</v>
      </c>
      <c r="M534" t="s">
        <v>330</v>
      </c>
      <c r="N534">
        <v>2.92</v>
      </c>
      <c r="O534">
        <v>2.2799999999999998</v>
      </c>
      <c r="P534">
        <v>1.1399999999999999</v>
      </c>
      <c r="Q534" t="s">
        <v>331</v>
      </c>
      <c r="R534">
        <v>1.68</v>
      </c>
      <c r="S534">
        <v>10.82</v>
      </c>
      <c r="T534">
        <v>9.4</v>
      </c>
      <c r="U534">
        <v>24.19</v>
      </c>
      <c r="V534">
        <v>211.94</v>
      </c>
      <c r="W534">
        <v>82.18</v>
      </c>
      <c r="X534">
        <v>9.61</v>
      </c>
      <c r="Y534">
        <v>373.95</v>
      </c>
      <c r="Z534">
        <v>11.64</v>
      </c>
    </row>
    <row r="535" spans="1:26" x14ac:dyDescent="0.25">
      <c r="A535" t="s">
        <v>64</v>
      </c>
      <c r="B535" t="s">
        <v>65</v>
      </c>
      <c r="C535" t="s">
        <v>66</v>
      </c>
      <c r="D535">
        <v>626.45000000000005</v>
      </c>
      <c r="E535" t="s">
        <v>327</v>
      </c>
      <c r="F535" t="s">
        <v>332</v>
      </c>
      <c r="G535">
        <v>5.79</v>
      </c>
      <c r="H535" t="s">
        <v>327</v>
      </c>
      <c r="I535">
        <v>28.1</v>
      </c>
      <c r="J535">
        <v>33.1</v>
      </c>
      <c r="K535">
        <v>32.020000000000003</v>
      </c>
      <c r="L535">
        <v>5.54</v>
      </c>
      <c r="M535" t="s">
        <v>330</v>
      </c>
      <c r="N535" t="s">
        <v>333</v>
      </c>
      <c r="O535">
        <v>1.9</v>
      </c>
      <c r="P535">
        <v>0.75</v>
      </c>
      <c r="Q535" t="s">
        <v>334</v>
      </c>
      <c r="R535">
        <v>1.82</v>
      </c>
      <c r="S535" t="s">
        <v>335</v>
      </c>
      <c r="T535">
        <v>8.98</v>
      </c>
      <c r="U535">
        <v>19.760000000000002</v>
      </c>
      <c r="V535">
        <v>106.93</v>
      </c>
      <c r="W535" t="s">
        <v>327</v>
      </c>
      <c r="X535">
        <v>5.58</v>
      </c>
      <c r="Y535">
        <v>225.4</v>
      </c>
      <c r="Z535">
        <v>11.64</v>
      </c>
    </row>
    <row r="536" spans="1:26" x14ac:dyDescent="0.25">
      <c r="A536" t="s">
        <v>67</v>
      </c>
      <c r="B536" t="s">
        <v>68</v>
      </c>
      <c r="C536" t="s">
        <v>69</v>
      </c>
      <c r="D536">
        <v>604</v>
      </c>
      <c r="E536" t="s">
        <v>327</v>
      </c>
      <c r="F536">
        <v>10.73</v>
      </c>
      <c r="G536">
        <v>11.49</v>
      </c>
      <c r="H536" t="s">
        <v>336</v>
      </c>
      <c r="I536">
        <v>69.62</v>
      </c>
      <c r="J536">
        <v>45.65</v>
      </c>
      <c r="K536">
        <v>59.52</v>
      </c>
      <c r="L536">
        <v>6.85</v>
      </c>
      <c r="M536" t="s">
        <v>337</v>
      </c>
      <c r="N536">
        <v>5.43</v>
      </c>
      <c r="O536">
        <v>2.81</v>
      </c>
      <c r="P536">
        <v>0.82</v>
      </c>
      <c r="Q536">
        <v>2.39</v>
      </c>
      <c r="R536">
        <v>2.63</v>
      </c>
      <c r="S536">
        <v>13.1</v>
      </c>
      <c r="T536">
        <v>13.53</v>
      </c>
      <c r="U536">
        <v>24.92</v>
      </c>
      <c r="V536">
        <v>154.01</v>
      </c>
      <c r="W536">
        <v>44.11</v>
      </c>
      <c r="X536">
        <v>8.58</v>
      </c>
      <c r="Y536">
        <v>268.51</v>
      </c>
      <c r="Z536">
        <v>18.399999999999999</v>
      </c>
    </row>
    <row r="537" spans="1:26" x14ac:dyDescent="0.25">
      <c r="A537" t="s">
        <v>70</v>
      </c>
      <c r="B537" t="s">
        <v>71</v>
      </c>
      <c r="C537" t="s">
        <v>72</v>
      </c>
      <c r="D537">
        <v>469.9</v>
      </c>
      <c r="E537" t="s">
        <v>327</v>
      </c>
      <c r="F537">
        <v>8.7200000000000006</v>
      </c>
      <c r="G537">
        <v>9.1999999999999993</v>
      </c>
      <c r="H537" t="s">
        <v>338</v>
      </c>
      <c r="I537">
        <v>20.34</v>
      </c>
      <c r="J537">
        <v>47.53</v>
      </c>
      <c r="K537">
        <v>36.15</v>
      </c>
      <c r="L537">
        <v>6.33</v>
      </c>
      <c r="M537" t="s">
        <v>330</v>
      </c>
      <c r="N537">
        <v>3.38</v>
      </c>
      <c r="O537">
        <v>2.15</v>
      </c>
      <c r="P537">
        <v>0.9</v>
      </c>
      <c r="Q537" t="s">
        <v>331</v>
      </c>
      <c r="R537">
        <v>1.94</v>
      </c>
      <c r="S537">
        <v>9.4499999999999993</v>
      </c>
      <c r="T537">
        <v>14.36</v>
      </c>
      <c r="U537">
        <v>71.650000000000006</v>
      </c>
      <c r="V537">
        <v>186.29</v>
      </c>
      <c r="W537">
        <v>34.56</v>
      </c>
      <c r="X537">
        <v>6.31</v>
      </c>
      <c r="Y537">
        <v>163.78</v>
      </c>
      <c r="Z537">
        <v>12.75</v>
      </c>
    </row>
    <row r="538" spans="1:26" x14ac:dyDescent="0.25">
      <c r="A538" t="s">
        <v>73</v>
      </c>
      <c r="B538" t="s">
        <v>74</v>
      </c>
      <c r="C538" t="s">
        <v>75</v>
      </c>
      <c r="D538">
        <v>996.74</v>
      </c>
      <c r="E538" t="s">
        <v>327</v>
      </c>
      <c r="F538">
        <v>14.22</v>
      </c>
      <c r="G538">
        <v>11.36</v>
      </c>
      <c r="H538" t="s">
        <v>338</v>
      </c>
      <c r="I538">
        <v>59.92</v>
      </c>
      <c r="J538">
        <v>46.9</v>
      </c>
      <c r="K538">
        <v>44.18</v>
      </c>
      <c r="L538">
        <v>6.33</v>
      </c>
      <c r="M538" t="s">
        <v>331</v>
      </c>
      <c r="N538">
        <v>6.75</v>
      </c>
      <c r="O538">
        <v>2.94</v>
      </c>
      <c r="P538">
        <v>1.06</v>
      </c>
      <c r="Q538">
        <v>2.39</v>
      </c>
      <c r="R538">
        <v>3.07</v>
      </c>
      <c r="S538">
        <v>14.02</v>
      </c>
      <c r="T538">
        <v>13.39</v>
      </c>
      <c r="U538">
        <v>23</v>
      </c>
      <c r="V538">
        <v>317.61</v>
      </c>
      <c r="W538">
        <v>92.95</v>
      </c>
      <c r="X538">
        <v>15.14</v>
      </c>
      <c r="Y538">
        <v>524.92999999999995</v>
      </c>
      <c r="Z538">
        <v>24.21</v>
      </c>
    </row>
    <row r="539" spans="1:26" x14ac:dyDescent="0.25">
      <c r="A539" t="s">
        <v>76</v>
      </c>
      <c r="B539" t="s">
        <v>77</v>
      </c>
      <c r="C539" t="s">
        <v>78</v>
      </c>
      <c r="D539">
        <v>547.9</v>
      </c>
      <c r="E539" t="s">
        <v>327</v>
      </c>
      <c r="F539" t="s">
        <v>339</v>
      </c>
      <c r="G539">
        <v>6.5</v>
      </c>
      <c r="H539" t="s">
        <v>327</v>
      </c>
      <c r="I539">
        <v>35.200000000000003</v>
      </c>
      <c r="J539">
        <v>38.130000000000003</v>
      </c>
      <c r="K539" t="s">
        <v>340</v>
      </c>
      <c r="L539">
        <v>4.97</v>
      </c>
      <c r="M539" t="s">
        <v>341</v>
      </c>
      <c r="N539" t="s">
        <v>327</v>
      </c>
      <c r="O539">
        <v>2.15</v>
      </c>
      <c r="P539" t="s">
        <v>342</v>
      </c>
      <c r="Q539" t="s">
        <v>334</v>
      </c>
      <c r="R539">
        <v>2.48</v>
      </c>
      <c r="S539">
        <v>8.32</v>
      </c>
      <c r="T539">
        <v>12.64</v>
      </c>
      <c r="U539">
        <v>28.91</v>
      </c>
      <c r="V539">
        <v>178.46</v>
      </c>
      <c r="W539" t="s">
        <v>343</v>
      </c>
      <c r="X539">
        <v>8.4499999999999993</v>
      </c>
      <c r="Y539">
        <v>338.16</v>
      </c>
      <c r="Z539">
        <v>14.98</v>
      </c>
    </row>
    <row r="540" spans="1:26" x14ac:dyDescent="0.25">
      <c r="A540" t="s">
        <v>79</v>
      </c>
      <c r="B540" t="s">
        <v>80</v>
      </c>
      <c r="C540" t="s">
        <v>81</v>
      </c>
      <c r="D540">
        <v>597.29999999999995</v>
      </c>
      <c r="E540" t="s">
        <v>327</v>
      </c>
      <c r="F540" t="s">
        <v>332</v>
      </c>
      <c r="G540">
        <v>6.02</v>
      </c>
      <c r="H540" t="s">
        <v>327</v>
      </c>
      <c r="I540">
        <v>49.14</v>
      </c>
      <c r="J540">
        <v>28.07</v>
      </c>
      <c r="K540">
        <v>32.020000000000003</v>
      </c>
      <c r="L540">
        <v>5.28</v>
      </c>
      <c r="M540" t="s">
        <v>330</v>
      </c>
      <c r="N540" t="s">
        <v>344</v>
      </c>
      <c r="O540">
        <v>2.94</v>
      </c>
      <c r="P540" t="s">
        <v>345</v>
      </c>
      <c r="Q540" t="s">
        <v>331</v>
      </c>
      <c r="R540">
        <v>1.17</v>
      </c>
      <c r="S540" t="s">
        <v>346</v>
      </c>
      <c r="T540">
        <v>10.91</v>
      </c>
      <c r="U540">
        <v>20.94</v>
      </c>
      <c r="V540">
        <v>234.92</v>
      </c>
      <c r="W540" t="s">
        <v>347</v>
      </c>
      <c r="X540">
        <v>11.87</v>
      </c>
      <c r="Y540">
        <v>448.31</v>
      </c>
      <c r="Z540">
        <v>14.98</v>
      </c>
    </row>
    <row r="541" spans="1:26" x14ac:dyDescent="0.25">
      <c r="A541" t="s">
        <v>82</v>
      </c>
      <c r="B541" t="s">
        <v>83</v>
      </c>
      <c r="C541" t="s">
        <v>84</v>
      </c>
      <c r="D541">
        <v>638.57000000000005</v>
      </c>
      <c r="E541" t="s">
        <v>327</v>
      </c>
      <c r="F541" t="s">
        <v>339</v>
      </c>
      <c r="G541">
        <v>11.23</v>
      </c>
      <c r="H541" t="s">
        <v>338</v>
      </c>
      <c r="I541">
        <v>34.700000000000003</v>
      </c>
      <c r="J541">
        <v>35.619999999999997</v>
      </c>
      <c r="K541">
        <v>48.1</v>
      </c>
      <c r="L541">
        <v>6.49</v>
      </c>
      <c r="M541" t="s">
        <v>331</v>
      </c>
      <c r="N541">
        <v>8.92</v>
      </c>
      <c r="O541">
        <v>2.94</v>
      </c>
      <c r="P541" t="s">
        <v>348</v>
      </c>
      <c r="Q541">
        <v>2</v>
      </c>
      <c r="R541">
        <v>1.59</v>
      </c>
      <c r="S541">
        <v>11.73</v>
      </c>
      <c r="T541">
        <v>15.11</v>
      </c>
      <c r="U541">
        <v>13.55</v>
      </c>
      <c r="V541">
        <v>147.21</v>
      </c>
      <c r="W541" t="s">
        <v>327</v>
      </c>
      <c r="X541">
        <v>6.43</v>
      </c>
      <c r="Y541">
        <v>315.42</v>
      </c>
      <c r="Z541">
        <v>14.98</v>
      </c>
    </row>
    <row r="542" spans="1:26" x14ac:dyDescent="0.25">
      <c r="A542" t="s">
        <v>85</v>
      </c>
      <c r="B542" t="s">
        <v>86</v>
      </c>
      <c r="C542" t="s">
        <v>87</v>
      </c>
      <c r="D542">
        <v>789.18</v>
      </c>
      <c r="E542" t="s">
        <v>327</v>
      </c>
      <c r="F542" t="s">
        <v>349</v>
      </c>
      <c r="G542">
        <v>10.72</v>
      </c>
      <c r="H542" t="s">
        <v>327</v>
      </c>
      <c r="I542">
        <v>17.18</v>
      </c>
      <c r="J542">
        <v>41.89</v>
      </c>
      <c r="K542">
        <v>40.21</v>
      </c>
      <c r="L542">
        <v>6.64</v>
      </c>
      <c r="M542" t="s">
        <v>350</v>
      </c>
      <c r="N542">
        <v>6.2</v>
      </c>
      <c r="O542">
        <v>2.15</v>
      </c>
      <c r="P542" t="s">
        <v>351</v>
      </c>
      <c r="Q542">
        <v>2.78</v>
      </c>
      <c r="R542">
        <v>1.77</v>
      </c>
      <c r="S542">
        <v>10.14</v>
      </c>
      <c r="T542">
        <v>12.84</v>
      </c>
      <c r="U542">
        <v>18.13</v>
      </c>
      <c r="V542">
        <v>210.47</v>
      </c>
      <c r="W542" t="s">
        <v>347</v>
      </c>
      <c r="X542">
        <v>7.72</v>
      </c>
      <c r="Y542">
        <v>239.27</v>
      </c>
      <c r="Z542">
        <v>14.98</v>
      </c>
    </row>
    <row r="543" spans="1:26" x14ac:dyDescent="0.25">
      <c r="A543" t="s">
        <v>88</v>
      </c>
      <c r="B543" t="s">
        <v>89</v>
      </c>
      <c r="C543" t="s">
        <v>90</v>
      </c>
      <c r="D543">
        <v>811.4</v>
      </c>
      <c r="E543" t="s">
        <v>327</v>
      </c>
      <c r="F543">
        <v>12.54</v>
      </c>
      <c r="G543">
        <v>18.920000000000002</v>
      </c>
      <c r="H543" t="s">
        <v>352</v>
      </c>
      <c r="I543">
        <v>42.21</v>
      </c>
      <c r="J543">
        <v>71.89</v>
      </c>
      <c r="K543">
        <v>70.55</v>
      </c>
      <c r="L543">
        <v>7.49</v>
      </c>
      <c r="M543" t="s">
        <v>353</v>
      </c>
      <c r="N543">
        <v>19.66</v>
      </c>
      <c r="O543">
        <v>2.68</v>
      </c>
      <c r="P543">
        <v>1.06</v>
      </c>
      <c r="Q543">
        <v>4.72</v>
      </c>
      <c r="R543">
        <v>5.16</v>
      </c>
      <c r="S543">
        <v>27.77</v>
      </c>
      <c r="T543">
        <v>19.02</v>
      </c>
      <c r="U543">
        <v>22.71</v>
      </c>
      <c r="V543">
        <v>213.41</v>
      </c>
      <c r="W543">
        <v>62.76</v>
      </c>
      <c r="X543">
        <v>9.7799999999999994</v>
      </c>
      <c r="Y543">
        <v>296.45</v>
      </c>
      <c r="Z543">
        <v>28.95</v>
      </c>
    </row>
    <row r="544" spans="1:26" x14ac:dyDescent="0.25">
      <c r="A544" t="s">
        <v>91</v>
      </c>
      <c r="B544" t="s">
        <v>92</v>
      </c>
      <c r="C544" t="s">
        <v>93</v>
      </c>
      <c r="D544">
        <v>777.72</v>
      </c>
      <c r="E544" t="s">
        <v>327</v>
      </c>
      <c r="F544">
        <v>10.73</v>
      </c>
      <c r="G544">
        <v>15.15</v>
      </c>
      <c r="H544">
        <v>6.6</v>
      </c>
      <c r="I544">
        <v>27.08</v>
      </c>
      <c r="J544">
        <v>50.03</v>
      </c>
      <c r="K544">
        <v>91.74</v>
      </c>
      <c r="L544">
        <v>8.7799999999999994</v>
      </c>
      <c r="M544" t="s">
        <v>354</v>
      </c>
      <c r="N544">
        <v>12.08</v>
      </c>
      <c r="O544">
        <v>3.75</v>
      </c>
      <c r="P544">
        <v>0.98</v>
      </c>
      <c r="Q544">
        <v>5.0999999999999996</v>
      </c>
      <c r="R544">
        <v>3.53</v>
      </c>
      <c r="S544">
        <v>19.28</v>
      </c>
      <c r="T544">
        <v>13.12</v>
      </c>
      <c r="U544">
        <v>27.29</v>
      </c>
      <c r="V544">
        <v>150.62</v>
      </c>
      <c r="W544">
        <v>76.06</v>
      </c>
      <c r="X544">
        <v>8.9700000000000006</v>
      </c>
      <c r="Y544">
        <v>243.04</v>
      </c>
      <c r="Z544">
        <v>26.57</v>
      </c>
    </row>
    <row r="545" spans="1:26" x14ac:dyDescent="0.25">
      <c r="A545" t="s">
        <v>94</v>
      </c>
      <c r="B545" t="s">
        <v>95</v>
      </c>
      <c r="C545" t="s">
        <v>96</v>
      </c>
      <c r="D545">
        <v>431.38</v>
      </c>
      <c r="E545" t="s">
        <v>327</v>
      </c>
      <c r="F545" t="s">
        <v>332</v>
      </c>
      <c r="G545">
        <v>5.08</v>
      </c>
      <c r="H545" t="s">
        <v>327</v>
      </c>
      <c r="I545">
        <v>23.99</v>
      </c>
      <c r="J545">
        <v>28.07</v>
      </c>
      <c r="K545">
        <v>32.020000000000003</v>
      </c>
      <c r="L545">
        <v>5.91</v>
      </c>
      <c r="M545" t="s">
        <v>350</v>
      </c>
      <c r="N545" t="s">
        <v>355</v>
      </c>
      <c r="O545">
        <v>2.15</v>
      </c>
      <c r="P545" t="s">
        <v>356</v>
      </c>
      <c r="Q545" t="s">
        <v>357</v>
      </c>
      <c r="R545">
        <v>1.59</v>
      </c>
      <c r="S545" t="s">
        <v>358</v>
      </c>
      <c r="T545">
        <v>11.88</v>
      </c>
      <c r="U545">
        <v>8.52</v>
      </c>
      <c r="V545">
        <v>155.69</v>
      </c>
      <c r="W545" t="s">
        <v>327</v>
      </c>
      <c r="X545">
        <v>5.0199999999999996</v>
      </c>
      <c r="Y545">
        <v>175.78</v>
      </c>
      <c r="Z545">
        <v>11.64</v>
      </c>
    </row>
    <row r="546" spans="1:26" x14ac:dyDescent="0.25">
      <c r="A546" t="s">
        <v>97</v>
      </c>
      <c r="B546" t="s">
        <v>98</v>
      </c>
      <c r="C546" t="s">
        <v>99</v>
      </c>
      <c r="D546">
        <v>424.14</v>
      </c>
      <c r="E546" t="s">
        <v>327</v>
      </c>
      <c r="F546" t="s">
        <v>339</v>
      </c>
      <c r="G546">
        <v>4.16</v>
      </c>
      <c r="H546" t="s">
        <v>327</v>
      </c>
      <c r="I546">
        <v>29.12</v>
      </c>
      <c r="J546">
        <v>21.76</v>
      </c>
      <c r="K546" t="s">
        <v>340</v>
      </c>
      <c r="L546">
        <v>5.18</v>
      </c>
      <c r="M546" t="s">
        <v>341</v>
      </c>
      <c r="N546" t="s">
        <v>327</v>
      </c>
      <c r="O546">
        <v>1.9</v>
      </c>
      <c r="P546">
        <v>0.9</v>
      </c>
      <c r="Q546" t="s">
        <v>327</v>
      </c>
      <c r="R546">
        <v>0.82</v>
      </c>
      <c r="S546" t="s">
        <v>359</v>
      </c>
      <c r="T546">
        <v>11.19</v>
      </c>
      <c r="U546">
        <v>15.77</v>
      </c>
      <c r="V546">
        <v>90.62</v>
      </c>
      <c r="W546" t="s">
        <v>327</v>
      </c>
      <c r="X546">
        <v>7.59</v>
      </c>
      <c r="Y546">
        <v>271.81</v>
      </c>
      <c r="Z546">
        <v>9.4600000000000009</v>
      </c>
    </row>
    <row r="547" spans="1:26" x14ac:dyDescent="0.25">
      <c r="A547" t="s">
        <v>100</v>
      </c>
      <c r="B547" t="s">
        <v>101</v>
      </c>
      <c r="C547" t="s">
        <v>102</v>
      </c>
      <c r="D547">
        <v>364.59</v>
      </c>
      <c r="E547" t="s">
        <v>327</v>
      </c>
      <c r="F547">
        <v>9.75</v>
      </c>
      <c r="G547">
        <v>4.3899999999999997</v>
      </c>
      <c r="H547" t="s">
        <v>327</v>
      </c>
      <c r="I547">
        <v>17.71</v>
      </c>
      <c r="J547">
        <v>30.59</v>
      </c>
      <c r="K547" t="s">
        <v>360</v>
      </c>
      <c r="L547">
        <v>6.33</v>
      </c>
      <c r="M547" t="s">
        <v>330</v>
      </c>
      <c r="N547" t="s">
        <v>344</v>
      </c>
      <c r="O547">
        <v>2.41</v>
      </c>
      <c r="P547" t="s">
        <v>361</v>
      </c>
      <c r="Q547" t="s">
        <v>334</v>
      </c>
      <c r="R547">
        <v>1.41</v>
      </c>
      <c r="S547" t="s">
        <v>362</v>
      </c>
      <c r="T547">
        <v>11.47</v>
      </c>
      <c r="U547">
        <v>14.44</v>
      </c>
      <c r="V547">
        <v>100.95</v>
      </c>
      <c r="W547" t="s">
        <v>327</v>
      </c>
      <c r="X547">
        <v>7.29</v>
      </c>
      <c r="Y547">
        <v>191.09</v>
      </c>
      <c r="Z547">
        <v>12.75</v>
      </c>
    </row>
    <row r="548" spans="1:26" x14ac:dyDescent="0.25">
      <c r="A548" t="s">
        <v>103</v>
      </c>
      <c r="B548" t="s">
        <v>104</v>
      </c>
      <c r="C548" t="s">
        <v>105</v>
      </c>
      <c r="D548">
        <v>254.15</v>
      </c>
      <c r="E548" t="s">
        <v>327</v>
      </c>
      <c r="F548" t="s">
        <v>339</v>
      </c>
      <c r="G548">
        <v>3.71</v>
      </c>
      <c r="H548" t="s">
        <v>327</v>
      </c>
      <c r="I548">
        <v>35.71</v>
      </c>
      <c r="J548">
        <v>33.729999999999997</v>
      </c>
      <c r="K548" t="s">
        <v>360</v>
      </c>
      <c r="L548">
        <v>5.6</v>
      </c>
      <c r="M548" t="s">
        <v>350</v>
      </c>
      <c r="N548" t="s">
        <v>363</v>
      </c>
      <c r="O548">
        <v>1.9</v>
      </c>
      <c r="P548" t="s">
        <v>351</v>
      </c>
      <c r="Q548" t="s">
        <v>334</v>
      </c>
      <c r="R548">
        <v>1.84</v>
      </c>
      <c r="S548" t="s">
        <v>359</v>
      </c>
      <c r="T548">
        <v>9.1199999999999992</v>
      </c>
      <c r="U548">
        <v>16.8</v>
      </c>
      <c r="V548">
        <v>143.76</v>
      </c>
      <c r="W548" t="s">
        <v>327</v>
      </c>
      <c r="X548">
        <v>4.7699999999999996</v>
      </c>
      <c r="Y548">
        <v>145.04</v>
      </c>
      <c r="Z548">
        <v>10.54</v>
      </c>
    </row>
    <row r="549" spans="1:26" x14ac:dyDescent="0.25">
      <c r="A549" t="s">
        <v>106</v>
      </c>
      <c r="B549" t="s">
        <v>107</v>
      </c>
      <c r="C549" t="s">
        <v>108</v>
      </c>
      <c r="D549">
        <v>577.42999999999995</v>
      </c>
      <c r="E549" t="s">
        <v>327</v>
      </c>
      <c r="F549">
        <v>15.8</v>
      </c>
      <c r="G549">
        <v>7.72</v>
      </c>
      <c r="H549" t="s">
        <v>364</v>
      </c>
      <c r="I549">
        <v>22.95</v>
      </c>
      <c r="J549">
        <v>35.619999999999997</v>
      </c>
      <c r="K549">
        <v>36.15</v>
      </c>
      <c r="L549">
        <v>6.33</v>
      </c>
      <c r="M549" t="s">
        <v>350</v>
      </c>
      <c r="N549" t="s">
        <v>365</v>
      </c>
      <c r="O549">
        <v>1.9</v>
      </c>
      <c r="P549">
        <v>1.06</v>
      </c>
      <c r="Q549">
        <v>2.59</v>
      </c>
      <c r="R549">
        <v>4.2</v>
      </c>
      <c r="S549">
        <v>9</v>
      </c>
      <c r="T549">
        <v>9.81</v>
      </c>
      <c r="U549">
        <v>19.309999999999999</v>
      </c>
      <c r="V549">
        <v>222.12</v>
      </c>
      <c r="W549" t="s">
        <v>343</v>
      </c>
      <c r="X549">
        <v>4.5999999999999996</v>
      </c>
      <c r="Y549">
        <v>366.49</v>
      </c>
      <c r="Z549">
        <v>16.11</v>
      </c>
    </row>
    <row r="550" spans="1:26" x14ac:dyDescent="0.25">
      <c r="A550" t="s">
        <v>109</v>
      </c>
      <c r="B550" t="s">
        <v>110</v>
      </c>
      <c r="C550" t="s">
        <v>111</v>
      </c>
      <c r="D550">
        <v>146.88</v>
      </c>
      <c r="E550" t="s">
        <v>366</v>
      </c>
      <c r="F550" t="s">
        <v>327</v>
      </c>
      <c r="G550" t="s">
        <v>327</v>
      </c>
      <c r="H550" t="s">
        <v>327</v>
      </c>
      <c r="I550">
        <v>20.34</v>
      </c>
      <c r="J550" t="s">
        <v>327</v>
      </c>
      <c r="K550" t="s">
        <v>327</v>
      </c>
      <c r="L550" t="s">
        <v>367</v>
      </c>
      <c r="M550" t="s">
        <v>331</v>
      </c>
      <c r="N550" t="s">
        <v>327</v>
      </c>
      <c r="O550">
        <v>1.39</v>
      </c>
      <c r="P550" t="s">
        <v>327</v>
      </c>
      <c r="Q550" t="s">
        <v>334</v>
      </c>
      <c r="R550">
        <v>6.79</v>
      </c>
      <c r="S550" t="s">
        <v>330</v>
      </c>
      <c r="T550">
        <v>2.59</v>
      </c>
      <c r="U550">
        <v>19.16</v>
      </c>
      <c r="V550">
        <v>420.82</v>
      </c>
      <c r="W550" t="s">
        <v>327</v>
      </c>
      <c r="X550">
        <v>2.5099999999999998</v>
      </c>
      <c r="Y550">
        <v>88.28</v>
      </c>
      <c r="Z550" t="s">
        <v>368</v>
      </c>
    </row>
    <row r="551" spans="1:26" x14ac:dyDescent="0.25">
      <c r="A551" t="s">
        <v>112</v>
      </c>
      <c r="B551" t="s">
        <v>113</v>
      </c>
      <c r="C551" t="s">
        <v>114</v>
      </c>
      <c r="D551">
        <v>868.7</v>
      </c>
      <c r="E551" t="s">
        <v>369</v>
      </c>
      <c r="F551">
        <v>12.54</v>
      </c>
      <c r="G551">
        <v>14.62</v>
      </c>
      <c r="H551">
        <v>14.47</v>
      </c>
      <c r="I551">
        <v>268.70999999999998</v>
      </c>
      <c r="J551">
        <v>66.28</v>
      </c>
      <c r="K551">
        <v>51.96</v>
      </c>
      <c r="L551">
        <v>7.92</v>
      </c>
      <c r="M551" t="s">
        <v>370</v>
      </c>
      <c r="N551">
        <v>3.73</v>
      </c>
      <c r="O551">
        <v>2.68</v>
      </c>
      <c r="P551">
        <v>1.94</v>
      </c>
      <c r="Q551">
        <v>7.39</v>
      </c>
      <c r="R551">
        <v>16.309999999999999</v>
      </c>
      <c r="S551">
        <v>12.65</v>
      </c>
      <c r="T551">
        <v>15.87</v>
      </c>
      <c r="U551">
        <v>118.45</v>
      </c>
      <c r="V551">
        <v>2062.56</v>
      </c>
      <c r="W551">
        <v>367.66</v>
      </c>
      <c r="X551">
        <v>103.32</v>
      </c>
      <c r="Y551">
        <v>1291.31</v>
      </c>
      <c r="Z551">
        <v>27.76</v>
      </c>
    </row>
    <row r="552" spans="1:26" x14ac:dyDescent="0.25">
      <c r="A552" t="s">
        <v>115</v>
      </c>
      <c r="B552" t="s">
        <v>116</v>
      </c>
      <c r="C552" t="s">
        <v>117</v>
      </c>
      <c r="D552">
        <v>760.08</v>
      </c>
      <c r="E552" t="s">
        <v>371</v>
      </c>
      <c r="F552">
        <v>14.22</v>
      </c>
      <c r="G552">
        <v>10.97</v>
      </c>
      <c r="H552">
        <v>6.6</v>
      </c>
      <c r="I552">
        <v>88.84</v>
      </c>
      <c r="J552">
        <v>60.66</v>
      </c>
      <c r="K552">
        <v>48.1</v>
      </c>
      <c r="L552">
        <v>9.32</v>
      </c>
      <c r="M552" t="s">
        <v>372</v>
      </c>
      <c r="N552">
        <v>4.9800000000000004</v>
      </c>
      <c r="O552">
        <v>3.75</v>
      </c>
      <c r="P552">
        <v>1.37</v>
      </c>
      <c r="Q552">
        <v>3.17</v>
      </c>
      <c r="R552">
        <v>9.25</v>
      </c>
      <c r="S552">
        <v>13.56</v>
      </c>
      <c r="T552">
        <v>15.73</v>
      </c>
      <c r="U552">
        <v>46.6</v>
      </c>
      <c r="V552">
        <v>772.96</v>
      </c>
      <c r="W552">
        <v>153.63</v>
      </c>
      <c r="X552">
        <v>25.74</v>
      </c>
      <c r="Y552">
        <v>880.88</v>
      </c>
      <c r="Z552">
        <v>31.35</v>
      </c>
    </row>
    <row r="553" spans="1:26" x14ac:dyDescent="0.25">
      <c r="A553" t="s">
        <v>118</v>
      </c>
      <c r="B553" t="s">
        <v>119</v>
      </c>
      <c r="C553" t="s">
        <v>120</v>
      </c>
      <c r="D553">
        <v>1195.83</v>
      </c>
      <c r="E553" t="s">
        <v>327</v>
      </c>
      <c r="F553">
        <v>15.8</v>
      </c>
      <c r="G553">
        <v>17.559999999999999</v>
      </c>
      <c r="H553">
        <v>10.14</v>
      </c>
      <c r="I553">
        <v>63.81</v>
      </c>
      <c r="J553">
        <v>80</v>
      </c>
      <c r="K553">
        <v>68.73</v>
      </c>
      <c r="L553">
        <v>7.17</v>
      </c>
      <c r="M553" t="s">
        <v>354</v>
      </c>
      <c r="N553">
        <v>14.36</v>
      </c>
      <c r="O553">
        <v>3.48</v>
      </c>
      <c r="P553">
        <v>1.37</v>
      </c>
      <c r="Q553">
        <v>3.95</v>
      </c>
      <c r="R553">
        <v>10.45</v>
      </c>
      <c r="S553">
        <v>27.08</v>
      </c>
      <c r="T553">
        <v>18.61</v>
      </c>
      <c r="U553">
        <v>81.95</v>
      </c>
      <c r="V553">
        <v>316.37</v>
      </c>
      <c r="W553">
        <v>117.34</v>
      </c>
      <c r="X553">
        <v>8.7899999999999991</v>
      </c>
      <c r="Y553">
        <v>1038.1500000000001</v>
      </c>
      <c r="Z553">
        <v>38.65</v>
      </c>
    </row>
    <row r="554" spans="1:26" x14ac:dyDescent="0.25">
      <c r="A554" t="s">
        <v>121</v>
      </c>
      <c r="B554" t="s">
        <v>122</v>
      </c>
      <c r="C554" t="s">
        <v>123</v>
      </c>
      <c r="D554">
        <v>647.44000000000005</v>
      </c>
      <c r="E554" t="s">
        <v>327</v>
      </c>
      <c r="F554">
        <v>10.73</v>
      </c>
      <c r="G554">
        <v>10.97</v>
      </c>
      <c r="H554" t="s">
        <v>327</v>
      </c>
      <c r="I554">
        <v>76.37</v>
      </c>
      <c r="J554">
        <v>44.4</v>
      </c>
      <c r="K554">
        <v>55.76</v>
      </c>
      <c r="L554">
        <v>9.32</v>
      </c>
      <c r="M554" t="s">
        <v>337</v>
      </c>
      <c r="N554">
        <v>2.44</v>
      </c>
      <c r="O554">
        <v>3.07</v>
      </c>
      <c r="P554">
        <v>0.98</v>
      </c>
      <c r="Q554" t="s">
        <v>331</v>
      </c>
      <c r="R554">
        <v>4.2</v>
      </c>
      <c r="S554">
        <v>12.19</v>
      </c>
      <c r="T554">
        <v>14.08</v>
      </c>
      <c r="U554">
        <v>29.35</v>
      </c>
      <c r="V554">
        <v>213.41</v>
      </c>
      <c r="W554">
        <v>73.680000000000007</v>
      </c>
      <c r="X554">
        <v>11.72</v>
      </c>
      <c r="Y554">
        <v>627.76</v>
      </c>
      <c r="Z554">
        <v>23.04</v>
      </c>
    </row>
    <row r="555" spans="1:26" x14ac:dyDescent="0.25">
      <c r="A555" t="s">
        <v>124</v>
      </c>
      <c r="B555" t="s">
        <v>125</v>
      </c>
      <c r="C555" t="s">
        <v>126</v>
      </c>
      <c r="D555">
        <v>548.85</v>
      </c>
      <c r="E555" t="s">
        <v>327</v>
      </c>
      <c r="F555" t="s">
        <v>332</v>
      </c>
      <c r="G555">
        <v>7.35</v>
      </c>
      <c r="H555" t="s">
        <v>327</v>
      </c>
      <c r="I555">
        <v>40.22</v>
      </c>
      <c r="J555">
        <v>43.14</v>
      </c>
      <c r="K555" t="s">
        <v>360</v>
      </c>
      <c r="L555">
        <v>6.01</v>
      </c>
      <c r="M555" t="s">
        <v>350</v>
      </c>
      <c r="N555" t="s">
        <v>365</v>
      </c>
      <c r="O555">
        <v>2.15</v>
      </c>
      <c r="P555" t="s">
        <v>373</v>
      </c>
      <c r="Q555">
        <v>1.61</v>
      </c>
      <c r="R555">
        <v>3.78</v>
      </c>
      <c r="S555" t="s">
        <v>374</v>
      </c>
      <c r="T555">
        <v>11.19</v>
      </c>
      <c r="U555">
        <v>24.19</v>
      </c>
      <c r="V555">
        <v>204.54</v>
      </c>
      <c r="W555">
        <v>54.43</v>
      </c>
      <c r="X555">
        <v>6.78</v>
      </c>
      <c r="Y555">
        <v>254.97</v>
      </c>
      <c r="Z555">
        <v>13.86</v>
      </c>
    </row>
    <row r="556" spans="1:26" x14ac:dyDescent="0.25">
      <c r="A556" t="s">
        <v>127</v>
      </c>
      <c r="B556" t="s">
        <v>128</v>
      </c>
      <c r="C556" t="s">
        <v>129</v>
      </c>
      <c r="D556">
        <v>350.51</v>
      </c>
      <c r="E556" t="s">
        <v>327</v>
      </c>
      <c r="F556">
        <v>8.7200000000000006</v>
      </c>
      <c r="G556">
        <v>8.6999999999999993</v>
      </c>
      <c r="H556" t="s">
        <v>364</v>
      </c>
      <c r="I556">
        <v>73.48</v>
      </c>
      <c r="J556">
        <v>41.89</v>
      </c>
      <c r="K556" t="s">
        <v>360</v>
      </c>
      <c r="L556">
        <v>7.81</v>
      </c>
      <c r="M556" t="s">
        <v>375</v>
      </c>
      <c r="N556" t="s">
        <v>333</v>
      </c>
      <c r="O556">
        <v>2.41</v>
      </c>
      <c r="P556" t="s">
        <v>361</v>
      </c>
      <c r="Q556">
        <v>2.39</v>
      </c>
      <c r="R556">
        <v>4.3600000000000003</v>
      </c>
      <c r="S556">
        <v>8.32</v>
      </c>
      <c r="T556">
        <v>12.15</v>
      </c>
      <c r="U556">
        <v>48.08</v>
      </c>
      <c r="V556">
        <v>562.54999999999995</v>
      </c>
      <c r="W556">
        <v>68.77</v>
      </c>
      <c r="X556">
        <v>17.66</v>
      </c>
      <c r="Y556">
        <v>464.12</v>
      </c>
      <c r="Z556">
        <v>14.98</v>
      </c>
    </row>
    <row r="557" spans="1:26" x14ac:dyDescent="0.25">
      <c r="A557" t="s">
        <v>130</v>
      </c>
      <c r="B557" t="s">
        <v>131</v>
      </c>
      <c r="C557" t="s">
        <v>132</v>
      </c>
      <c r="D557">
        <v>888.77</v>
      </c>
      <c r="E557" t="s">
        <v>376</v>
      </c>
      <c r="F557">
        <v>12.54</v>
      </c>
      <c r="G557">
        <v>16.75</v>
      </c>
      <c r="H557" t="s">
        <v>377</v>
      </c>
      <c r="I557">
        <v>109.75</v>
      </c>
      <c r="J557">
        <v>66.900000000000006</v>
      </c>
      <c r="K557">
        <v>63.23</v>
      </c>
      <c r="L557">
        <v>9.1</v>
      </c>
      <c r="M557" t="s">
        <v>378</v>
      </c>
      <c r="N557">
        <v>8.27</v>
      </c>
      <c r="O557">
        <v>2.94</v>
      </c>
      <c r="P557">
        <v>1.37</v>
      </c>
      <c r="Q557">
        <v>3.75</v>
      </c>
      <c r="R557">
        <v>13.03</v>
      </c>
      <c r="S557">
        <v>19.28</v>
      </c>
      <c r="T557">
        <v>14.49</v>
      </c>
      <c r="U557">
        <v>65.459999999999994</v>
      </c>
      <c r="V557">
        <v>557.69000000000005</v>
      </c>
      <c r="W557">
        <v>185.37</v>
      </c>
      <c r="X557">
        <v>29.39</v>
      </c>
      <c r="Y557">
        <v>560.69000000000005</v>
      </c>
      <c r="Z557">
        <v>26.57</v>
      </c>
    </row>
    <row r="558" spans="1:26" x14ac:dyDescent="0.25">
      <c r="A558" t="s">
        <v>133</v>
      </c>
      <c r="B558" t="s">
        <v>134</v>
      </c>
      <c r="C558" t="s">
        <v>135</v>
      </c>
      <c r="D558">
        <v>1589.06</v>
      </c>
      <c r="E558" t="s">
        <v>371</v>
      </c>
      <c r="F558">
        <v>20.079999999999998</v>
      </c>
      <c r="G558">
        <v>22.92</v>
      </c>
      <c r="H558">
        <v>14.04</v>
      </c>
      <c r="I558">
        <v>82.14</v>
      </c>
      <c r="J558">
        <v>85.61</v>
      </c>
      <c r="K558">
        <v>120.34</v>
      </c>
      <c r="L558">
        <v>12.05</v>
      </c>
      <c r="M558" t="s">
        <v>379</v>
      </c>
      <c r="N558">
        <v>20.86</v>
      </c>
      <c r="O558">
        <v>6.57</v>
      </c>
      <c r="P558">
        <v>0.9</v>
      </c>
      <c r="Q558">
        <v>7.96</v>
      </c>
      <c r="R558">
        <v>10.27</v>
      </c>
      <c r="S558">
        <v>34.68</v>
      </c>
      <c r="T558">
        <v>23.82</v>
      </c>
      <c r="U558">
        <v>63.69</v>
      </c>
      <c r="V558">
        <v>378.24</v>
      </c>
      <c r="W558">
        <v>149</v>
      </c>
      <c r="X558">
        <v>16.309999999999999</v>
      </c>
      <c r="Y558">
        <v>1574.17</v>
      </c>
      <c r="Z558">
        <v>59.95</v>
      </c>
    </row>
    <row r="559" spans="1:26" x14ac:dyDescent="0.25">
      <c r="A559" t="s">
        <v>136</v>
      </c>
      <c r="B559" t="s">
        <v>137</v>
      </c>
      <c r="C559" t="s">
        <v>138</v>
      </c>
      <c r="D559">
        <v>1576.14</v>
      </c>
      <c r="E559">
        <v>69.180000000000007</v>
      </c>
      <c r="F559">
        <v>20.74</v>
      </c>
      <c r="G559">
        <v>19.059999999999999</v>
      </c>
      <c r="H559">
        <v>12.75</v>
      </c>
      <c r="I559">
        <v>295.72000000000003</v>
      </c>
      <c r="J559">
        <v>85.61</v>
      </c>
      <c r="K559">
        <v>55.76</v>
      </c>
      <c r="L559">
        <v>7.49</v>
      </c>
      <c r="M559">
        <v>3.36</v>
      </c>
      <c r="N559">
        <v>12.81</v>
      </c>
      <c r="O559">
        <v>3.48</v>
      </c>
      <c r="P559">
        <v>1.61</v>
      </c>
      <c r="Q559">
        <v>5.49</v>
      </c>
      <c r="R559">
        <v>39.14</v>
      </c>
      <c r="S559">
        <v>23.64</v>
      </c>
      <c r="T559">
        <v>19.98</v>
      </c>
      <c r="U559">
        <v>514.94000000000005</v>
      </c>
      <c r="V559">
        <v>2302.58</v>
      </c>
      <c r="W559">
        <v>335.74</v>
      </c>
      <c r="X559">
        <v>74.040000000000006</v>
      </c>
      <c r="Y559">
        <v>1293.44</v>
      </c>
      <c r="Z559">
        <v>44.82</v>
      </c>
    </row>
    <row r="560" spans="1:26" x14ac:dyDescent="0.25">
      <c r="A560" t="s">
        <v>139</v>
      </c>
      <c r="B560" t="s">
        <v>140</v>
      </c>
      <c r="C560" t="s">
        <v>141</v>
      </c>
      <c r="D560">
        <v>1029.6300000000001</v>
      </c>
      <c r="E560" t="s">
        <v>327</v>
      </c>
      <c r="F560">
        <v>11.65</v>
      </c>
      <c r="G560">
        <v>15.41</v>
      </c>
      <c r="H560" t="s">
        <v>338</v>
      </c>
      <c r="I560">
        <v>39.22</v>
      </c>
      <c r="J560">
        <v>56.91</v>
      </c>
      <c r="K560">
        <v>81.27</v>
      </c>
      <c r="L560">
        <v>7.92</v>
      </c>
      <c r="M560" t="s">
        <v>372</v>
      </c>
      <c r="N560">
        <v>11.98</v>
      </c>
      <c r="O560">
        <v>2.68</v>
      </c>
      <c r="P560">
        <v>1.3</v>
      </c>
      <c r="Q560">
        <v>6.25</v>
      </c>
      <c r="R560">
        <v>5.32</v>
      </c>
      <c r="S560">
        <v>19.97</v>
      </c>
      <c r="T560">
        <v>15.66</v>
      </c>
      <c r="U560">
        <v>26.84</v>
      </c>
      <c r="V560">
        <v>381.67</v>
      </c>
      <c r="W560">
        <v>58.23</v>
      </c>
      <c r="X560">
        <v>7.05</v>
      </c>
      <c r="Y560">
        <v>276.68</v>
      </c>
      <c r="Z560">
        <v>27.76</v>
      </c>
    </row>
    <row r="561" spans="1:26" x14ac:dyDescent="0.25">
      <c r="A561" t="s">
        <v>142</v>
      </c>
      <c r="B561" t="s">
        <v>143</v>
      </c>
      <c r="C561" t="s">
        <v>144</v>
      </c>
      <c r="D561">
        <v>1186.02</v>
      </c>
      <c r="E561" t="s">
        <v>371</v>
      </c>
      <c r="F561">
        <v>12.54</v>
      </c>
      <c r="G561">
        <v>14.35</v>
      </c>
      <c r="H561">
        <v>6.6</v>
      </c>
      <c r="I561">
        <v>72.52</v>
      </c>
      <c r="J561">
        <v>56.91</v>
      </c>
      <c r="K561">
        <v>44.18</v>
      </c>
      <c r="L561">
        <v>9.2100000000000009</v>
      </c>
      <c r="M561" t="s">
        <v>380</v>
      </c>
      <c r="N561">
        <v>6.09</v>
      </c>
      <c r="O561">
        <v>3.75</v>
      </c>
      <c r="P561">
        <v>1.3</v>
      </c>
      <c r="Q561">
        <v>3.17</v>
      </c>
      <c r="R561">
        <v>6.45</v>
      </c>
      <c r="S561">
        <v>15.39</v>
      </c>
      <c r="T561">
        <v>15.32</v>
      </c>
      <c r="U561">
        <v>130.51</v>
      </c>
      <c r="V561">
        <v>778.05</v>
      </c>
      <c r="W561">
        <v>180.31</v>
      </c>
      <c r="X561">
        <v>33.28</v>
      </c>
      <c r="Y561">
        <v>837.21</v>
      </c>
      <c r="Z561">
        <v>25.39</v>
      </c>
    </row>
    <row r="562" spans="1:26" x14ac:dyDescent="0.25">
      <c r="A562" t="s">
        <v>145</v>
      </c>
      <c r="B562" t="s">
        <v>146</v>
      </c>
      <c r="C562" t="s">
        <v>147</v>
      </c>
      <c r="D562">
        <v>799.98</v>
      </c>
      <c r="E562" t="s">
        <v>327</v>
      </c>
      <c r="F562">
        <v>9.75</v>
      </c>
      <c r="G562">
        <v>18.38</v>
      </c>
      <c r="H562" t="s">
        <v>364</v>
      </c>
      <c r="I562">
        <v>56.01</v>
      </c>
      <c r="J562">
        <v>56.91</v>
      </c>
      <c r="K562">
        <v>70.55</v>
      </c>
      <c r="L562">
        <v>9.86</v>
      </c>
      <c r="M562" t="s">
        <v>354</v>
      </c>
      <c r="N562">
        <v>11.87</v>
      </c>
      <c r="O562">
        <v>3.48</v>
      </c>
      <c r="P562">
        <v>0.9</v>
      </c>
      <c r="Q562">
        <v>4.33</v>
      </c>
      <c r="R562">
        <v>5.48</v>
      </c>
      <c r="S562">
        <v>18.36</v>
      </c>
      <c r="T562">
        <v>16.420000000000002</v>
      </c>
      <c r="U562">
        <v>23</v>
      </c>
      <c r="V562">
        <v>399.77</v>
      </c>
      <c r="W562">
        <v>92.95</v>
      </c>
      <c r="X562">
        <v>14.06</v>
      </c>
      <c r="Y562">
        <v>281.93</v>
      </c>
      <c r="Z562">
        <v>25.39</v>
      </c>
    </row>
    <row r="563" spans="1:26" x14ac:dyDescent="0.25">
      <c r="A563" t="s">
        <v>148</v>
      </c>
      <c r="B563" t="s">
        <v>149</v>
      </c>
      <c r="C563" t="s">
        <v>150</v>
      </c>
      <c r="D563">
        <v>837.31</v>
      </c>
      <c r="E563" t="s">
        <v>327</v>
      </c>
      <c r="F563">
        <v>17.29</v>
      </c>
      <c r="G563">
        <v>25.03</v>
      </c>
      <c r="H563">
        <v>16.170000000000002</v>
      </c>
      <c r="I563">
        <v>71.56</v>
      </c>
      <c r="J563">
        <v>88.1</v>
      </c>
      <c r="K563">
        <v>150.88999999999999</v>
      </c>
      <c r="L563">
        <v>10.29</v>
      </c>
      <c r="M563" t="s">
        <v>381</v>
      </c>
      <c r="N563">
        <v>22.07</v>
      </c>
      <c r="O563">
        <v>6.28</v>
      </c>
      <c r="P563">
        <v>1.86</v>
      </c>
      <c r="Q563">
        <v>10.050000000000001</v>
      </c>
      <c r="R563">
        <v>11.09</v>
      </c>
      <c r="S563">
        <v>36.53</v>
      </c>
      <c r="T563">
        <v>25.32</v>
      </c>
      <c r="U563">
        <v>43.36</v>
      </c>
      <c r="V563">
        <v>279.55</v>
      </c>
      <c r="W563">
        <v>109.37</v>
      </c>
      <c r="X563">
        <v>15.38</v>
      </c>
      <c r="Y563">
        <v>672.67</v>
      </c>
      <c r="Z563">
        <v>59.95</v>
      </c>
    </row>
    <row r="564" spans="1:26" x14ac:dyDescent="0.25">
      <c r="A564" t="s">
        <v>151</v>
      </c>
      <c r="B564" t="s">
        <v>152</v>
      </c>
      <c r="C564" t="s">
        <v>153</v>
      </c>
      <c r="D564">
        <v>1654.9</v>
      </c>
      <c r="E564" t="s">
        <v>382</v>
      </c>
      <c r="F564">
        <v>27.96</v>
      </c>
      <c r="G564">
        <v>27.02</v>
      </c>
      <c r="H564">
        <v>12.32</v>
      </c>
      <c r="I564">
        <v>166.17</v>
      </c>
      <c r="J564">
        <v>98.07</v>
      </c>
      <c r="K564">
        <v>128.5</v>
      </c>
      <c r="L564">
        <v>8.7799999999999994</v>
      </c>
      <c r="M564" t="s">
        <v>370</v>
      </c>
      <c r="N564">
        <v>20.260000000000002</v>
      </c>
      <c r="O564">
        <v>5.14</v>
      </c>
      <c r="P564">
        <v>2.2599999999999998</v>
      </c>
      <c r="Q564">
        <v>17.920000000000002</v>
      </c>
      <c r="R564">
        <v>14.33</v>
      </c>
      <c r="S564">
        <v>32.380000000000003</v>
      </c>
      <c r="T564">
        <v>38.549999999999997</v>
      </c>
      <c r="U564">
        <v>92.25</v>
      </c>
      <c r="V564">
        <v>772.96</v>
      </c>
      <c r="W564">
        <v>256.47000000000003</v>
      </c>
      <c r="X564">
        <v>45.55</v>
      </c>
      <c r="Y564">
        <v>1144.27</v>
      </c>
      <c r="Z564">
        <v>51.08</v>
      </c>
    </row>
    <row r="565" spans="1:26" x14ac:dyDescent="0.25">
      <c r="A565" t="s">
        <v>154</v>
      </c>
      <c r="B565" t="s">
        <v>155</v>
      </c>
      <c r="C565" t="s">
        <v>156</v>
      </c>
      <c r="D565">
        <v>1377.14</v>
      </c>
      <c r="E565" t="s">
        <v>383</v>
      </c>
      <c r="F565">
        <v>15.8</v>
      </c>
      <c r="G565">
        <v>18.100000000000001</v>
      </c>
      <c r="H565">
        <v>10.58</v>
      </c>
      <c r="I565">
        <v>120.15</v>
      </c>
      <c r="J565">
        <v>78.75</v>
      </c>
      <c r="K565">
        <v>88.28</v>
      </c>
      <c r="L565">
        <v>6.64</v>
      </c>
      <c r="M565" t="s">
        <v>384</v>
      </c>
      <c r="N565">
        <v>11.46</v>
      </c>
      <c r="O565">
        <v>5</v>
      </c>
      <c r="P565">
        <v>1.22</v>
      </c>
      <c r="Q565">
        <v>4.72</v>
      </c>
      <c r="R565">
        <v>12.23</v>
      </c>
      <c r="S565">
        <v>22.72</v>
      </c>
      <c r="T565">
        <v>16.55</v>
      </c>
      <c r="U565">
        <v>457.65</v>
      </c>
      <c r="V565">
        <v>876.28</v>
      </c>
      <c r="W565">
        <v>151.58000000000001</v>
      </c>
      <c r="X565">
        <v>23.85</v>
      </c>
      <c r="Y565">
        <v>1280.7</v>
      </c>
      <c r="Z565">
        <v>43.58</v>
      </c>
    </row>
    <row r="566" spans="1:26" x14ac:dyDescent="0.25">
      <c r="A566" t="s">
        <v>157</v>
      </c>
      <c r="B566" t="s">
        <v>158</v>
      </c>
      <c r="C566" t="s">
        <v>159</v>
      </c>
      <c r="D566">
        <v>886.24</v>
      </c>
      <c r="E566" t="s">
        <v>327</v>
      </c>
      <c r="F566">
        <v>11.65</v>
      </c>
      <c r="G566">
        <v>14.88</v>
      </c>
      <c r="H566" t="s">
        <v>385</v>
      </c>
      <c r="I566">
        <v>89.79</v>
      </c>
      <c r="J566">
        <v>74.39</v>
      </c>
      <c r="K566">
        <v>44.18</v>
      </c>
      <c r="L566">
        <v>6.85</v>
      </c>
      <c r="M566" t="s">
        <v>337</v>
      </c>
      <c r="N566">
        <v>5.87</v>
      </c>
      <c r="O566">
        <v>3.21</v>
      </c>
      <c r="P566">
        <v>1.37</v>
      </c>
      <c r="Q566">
        <v>2.78</v>
      </c>
      <c r="R566">
        <v>12.85</v>
      </c>
      <c r="S566">
        <v>16.989999999999998</v>
      </c>
      <c r="T566">
        <v>15.18</v>
      </c>
      <c r="U566">
        <v>51.32</v>
      </c>
      <c r="V566">
        <v>344.32</v>
      </c>
      <c r="W566">
        <v>91.56</v>
      </c>
      <c r="X566">
        <v>6.75</v>
      </c>
      <c r="Y566">
        <v>376.26</v>
      </c>
      <c r="Z566">
        <v>36.200000000000003</v>
      </c>
    </row>
    <row r="567" spans="1:26" x14ac:dyDescent="0.25">
      <c r="A567" t="s">
        <v>160</v>
      </c>
      <c r="B567" t="s">
        <v>161</v>
      </c>
      <c r="C567" t="s">
        <v>162</v>
      </c>
      <c r="D567">
        <v>582.77</v>
      </c>
      <c r="E567">
        <v>364.52</v>
      </c>
      <c r="F567">
        <v>61.19</v>
      </c>
      <c r="G567">
        <v>32.340000000000003</v>
      </c>
      <c r="H567">
        <v>44.05</v>
      </c>
      <c r="I567">
        <v>1145.5999999999999</v>
      </c>
      <c r="J567">
        <v>196.59</v>
      </c>
      <c r="K567">
        <v>91.74</v>
      </c>
      <c r="L567">
        <v>7.6</v>
      </c>
      <c r="M567">
        <v>12.11</v>
      </c>
      <c r="N567">
        <v>9.34</v>
      </c>
      <c r="O567">
        <v>8.32</v>
      </c>
      <c r="P567">
        <v>3.17</v>
      </c>
      <c r="Q567">
        <v>28.12</v>
      </c>
      <c r="R567">
        <v>780.94</v>
      </c>
      <c r="S567">
        <v>29.62</v>
      </c>
      <c r="T567">
        <v>39.43</v>
      </c>
      <c r="U567">
        <v>780</v>
      </c>
      <c r="V567">
        <v>16864.419999999998</v>
      </c>
      <c r="W567">
        <v>4549.9399999999996</v>
      </c>
      <c r="X567">
        <v>696.21</v>
      </c>
      <c r="Y567">
        <v>8372.24</v>
      </c>
      <c r="Z567">
        <v>83.94</v>
      </c>
    </row>
    <row r="568" spans="1:26" x14ac:dyDescent="0.25">
      <c r="A568" t="s">
        <v>163</v>
      </c>
      <c r="B568" t="s">
        <v>164</v>
      </c>
      <c r="C568" t="s">
        <v>165</v>
      </c>
      <c r="D568">
        <v>1228.26</v>
      </c>
      <c r="E568">
        <v>176.15</v>
      </c>
      <c r="F568">
        <v>28.52</v>
      </c>
      <c r="G568">
        <v>30.46</v>
      </c>
      <c r="H568">
        <v>26.21</v>
      </c>
      <c r="I568">
        <v>425.63</v>
      </c>
      <c r="J568">
        <v>151.65</v>
      </c>
      <c r="K568">
        <v>123.61</v>
      </c>
      <c r="L568">
        <v>8.35</v>
      </c>
      <c r="M568">
        <v>4.87</v>
      </c>
      <c r="N568">
        <v>25.74</v>
      </c>
      <c r="O568">
        <v>7.88</v>
      </c>
      <c r="P568">
        <v>2.1800000000000002</v>
      </c>
      <c r="Q568">
        <v>13.81</v>
      </c>
      <c r="R568">
        <v>84.04</v>
      </c>
      <c r="S568">
        <v>38.840000000000003</v>
      </c>
      <c r="T568">
        <v>18.13</v>
      </c>
      <c r="U568">
        <v>332.5</v>
      </c>
      <c r="V568">
        <v>2556.63</v>
      </c>
      <c r="W568">
        <v>427.85</v>
      </c>
      <c r="X568">
        <v>94.34</v>
      </c>
      <c r="Y568">
        <v>2126.1799999999998</v>
      </c>
      <c r="Z568">
        <v>94.52</v>
      </c>
    </row>
    <row r="569" spans="1:26" x14ac:dyDescent="0.25">
      <c r="A569" t="s">
        <v>166</v>
      </c>
      <c r="B569" t="s">
        <v>167</v>
      </c>
      <c r="C569" t="s">
        <v>168</v>
      </c>
      <c r="D569">
        <v>3055.95</v>
      </c>
      <c r="E569">
        <v>265.89</v>
      </c>
      <c r="F569">
        <v>39.5</v>
      </c>
      <c r="G569">
        <v>30.89</v>
      </c>
      <c r="H569">
        <v>55.94</v>
      </c>
      <c r="I569">
        <v>1915.28</v>
      </c>
      <c r="J569">
        <v>179.73</v>
      </c>
      <c r="K569">
        <v>118.69</v>
      </c>
      <c r="L569">
        <v>7.28</v>
      </c>
      <c r="M569">
        <v>9.25</v>
      </c>
      <c r="N569">
        <v>14.57</v>
      </c>
      <c r="O569">
        <v>6.28</v>
      </c>
      <c r="P569">
        <v>3.17</v>
      </c>
      <c r="Q569">
        <v>27.94</v>
      </c>
      <c r="R569">
        <v>94.09</v>
      </c>
      <c r="S569">
        <v>46.7</v>
      </c>
      <c r="T569">
        <v>51.66</v>
      </c>
      <c r="U569">
        <v>508.23</v>
      </c>
      <c r="V569">
        <v>7114.26</v>
      </c>
      <c r="W569">
        <v>1586.21</v>
      </c>
      <c r="X569">
        <v>542.53</v>
      </c>
      <c r="Y569">
        <v>4091.72</v>
      </c>
      <c r="Z569">
        <v>63.79</v>
      </c>
    </row>
    <row r="570" spans="1:26" x14ac:dyDescent="0.25">
      <c r="A570" t="s">
        <v>169</v>
      </c>
      <c r="B570" t="s">
        <v>170</v>
      </c>
      <c r="C570" t="s">
        <v>171</v>
      </c>
      <c r="D570">
        <v>1192.77</v>
      </c>
      <c r="E570" t="s">
        <v>327</v>
      </c>
      <c r="F570">
        <v>17.29</v>
      </c>
      <c r="G570">
        <v>24.19</v>
      </c>
      <c r="H570">
        <v>9.27</v>
      </c>
      <c r="I570">
        <v>93.13</v>
      </c>
      <c r="J570">
        <v>76.88</v>
      </c>
      <c r="K570">
        <v>115.39</v>
      </c>
      <c r="L570">
        <v>10.19</v>
      </c>
      <c r="M570" t="s">
        <v>370</v>
      </c>
      <c r="N570">
        <v>16.420000000000002</v>
      </c>
      <c r="O570">
        <v>4.8600000000000003</v>
      </c>
      <c r="P570">
        <v>1.37</v>
      </c>
      <c r="Q570">
        <v>7.39</v>
      </c>
      <c r="R570">
        <v>10.69</v>
      </c>
      <c r="S570">
        <v>35.61</v>
      </c>
      <c r="T570">
        <v>20.53</v>
      </c>
      <c r="U570">
        <v>37.76</v>
      </c>
      <c r="V570">
        <v>353.81</v>
      </c>
      <c r="W570">
        <v>137.85</v>
      </c>
      <c r="X570">
        <v>14.4</v>
      </c>
      <c r="Y570">
        <v>770.6</v>
      </c>
      <c r="Z570">
        <v>47.32</v>
      </c>
    </row>
    <row r="571" spans="1:26" x14ac:dyDescent="0.25">
      <c r="A571" t="s">
        <v>172</v>
      </c>
      <c r="B571" t="s">
        <v>173</v>
      </c>
      <c r="C571" t="s">
        <v>174</v>
      </c>
      <c r="D571">
        <v>1003.07</v>
      </c>
      <c r="E571" t="s">
        <v>327</v>
      </c>
      <c r="F571">
        <v>18.72</v>
      </c>
      <c r="G571">
        <v>23.62</v>
      </c>
      <c r="H571">
        <v>14.04</v>
      </c>
      <c r="I571">
        <v>53.08</v>
      </c>
      <c r="J571">
        <v>72.52</v>
      </c>
      <c r="K571">
        <v>134.97</v>
      </c>
      <c r="L571">
        <v>8.35</v>
      </c>
      <c r="M571" t="s">
        <v>370</v>
      </c>
      <c r="N571">
        <v>25.84</v>
      </c>
      <c r="O571">
        <v>5</v>
      </c>
      <c r="P571">
        <v>0.9</v>
      </c>
      <c r="Q571">
        <v>7.77</v>
      </c>
      <c r="R571">
        <v>10</v>
      </c>
      <c r="S571">
        <v>33.76</v>
      </c>
      <c r="T571">
        <v>29.55</v>
      </c>
      <c r="U571">
        <v>27.73</v>
      </c>
      <c r="V571">
        <v>220.68</v>
      </c>
      <c r="W571">
        <v>103.65</v>
      </c>
      <c r="X571">
        <v>5.92</v>
      </c>
      <c r="Y571">
        <v>476.08</v>
      </c>
      <c r="Z571">
        <v>51.08</v>
      </c>
    </row>
    <row r="572" spans="1:26" x14ac:dyDescent="0.25">
      <c r="A572" t="s">
        <v>175</v>
      </c>
      <c r="B572" t="s">
        <v>176</v>
      </c>
      <c r="C572" t="s">
        <v>177</v>
      </c>
      <c r="D572">
        <v>946.77</v>
      </c>
      <c r="E572">
        <v>76.55</v>
      </c>
      <c r="F572">
        <v>20.079999999999998</v>
      </c>
      <c r="G572">
        <v>25.45</v>
      </c>
      <c r="H572">
        <v>15.32</v>
      </c>
      <c r="I572">
        <v>418.13</v>
      </c>
      <c r="J572">
        <v>101.18</v>
      </c>
      <c r="K572">
        <v>98.6</v>
      </c>
      <c r="L572">
        <v>9.2100000000000009</v>
      </c>
      <c r="M572">
        <v>3.36</v>
      </c>
      <c r="N572">
        <v>26.04</v>
      </c>
      <c r="O572">
        <v>5.42</v>
      </c>
      <c r="P572">
        <v>0.75</v>
      </c>
      <c r="Q572">
        <v>10.8</v>
      </c>
      <c r="R572">
        <v>26.88</v>
      </c>
      <c r="S572">
        <v>35.61</v>
      </c>
      <c r="T572">
        <v>33.85</v>
      </c>
      <c r="U572">
        <v>162.59</v>
      </c>
      <c r="V572">
        <v>2830.4</v>
      </c>
      <c r="W572">
        <v>503.19</v>
      </c>
      <c r="X572">
        <v>253.9</v>
      </c>
      <c r="Y572">
        <v>2902.86</v>
      </c>
      <c r="Z572">
        <v>48.57</v>
      </c>
    </row>
    <row r="573" spans="1:26" x14ac:dyDescent="0.25">
      <c r="A573" t="s">
        <v>178</v>
      </c>
      <c r="B573" t="s">
        <v>179</v>
      </c>
      <c r="C573" t="s">
        <v>180</v>
      </c>
      <c r="D573">
        <v>102.41</v>
      </c>
      <c r="E573" t="s">
        <v>327</v>
      </c>
      <c r="F573" t="s">
        <v>327</v>
      </c>
      <c r="G573" t="s">
        <v>327</v>
      </c>
      <c r="H573" t="s">
        <v>327</v>
      </c>
      <c r="I573">
        <v>39.22</v>
      </c>
      <c r="J573" t="s">
        <v>327</v>
      </c>
      <c r="K573" t="s">
        <v>327</v>
      </c>
      <c r="L573" t="s">
        <v>365</v>
      </c>
      <c r="M573" t="s">
        <v>372</v>
      </c>
      <c r="N573">
        <v>9.1300000000000008</v>
      </c>
      <c r="O573" t="s">
        <v>327</v>
      </c>
      <c r="P573" t="s">
        <v>327</v>
      </c>
      <c r="Q573">
        <v>4.33</v>
      </c>
      <c r="R573" t="s">
        <v>327</v>
      </c>
      <c r="S573" t="s">
        <v>327</v>
      </c>
      <c r="T573">
        <v>3.01</v>
      </c>
      <c r="U573" t="s">
        <v>386</v>
      </c>
      <c r="V573">
        <v>114.69</v>
      </c>
      <c r="W573" t="s">
        <v>327</v>
      </c>
      <c r="X573">
        <v>2.17</v>
      </c>
      <c r="Y573">
        <v>31.2</v>
      </c>
      <c r="Z573" t="s">
        <v>327</v>
      </c>
    </row>
    <row r="574" spans="1:26" x14ac:dyDescent="0.25">
      <c r="A574" t="s">
        <v>181</v>
      </c>
      <c r="B574" t="s">
        <v>182</v>
      </c>
      <c r="C574" t="s">
        <v>183</v>
      </c>
      <c r="D574">
        <v>894.64</v>
      </c>
      <c r="E574" t="s">
        <v>327</v>
      </c>
      <c r="F574">
        <v>26.27</v>
      </c>
      <c r="G574">
        <v>26.73</v>
      </c>
      <c r="H574">
        <v>20.39</v>
      </c>
      <c r="I574">
        <v>115.9</v>
      </c>
      <c r="J574">
        <v>115.51</v>
      </c>
      <c r="K574">
        <v>169.61</v>
      </c>
      <c r="L574">
        <v>14.22</v>
      </c>
      <c r="M574">
        <v>4.5</v>
      </c>
      <c r="N574">
        <v>28.41</v>
      </c>
      <c r="O574">
        <v>12.24</v>
      </c>
      <c r="P574">
        <v>1.1399999999999999</v>
      </c>
      <c r="Q574">
        <v>9.2899999999999991</v>
      </c>
      <c r="R574">
        <v>14.1</v>
      </c>
      <c r="S574">
        <v>35.14</v>
      </c>
      <c r="T574">
        <v>36.85</v>
      </c>
      <c r="U574">
        <v>36.28</v>
      </c>
      <c r="V574">
        <v>216.33</v>
      </c>
      <c r="W574">
        <v>94.33</v>
      </c>
      <c r="X574">
        <v>8.11</v>
      </c>
      <c r="Y574">
        <v>663.96</v>
      </c>
      <c r="Z574">
        <v>91.86</v>
      </c>
    </row>
    <row r="575" spans="1:26" x14ac:dyDescent="0.25">
      <c r="A575" t="s">
        <v>184</v>
      </c>
      <c r="B575" t="s">
        <v>185</v>
      </c>
      <c r="C575" t="s">
        <v>186</v>
      </c>
      <c r="D575">
        <v>3677.15</v>
      </c>
      <c r="E575">
        <v>1315.84</v>
      </c>
      <c r="F575">
        <v>71.510000000000005</v>
      </c>
      <c r="G575">
        <v>34.24</v>
      </c>
      <c r="H575">
        <v>62.22</v>
      </c>
      <c r="I575">
        <v>1222.22</v>
      </c>
      <c r="J575">
        <v>278.7</v>
      </c>
      <c r="K575">
        <v>150.88999999999999</v>
      </c>
      <c r="L575">
        <v>9.32</v>
      </c>
      <c r="M575">
        <v>20.22</v>
      </c>
      <c r="N575">
        <v>9.56</v>
      </c>
      <c r="O575">
        <v>9.06</v>
      </c>
      <c r="P575">
        <v>5.96</v>
      </c>
      <c r="Q575">
        <v>61.9</v>
      </c>
      <c r="R575">
        <v>333.05</v>
      </c>
      <c r="S575">
        <v>46.23</v>
      </c>
      <c r="T575">
        <v>82.34</v>
      </c>
      <c r="U575">
        <v>2463.5100000000002</v>
      </c>
      <c r="V575">
        <v>21214.86</v>
      </c>
      <c r="W575">
        <v>7201.29</v>
      </c>
      <c r="X575">
        <v>1285.8399999999999</v>
      </c>
      <c r="Y575">
        <v>4390.58</v>
      </c>
      <c r="Z575">
        <v>120.75</v>
      </c>
    </row>
    <row r="576" spans="1:26" x14ac:dyDescent="0.25">
      <c r="A576" t="s">
        <v>187</v>
      </c>
      <c r="B576" t="s">
        <v>188</v>
      </c>
      <c r="C576" t="s">
        <v>189</v>
      </c>
      <c r="D576">
        <v>1304.57</v>
      </c>
      <c r="E576" t="s">
        <v>327</v>
      </c>
      <c r="F576">
        <v>20.079999999999998</v>
      </c>
      <c r="G576">
        <v>19.88</v>
      </c>
      <c r="H576">
        <v>9.27</v>
      </c>
      <c r="I576">
        <v>48.65</v>
      </c>
      <c r="J576">
        <v>89.35</v>
      </c>
      <c r="K576">
        <v>91.74</v>
      </c>
      <c r="L576">
        <v>9.75</v>
      </c>
      <c r="M576" t="s">
        <v>387</v>
      </c>
      <c r="N576">
        <v>27.42</v>
      </c>
      <c r="O576">
        <v>4.3</v>
      </c>
      <c r="P576">
        <v>1.1399999999999999</v>
      </c>
      <c r="Q576">
        <v>7.96</v>
      </c>
      <c r="R576">
        <v>5.81</v>
      </c>
      <c r="S576">
        <v>35.61</v>
      </c>
      <c r="T576">
        <v>24.98</v>
      </c>
      <c r="U576">
        <v>30.38</v>
      </c>
      <c r="V576">
        <v>275.62</v>
      </c>
      <c r="W576">
        <v>114.92</v>
      </c>
      <c r="X576">
        <v>10.82</v>
      </c>
      <c r="Y576">
        <v>589.05999999999995</v>
      </c>
      <c r="Z576">
        <v>51.08</v>
      </c>
    </row>
    <row r="577" spans="1:26" x14ac:dyDescent="0.25">
      <c r="A577" t="s">
        <v>190</v>
      </c>
      <c r="B577" t="s">
        <v>191</v>
      </c>
      <c r="C577" t="s">
        <v>192</v>
      </c>
      <c r="D577">
        <v>1100.17</v>
      </c>
      <c r="E577" t="s">
        <v>327</v>
      </c>
      <c r="F577" t="s">
        <v>332</v>
      </c>
      <c r="G577">
        <v>20.57</v>
      </c>
      <c r="H577" t="s">
        <v>364</v>
      </c>
      <c r="I577">
        <v>75.41</v>
      </c>
      <c r="J577">
        <v>56.28</v>
      </c>
      <c r="K577">
        <v>88.28</v>
      </c>
      <c r="L577">
        <v>7.97</v>
      </c>
      <c r="M577" t="s">
        <v>380</v>
      </c>
      <c r="N577">
        <v>15.39</v>
      </c>
      <c r="O577">
        <v>4.72</v>
      </c>
      <c r="P577" t="s">
        <v>351</v>
      </c>
      <c r="Q577">
        <v>4.33</v>
      </c>
      <c r="R577">
        <v>5.21</v>
      </c>
      <c r="S577">
        <v>25.02</v>
      </c>
      <c r="T577">
        <v>23.47</v>
      </c>
      <c r="U577">
        <v>31.27</v>
      </c>
      <c r="V577">
        <v>223.56</v>
      </c>
      <c r="W577">
        <v>75.27</v>
      </c>
      <c r="X577">
        <v>9.9600000000000009</v>
      </c>
      <c r="Y577">
        <v>506.78</v>
      </c>
      <c r="Z577">
        <v>37.42</v>
      </c>
    </row>
    <row r="578" spans="1:26" x14ac:dyDescent="0.25">
      <c r="A578" t="s">
        <v>193</v>
      </c>
      <c r="B578" t="s">
        <v>194</v>
      </c>
      <c r="C578" t="s">
        <v>195</v>
      </c>
      <c r="D578">
        <v>1374.05</v>
      </c>
      <c r="E578">
        <v>86.24</v>
      </c>
      <c r="F578">
        <v>30.14</v>
      </c>
      <c r="G578">
        <v>18.649999999999999</v>
      </c>
      <c r="H578">
        <v>21.23</v>
      </c>
      <c r="I578">
        <v>449.12</v>
      </c>
      <c r="J578">
        <v>104.3</v>
      </c>
      <c r="K578">
        <v>57.65</v>
      </c>
      <c r="L578">
        <v>7.97</v>
      </c>
      <c r="M578">
        <v>3.51</v>
      </c>
      <c r="N578">
        <v>6.53</v>
      </c>
      <c r="O578">
        <v>4.4400000000000004</v>
      </c>
      <c r="P578">
        <v>1.3</v>
      </c>
      <c r="Q578">
        <v>7.77</v>
      </c>
      <c r="R578">
        <v>36.630000000000003</v>
      </c>
      <c r="S578">
        <v>19.05</v>
      </c>
      <c r="T578">
        <v>30.1</v>
      </c>
      <c r="U578">
        <v>178.77</v>
      </c>
      <c r="V578">
        <v>2259.31</v>
      </c>
      <c r="W578">
        <v>1037.9100000000001</v>
      </c>
      <c r="X578">
        <v>261.62</v>
      </c>
      <c r="Y578">
        <v>5372.07</v>
      </c>
      <c r="Z578">
        <v>34.979999999999997</v>
      </c>
    </row>
    <row r="579" spans="1:26" x14ac:dyDescent="0.25">
      <c r="A579" t="s">
        <v>196</v>
      </c>
      <c r="B579" t="s">
        <v>197</v>
      </c>
      <c r="C579" t="s">
        <v>198</v>
      </c>
      <c r="D579">
        <v>1025.8699999999999</v>
      </c>
      <c r="E579" t="s">
        <v>327</v>
      </c>
      <c r="F579">
        <v>17.29</v>
      </c>
      <c r="G579">
        <v>30.02</v>
      </c>
      <c r="H579">
        <v>10.14</v>
      </c>
      <c r="I579">
        <v>58.46</v>
      </c>
      <c r="J579">
        <v>100.56</v>
      </c>
      <c r="K579">
        <v>131.74</v>
      </c>
      <c r="L579">
        <v>9.1</v>
      </c>
      <c r="M579" t="s">
        <v>388</v>
      </c>
      <c r="N579">
        <v>32.909999999999997</v>
      </c>
      <c r="O579">
        <v>4.3</v>
      </c>
      <c r="P579" t="s">
        <v>356</v>
      </c>
      <c r="Q579">
        <v>10.050000000000001</v>
      </c>
      <c r="R579">
        <v>8.9</v>
      </c>
      <c r="S579">
        <v>42.99</v>
      </c>
      <c r="T579">
        <v>39.159999999999997</v>
      </c>
      <c r="U579">
        <v>35.69</v>
      </c>
      <c r="V579">
        <v>198.54</v>
      </c>
      <c r="W579">
        <v>103.65</v>
      </c>
      <c r="X579">
        <v>13.65</v>
      </c>
      <c r="Y579">
        <v>1228.98</v>
      </c>
      <c r="Z579">
        <v>53.6</v>
      </c>
    </row>
    <row r="580" spans="1:26" x14ac:dyDescent="0.25">
      <c r="A580" t="s">
        <v>199</v>
      </c>
      <c r="B580" t="s">
        <v>200</v>
      </c>
      <c r="C580" t="s">
        <v>201</v>
      </c>
      <c r="D580">
        <v>721.85</v>
      </c>
      <c r="E580" t="s">
        <v>327</v>
      </c>
      <c r="F580">
        <v>17.29</v>
      </c>
      <c r="G580">
        <v>26.45</v>
      </c>
      <c r="H580">
        <v>10.58</v>
      </c>
      <c r="I580">
        <v>63.81</v>
      </c>
      <c r="J580">
        <v>86.86</v>
      </c>
      <c r="K580">
        <v>108.73</v>
      </c>
      <c r="L580">
        <v>8.56</v>
      </c>
      <c r="M580" t="s">
        <v>389</v>
      </c>
      <c r="N580">
        <v>25.25</v>
      </c>
      <c r="O580">
        <v>5.42</v>
      </c>
      <c r="P580">
        <v>0.82</v>
      </c>
      <c r="Q580">
        <v>7.39</v>
      </c>
      <c r="R580">
        <v>11.27</v>
      </c>
      <c r="S580">
        <v>37.68</v>
      </c>
      <c r="T580">
        <v>31.8</v>
      </c>
      <c r="U580">
        <v>33.630000000000003</v>
      </c>
      <c r="V580">
        <v>248.8</v>
      </c>
      <c r="W580">
        <v>167.53</v>
      </c>
      <c r="X580">
        <v>25.96</v>
      </c>
      <c r="Y580">
        <v>2094.85</v>
      </c>
      <c r="Z580">
        <v>46.07</v>
      </c>
    </row>
    <row r="581" spans="1:26" x14ac:dyDescent="0.25">
      <c r="A581" t="s">
        <v>202</v>
      </c>
      <c r="B581" t="s">
        <v>203</v>
      </c>
      <c r="C581" t="s">
        <v>204</v>
      </c>
      <c r="D581">
        <v>1074.08</v>
      </c>
      <c r="E581">
        <v>184.87</v>
      </c>
      <c r="F581">
        <v>41.31</v>
      </c>
      <c r="G581">
        <v>52</v>
      </c>
      <c r="H581">
        <v>336.22</v>
      </c>
      <c r="I581">
        <v>1579.45</v>
      </c>
      <c r="J581">
        <v>196.59</v>
      </c>
      <c r="K581">
        <v>118.69</v>
      </c>
      <c r="L581">
        <v>8.67</v>
      </c>
      <c r="M581">
        <v>13.16</v>
      </c>
      <c r="N581">
        <v>18.75</v>
      </c>
      <c r="O581">
        <v>9.81</v>
      </c>
      <c r="P581">
        <v>3.59</v>
      </c>
      <c r="Q581">
        <v>25.72</v>
      </c>
      <c r="R581">
        <v>224.05</v>
      </c>
      <c r="S581">
        <v>36.99</v>
      </c>
      <c r="T581">
        <v>33.1</v>
      </c>
      <c r="U581">
        <v>391.07</v>
      </c>
      <c r="V581">
        <v>25333.87</v>
      </c>
      <c r="W581">
        <v>10890.76</v>
      </c>
      <c r="X581">
        <v>3643.53</v>
      </c>
      <c r="Y581" t="s">
        <v>390</v>
      </c>
      <c r="Z581">
        <v>100.52</v>
      </c>
    </row>
    <row r="582" spans="1:26" x14ac:dyDescent="0.25">
      <c r="A582" t="s">
        <v>205</v>
      </c>
      <c r="B582" t="s">
        <v>206</v>
      </c>
      <c r="C582" t="s">
        <v>207</v>
      </c>
      <c r="D582">
        <v>635.4</v>
      </c>
      <c r="E582" t="s">
        <v>327</v>
      </c>
      <c r="F582" t="s">
        <v>339</v>
      </c>
      <c r="G582">
        <v>22.79</v>
      </c>
      <c r="H582" t="s">
        <v>329</v>
      </c>
      <c r="I582">
        <v>60.89</v>
      </c>
      <c r="J582">
        <v>65.03</v>
      </c>
      <c r="K582">
        <v>96.89</v>
      </c>
      <c r="L582">
        <v>1.04</v>
      </c>
      <c r="M582" t="s">
        <v>354</v>
      </c>
      <c r="N582">
        <v>10.09</v>
      </c>
      <c r="O582">
        <v>2.41</v>
      </c>
      <c r="P582">
        <v>0.9</v>
      </c>
      <c r="Q582">
        <v>11.56</v>
      </c>
      <c r="R582">
        <v>7.1</v>
      </c>
      <c r="S582">
        <v>27.77</v>
      </c>
      <c r="T582">
        <v>19.43</v>
      </c>
      <c r="U582">
        <v>69.88</v>
      </c>
      <c r="V582">
        <v>349.08</v>
      </c>
      <c r="W582">
        <v>141.09</v>
      </c>
      <c r="X582">
        <v>40.47</v>
      </c>
      <c r="Y582">
        <v>842.83</v>
      </c>
      <c r="Z582">
        <v>24.8</v>
      </c>
    </row>
    <row r="583" spans="1:26" x14ac:dyDescent="0.25">
      <c r="A583" t="s">
        <v>208</v>
      </c>
      <c r="B583" t="s">
        <v>209</v>
      </c>
      <c r="C583" t="s">
        <v>210</v>
      </c>
      <c r="D583">
        <v>1962.63</v>
      </c>
      <c r="E583">
        <v>248.16</v>
      </c>
      <c r="F583">
        <v>32.75</v>
      </c>
      <c r="G583">
        <v>31.33</v>
      </c>
      <c r="H583">
        <v>27.03</v>
      </c>
      <c r="I583">
        <v>466.05</v>
      </c>
      <c r="J583">
        <v>129.22</v>
      </c>
      <c r="K583">
        <v>125.25</v>
      </c>
      <c r="L583">
        <v>9.15</v>
      </c>
      <c r="M583">
        <v>5.63</v>
      </c>
      <c r="N583">
        <v>19.05</v>
      </c>
      <c r="O583">
        <v>6.85</v>
      </c>
      <c r="P583">
        <v>2.67</v>
      </c>
      <c r="Q583">
        <v>19.04</v>
      </c>
      <c r="R583">
        <v>73.930000000000007</v>
      </c>
      <c r="S583">
        <v>49.94</v>
      </c>
      <c r="T583">
        <v>28.19</v>
      </c>
      <c r="U583">
        <v>292.5</v>
      </c>
      <c r="V583">
        <v>3687.78</v>
      </c>
      <c r="W583">
        <v>884.45</v>
      </c>
      <c r="X583">
        <v>290.95</v>
      </c>
      <c r="Y583">
        <v>4621.37</v>
      </c>
      <c r="Z583">
        <v>63.79</v>
      </c>
    </row>
    <row r="584" spans="1:26" x14ac:dyDescent="0.25">
      <c r="A584" t="s">
        <v>211</v>
      </c>
      <c r="B584" t="s">
        <v>212</v>
      </c>
      <c r="C584" t="s">
        <v>213</v>
      </c>
      <c r="D584">
        <v>1411.85</v>
      </c>
      <c r="E584" t="s">
        <v>327</v>
      </c>
      <c r="F584">
        <v>10.73</v>
      </c>
      <c r="G584">
        <v>22.23</v>
      </c>
      <c r="H584">
        <v>8.83</v>
      </c>
      <c r="I584">
        <v>98.37</v>
      </c>
      <c r="J584">
        <v>88.72</v>
      </c>
      <c r="K584">
        <v>77.73</v>
      </c>
      <c r="L584">
        <v>7.6</v>
      </c>
      <c r="M584" t="s">
        <v>391</v>
      </c>
      <c r="N584">
        <v>25.45</v>
      </c>
      <c r="O584">
        <v>3.21</v>
      </c>
      <c r="P584">
        <v>1.22</v>
      </c>
      <c r="Q584">
        <v>3.56</v>
      </c>
      <c r="R584">
        <v>7.33</v>
      </c>
      <c r="S584">
        <v>35.369999999999997</v>
      </c>
      <c r="T584">
        <v>30.37</v>
      </c>
      <c r="U584">
        <v>32.450000000000003</v>
      </c>
      <c r="V584">
        <v>230.69</v>
      </c>
      <c r="W584">
        <v>101.7</v>
      </c>
      <c r="X584">
        <v>9.76</v>
      </c>
      <c r="Y584">
        <v>581.14</v>
      </c>
      <c r="Z584">
        <v>38.65</v>
      </c>
    </row>
    <row r="585" spans="1:26" x14ac:dyDescent="0.25">
      <c r="A585" t="s">
        <v>214</v>
      </c>
      <c r="B585" t="s">
        <v>215</v>
      </c>
      <c r="C585" t="s">
        <v>216</v>
      </c>
      <c r="D585">
        <v>23.71</v>
      </c>
      <c r="E585" t="s">
        <v>327</v>
      </c>
      <c r="F585" t="s">
        <v>327</v>
      </c>
      <c r="G585">
        <v>1.97</v>
      </c>
      <c r="H585" t="s">
        <v>327</v>
      </c>
      <c r="I585" t="s">
        <v>392</v>
      </c>
      <c r="J585" t="s">
        <v>327</v>
      </c>
      <c r="K585" t="s">
        <v>340</v>
      </c>
      <c r="L585" t="s">
        <v>327</v>
      </c>
      <c r="M585" t="s">
        <v>327</v>
      </c>
      <c r="N585" t="s">
        <v>327</v>
      </c>
      <c r="O585" t="s">
        <v>327</v>
      </c>
      <c r="P585" t="s">
        <v>327</v>
      </c>
      <c r="Q585" t="s">
        <v>327</v>
      </c>
      <c r="R585" t="s">
        <v>327</v>
      </c>
      <c r="S585" t="s">
        <v>393</v>
      </c>
      <c r="T585" t="s">
        <v>327</v>
      </c>
      <c r="U585">
        <v>4.07</v>
      </c>
      <c r="V585" t="s">
        <v>327</v>
      </c>
      <c r="W585" t="s">
        <v>327</v>
      </c>
      <c r="X585" t="s">
        <v>394</v>
      </c>
      <c r="Y585">
        <v>65.44</v>
      </c>
      <c r="Z585" t="s">
        <v>327</v>
      </c>
    </row>
    <row r="586" spans="1:26" x14ac:dyDescent="0.25">
      <c r="A586" t="s">
        <v>217</v>
      </c>
      <c r="B586" t="s">
        <v>218</v>
      </c>
      <c r="C586" t="s">
        <v>219</v>
      </c>
      <c r="D586">
        <v>1137.8</v>
      </c>
      <c r="E586" t="s">
        <v>327</v>
      </c>
      <c r="F586">
        <v>17.29</v>
      </c>
      <c r="G586">
        <v>22.51</v>
      </c>
      <c r="H586">
        <v>17.02</v>
      </c>
      <c r="I586">
        <v>163.36000000000001</v>
      </c>
      <c r="J586">
        <v>88.1</v>
      </c>
      <c r="K586">
        <v>115.39</v>
      </c>
      <c r="L586">
        <v>11.28</v>
      </c>
      <c r="M586" t="s">
        <v>388</v>
      </c>
      <c r="N586">
        <v>13.75</v>
      </c>
      <c r="O586">
        <v>5.14</v>
      </c>
      <c r="P586">
        <v>1.53</v>
      </c>
      <c r="Q586">
        <v>6.63</v>
      </c>
      <c r="R586">
        <v>10.69</v>
      </c>
      <c r="S586">
        <v>27.77</v>
      </c>
      <c r="T586">
        <v>16.55</v>
      </c>
      <c r="U586">
        <v>110.21</v>
      </c>
      <c r="V586">
        <v>498.95</v>
      </c>
      <c r="W586">
        <v>214.22</v>
      </c>
      <c r="X586">
        <v>32.75</v>
      </c>
      <c r="Y586">
        <v>2680.23</v>
      </c>
      <c r="Z586">
        <v>51.08</v>
      </c>
    </row>
    <row r="587" spans="1:26" x14ac:dyDescent="0.25">
      <c r="A587" t="s">
        <v>220</v>
      </c>
      <c r="B587" t="s">
        <v>221</v>
      </c>
      <c r="C587" t="s">
        <v>222</v>
      </c>
      <c r="D587">
        <v>839.51</v>
      </c>
      <c r="E587" t="s">
        <v>327</v>
      </c>
      <c r="F587">
        <v>12.54</v>
      </c>
      <c r="G587">
        <v>19.739999999999998</v>
      </c>
      <c r="H587">
        <v>8.83</v>
      </c>
      <c r="I587">
        <v>62.84</v>
      </c>
      <c r="J587">
        <v>70.02</v>
      </c>
      <c r="K587">
        <v>95.18</v>
      </c>
      <c r="L587">
        <v>9.9700000000000006</v>
      </c>
      <c r="M587" t="s">
        <v>387</v>
      </c>
      <c r="N587">
        <v>14.88</v>
      </c>
      <c r="O587">
        <v>4.8600000000000003</v>
      </c>
      <c r="P587">
        <v>1.3</v>
      </c>
      <c r="Q587">
        <v>6.63</v>
      </c>
      <c r="R587">
        <v>5.21</v>
      </c>
      <c r="S587">
        <v>25.02</v>
      </c>
      <c r="T587">
        <v>18.47</v>
      </c>
      <c r="U587">
        <v>33.92</v>
      </c>
      <c r="V587">
        <v>307.66000000000003</v>
      </c>
      <c r="W587">
        <v>154.13999999999999</v>
      </c>
      <c r="X587">
        <v>25.21</v>
      </c>
      <c r="Y587">
        <v>2478.65</v>
      </c>
      <c r="Z587">
        <v>38.65</v>
      </c>
    </row>
    <row r="588" spans="1:26" x14ac:dyDescent="0.25">
      <c r="A588" t="s">
        <v>223</v>
      </c>
      <c r="B588" t="s">
        <v>224</v>
      </c>
      <c r="C588" t="s">
        <v>225</v>
      </c>
      <c r="D588">
        <v>1602.76</v>
      </c>
      <c r="E588">
        <v>178.68</v>
      </c>
      <c r="F588">
        <v>18.72</v>
      </c>
      <c r="G588">
        <v>17.29</v>
      </c>
      <c r="H588">
        <v>6.6</v>
      </c>
      <c r="I588">
        <v>178.32</v>
      </c>
      <c r="J588">
        <v>94.33</v>
      </c>
      <c r="K588">
        <v>84.79</v>
      </c>
      <c r="L588">
        <v>6.27</v>
      </c>
      <c r="M588" t="s">
        <v>381</v>
      </c>
      <c r="N588">
        <v>9.77</v>
      </c>
      <c r="O588">
        <v>4.03</v>
      </c>
      <c r="P588">
        <v>0.75</v>
      </c>
      <c r="Q588">
        <v>8.5299999999999994</v>
      </c>
      <c r="R588">
        <v>56.97</v>
      </c>
      <c r="S588">
        <v>25.48</v>
      </c>
      <c r="T588">
        <v>21.97</v>
      </c>
      <c r="U588">
        <v>267.87</v>
      </c>
      <c r="V588">
        <v>1565.24</v>
      </c>
      <c r="W588">
        <v>416.32</v>
      </c>
      <c r="X588">
        <v>84.96</v>
      </c>
      <c r="Y588">
        <v>2313.6799999999998</v>
      </c>
      <c r="Z588">
        <v>39.880000000000003</v>
      </c>
    </row>
    <row r="589" spans="1:26" x14ac:dyDescent="0.25">
      <c r="A589" t="s">
        <v>226</v>
      </c>
      <c r="B589" t="s">
        <v>227</v>
      </c>
      <c r="C589" t="s">
        <v>228</v>
      </c>
      <c r="D589">
        <v>418.59</v>
      </c>
      <c r="E589" t="s">
        <v>395</v>
      </c>
      <c r="F589" t="s">
        <v>332</v>
      </c>
      <c r="G589">
        <v>20.29</v>
      </c>
      <c r="H589" t="s">
        <v>327</v>
      </c>
      <c r="I589">
        <v>40.71</v>
      </c>
      <c r="J589" t="s">
        <v>327</v>
      </c>
      <c r="K589">
        <v>81.27</v>
      </c>
      <c r="L589">
        <v>2.17</v>
      </c>
      <c r="M589" t="s">
        <v>354</v>
      </c>
      <c r="N589">
        <v>10.09</v>
      </c>
      <c r="O589">
        <v>4.58</v>
      </c>
      <c r="P589" t="s">
        <v>361</v>
      </c>
      <c r="Q589">
        <v>5.87</v>
      </c>
      <c r="R589" t="s">
        <v>327</v>
      </c>
      <c r="S589">
        <v>12.65</v>
      </c>
      <c r="T589">
        <v>6.08</v>
      </c>
      <c r="U589">
        <v>180.69</v>
      </c>
      <c r="V589">
        <v>2073.58</v>
      </c>
      <c r="W589">
        <v>334.09</v>
      </c>
      <c r="X589">
        <v>27.89</v>
      </c>
      <c r="Y589">
        <v>3424.35</v>
      </c>
      <c r="Z589">
        <v>25.39</v>
      </c>
    </row>
    <row r="590" spans="1:26" x14ac:dyDescent="0.25">
      <c r="A590" t="s">
        <v>229</v>
      </c>
      <c r="B590" t="s">
        <v>230</v>
      </c>
      <c r="C590" t="s">
        <v>231</v>
      </c>
      <c r="D590">
        <v>1978</v>
      </c>
      <c r="E590" t="s">
        <v>327</v>
      </c>
      <c r="F590">
        <v>14.22</v>
      </c>
      <c r="G590">
        <v>14.22</v>
      </c>
      <c r="H590" t="s">
        <v>327</v>
      </c>
      <c r="I590">
        <v>90.74</v>
      </c>
      <c r="J590">
        <v>56.91</v>
      </c>
      <c r="K590">
        <v>50.03</v>
      </c>
      <c r="L590">
        <v>6.43</v>
      </c>
      <c r="M590" t="s">
        <v>380</v>
      </c>
      <c r="N590">
        <v>6.75</v>
      </c>
      <c r="O590">
        <v>2.41</v>
      </c>
      <c r="P590">
        <v>1.53</v>
      </c>
      <c r="Q590">
        <v>1.61</v>
      </c>
      <c r="R590">
        <v>6.17</v>
      </c>
      <c r="S590">
        <v>15.39</v>
      </c>
      <c r="T590">
        <v>15.59</v>
      </c>
      <c r="U590">
        <v>37.909999999999997</v>
      </c>
      <c r="V590">
        <v>311.41000000000003</v>
      </c>
      <c r="W590">
        <v>131.22999999999999</v>
      </c>
      <c r="X590">
        <v>21.14</v>
      </c>
      <c r="Y590">
        <v>1695.88</v>
      </c>
      <c r="Z590">
        <v>28.95</v>
      </c>
    </row>
    <row r="591" spans="1:26" x14ac:dyDescent="0.25">
      <c r="A591" t="s">
        <v>232</v>
      </c>
      <c r="B591" t="s">
        <v>233</v>
      </c>
      <c r="C591" t="s">
        <v>234</v>
      </c>
      <c r="D591">
        <v>916.15</v>
      </c>
      <c r="E591" t="s">
        <v>327</v>
      </c>
      <c r="F591">
        <v>26.27</v>
      </c>
      <c r="G591">
        <v>17.29</v>
      </c>
      <c r="H591" t="s">
        <v>396</v>
      </c>
      <c r="I591">
        <v>78.3</v>
      </c>
      <c r="J591">
        <v>59.41</v>
      </c>
      <c r="K591">
        <v>81.27</v>
      </c>
      <c r="L591">
        <v>6.75</v>
      </c>
      <c r="M591" t="s">
        <v>354</v>
      </c>
      <c r="N591">
        <v>5.21</v>
      </c>
      <c r="O591">
        <v>5.99</v>
      </c>
      <c r="P591">
        <v>1.3</v>
      </c>
      <c r="Q591">
        <v>3.75</v>
      </c>
      <c r="R591">
        <v>7.1</v>
      </c>
      <c r="S591">
        <v>19.28</v>
      </c>
      <c r="T591">
        <v>18.34</v>
      </c>
      <c r="U591">
        <v>32.450000000000003</v>
      </c>
      <c r="V591">
        <v>335.92</v>
      </c>
      <c r="W591">
        <v>112.48</v>
      </c>
      <c r="X591">
        <v>22.78</v>
      </c>
      <c r="Y591">
        <v>2224.4499999999998</v>
      </c>
      <c r="Z591">
        <v>34.979999999999997</v>
      </c>
    </row>
    <row r="592" spans="1:26" x14ac:dyDescent="0.25">
      <c r="A592" t="s">
        <v>235</v>
      </c>
      <c r="B592" t="s">
        <v>236</v>
      </c>
      <c r="C592" t="s">
        <v>237</v>
      </c>
      <c r="D592">
        <v>1339.36</v>
      </c>
      <c r="E592">
        <v>68.56</v>
      </c>
      <c r="F592">
        <v>28.52</v>
      </c>
      <c r="G592">
        <v>21.67</v>
      </c>
      <c r="H592">
        <v>36.01</v>
      </c>
      <c r="I592">
        <v>169.91</v>
      </c>
      <c r="J592">
        <v>127.97</v>
      </c>
      <c r="K592">
        <v>105.37</v>
      </c>
      <c r="L592">
        <v>8.4499999999999993</v>
      </c>
      <c r="M592" t="s">
        <v>397</v>
      </c>
      <c r="N592">
        <v>16.920000000000002</v>
      </c>
      <c r="O592">
        <v>4.58</v>
      </c>
      <c r="P592">
        <v>1.61</v>
      </c>
      <c r="Q592">
        <v>13.25</v>
      </c>
      <c r="R592">
        <v>42.32</v>
      </c>
      <c r="S592">
        <v>26.85</v>
      </c>
      <c r="T592">
        <v>22.65</v>
      </c>
      <c r="U592">
        <v>267.43</v>
      </c>
      <c r="V592">
        <v>2728.64</v>
      </c>
      <c r="W592">
        <v>955.37</v>
      </c>
      <c r="X592">
        <v>285.23</v>
      </c>
      <c r="Y592">
        <v>3947.68</v>
      </c>
      <c r="Z592">
        <v>54.86</v>
      </c>
    </row>
    <row r="593" spans="1:26" x14ac:dyDescent="0.25">
      <c r="A593" t="s">
        <v>238</v>
      </c>
      <c r="B593" t="s">
        <v>239</v>
      </c>
      <c r="C593" t="s">
        <v>240</v>
      </c>
      <c r="D593">
        <v>1611.11</v>
      </c>
      <c r="E593">
        <v>332.48</v>
      </c>
      <c r="F593">
        <v>38.58</v>
      </c>
      <c r="G593">
        <v>58.67</v>
      </c>
      <c r="H593">
        <v>115.1</v>
      </c>
      <c r="I593">
        <v>278.02</v>
      </c>
      <c r="J593">
        <v>132.94999999999999</v>
      </c>
      <c r="K593">
        <v>141.37</v>
      </c>
      <c r="L593">
        <v>8.67</v>
      </c>
      <c r="M593">
        <v>11.2</v>
      </c>
      <c r="N593">
        <v>15.19</v>
      </c>
      <c r="O593">
        <v>8.61</v>
      </c>
      <c r="P593">
        <v>3.25</v>
      </c>
      <c r="Q593">
        <v>20.53</v>
      </c>
      <c r="R593">
        <v>184.09</v>
      </c>
      <c r="S593">
        <v>32.15</v>
      </c>
      <c r="T593">
        <v>31.46</v>
      </c>
      <c r="U593">
        <v>937.93</v>
      </c>
      <c r="V593">
        <v>6631.04</v>
      </c>
      <c r="W593">
        <v>3174.71</v>
      </c>
      <c r="X593">
        <v>617.42999999999995</v>
      </c>
      <c r="Y593">
        <v>12980.54</v>
      </c>
      <c r="Z593">
        <v>103.2</v>
      </c>
    </row>
    <row r="594" spans="1:26" x14ac:dyDescent="0.25">
      <c r="A594" t="s">
        <v>241</v>
      </c>
      <c r="B594" t="s">
        <v>242</v>
      </c>
      <c r="C594" t="s">
        <v>243</v>
      </c>
      <c r="D594">
        <v>573.52</v>
      </c>
      <c r="E594">
        <v>500.24</v>
      </c>
      <c r="F594">
        <v>38.58</v>
      </c>
      <c r="G594">
        <v>120.68</v>
      </c>
      <c r="H594">
        <v>2198.6</v>
      </c>
      <c r="I594">
        <v>1057.5999999999999</v>
      </c>
      <c r="J594">
        <v>266.13</v>
      </c>
      <c r="K594">
        <v>102</v>
      </c>
      <c r="L594">
        <v>7.17</v>
      </c>
      <c r="M594">
        <v>16.16</v>
      </c>
      <c r="N594">
        <v>30.76</v>
      </c>
      <c r="O594">
        <v>11.62</v>
      </c>
      <c r="P594">
        <v>3.34</v>
      </c>
      <c r="Q594">
        <v>18.11</v>
      </c>
      <c r="R594">
        <v>192.16</v>
      </c>
      <c r="S594">
        <v>34.909999999999997</v>
      </c>
      <c r="T594">
        <v>63.46</v>
      </c>
      <c r="U594">
        <v>487.39</v>
      </c>
      <c r="V594" t="s">
        <v>326</v>
      </c>
      <c r="W594">
        <v>24240.62</v>
      </c>
      <c r="X594" t="s">
        <v>326</v>
      </c>
      <c r="Y594" t="s">
        <v>398</v>
      </c>
      <c r="Z594">
        <v>136.47</v>
      </c>
    </row>
    <row r="595" spans="1:26" x14ac:dyDescent="0.25">
      <c r="A595" t="s">
        <v>244</v>
      </c>
      <c r="B595" t="s">
        <v>245</v>
      </c>
      <c r="C595" t="s">
        <v>246</v>
      </c>
      <c r="D595">
        <v>847.12</v>
      </c>
      <c r="E595" t="s">
        <v>371</v>
      </c>
      <c r="F595">
        <v>10.73</v>
      </c>
      <c r="G595">
        <v>9.4499999999999993</v>
      </c>
      <c r="H595" t="s">
        <v>377</v>
      </c>
      <c r="I595">
        <v>158.22</v>
      </c>
      <c r="J595">
        <v>70.64</v>
      </c>
      <c r="K595" t="s">
        <v>360</v>
      </c>
      <c r="L595">
        <v>5.13</v>
      </c>
      <c r="M595" t="s">
        <v>331</v>
      </c>
      <c r="N595" t="s">
        <v>344</v>
      </c>
      <c r="O595">
        <v>2.81</v>
      </c>
      <c r="P595">
        <v>1.37</v>
      </c>
      <c r="Q595" t="s">
        <v>331</v>
      </c>
      <c r="R595">
        <v>8.26</v>
      </c>
      <c r="S595">
        <v>11.73</v>
      </c>
      <c r="T595">
        <v>26.41</v>
      </c>
      <c r="U595">
        <v>64.28</v>
      </c>
      <c r="V595">
        <v>236.32</v>
      </c>
      <c r="W595">
        <v>207.44</v>
      </c>
      <c r="X595">
        <v>29.61</v>
      </c>
      <c r="Y595">
        <v>3897.64</v>
      </c>
      <c r="Z595">
        <v>20.7</v>
      </c>
    </row>
    <row r="596" spans="1:26" x14ac:dyDescent="0.25">
      <c r="A596" t="s">
        <v>247</v>
      </c>
      <c r="B596" t="s">
        <v>248</v>
      </c>
      <c r="C596" t="s">
        <v>249</v>
      </c>
      <c r="D596">
        <v>398.95</v>
      </c>
      <c r="E596" t="s">
        <v>327</v>
      </c>
      <c r="F596" t="s">
        <v>327</v>
      </c>
      <c r="G596">
        <v>9.83</v>
      </c>
      <c r="H596" t="s">
        <v>399</v>
      </c>
      <c r="I596">
        <v>167.11</v>
      </c>
      <c r="J596">
        <v>48.15</v>
      </c>
      <c r="K596">
        <v>63.23</v>
      </c>
      <c r="L596">
        <v>7.49</v>
      </c>
      <c r="M596" t="s">
        <v>331</v>
      </c>
      <c r="N596">
        <v>3.15</v>
      </c>
      <c r="O596">
        <v>3.21</v>
      </c>
      <c r="P596" t="s">
        <v>361</v>
      </c>
      <c r="Q596">
        <v>4.72</v>
      </c>
      <c r="R596">
        <v>8.26</v>
      </c>
      <c r="S596">
        <v>9.23</v>
      </c>
      <c r="T596">
        <v>12.15</v>
      </c>
      <c r="U596">
        <v>26.25</v>
      </c>
      <c r="V596">
        <v>229.27</v>
      </c>
      <c r="W596">
        <v>142.16</v>
      </c>
      <c r="X596">
        <v>21.67</v>
      </c>
      <c r="Y596">
        <v>710.19</v>
      </c>
      <c r="Z596">
        <v>25.39</v>
      </c>
    </row>
    <row r="597" spans="1:26" x14ac:dyDescent="0.25">
      <c r="A597" t="s">
        <v>250</v>
      </c>
      <c r="B597" t="s">
        <v>251</v>
      </c>
      <c r="C597" t="s">
        <v>252</v>
      </c>
      <c r="D597">
        <v>839.71</v>
      </c>
      <c r="E597" t="s">
        <v>327</v>
      </c>
      <c r="F597">
        <v>15.8</v>
      </c>
      <c r="G597">
        <v>12.39</v>
      </c>
      <c r="H597" t="s">
        <v>338</v>
      </c>
      <c r="I597">
        <v>122.99</v>
      </c>
      <c r="J597">
        <v>51.91</v>
      </c>
      <c r="K597">
        <v>44.18</v>
      </c>
      <c r="L597">
        <v>5.49</v>
      </c>
      <c r="M597" t="s">
        <v>331</v>
      </c>
      <c r="N597">
        <v>3.85</v>
      </c>
      <c r="O597">
        <v>3.48</v>
      </c>
      <c r="P597">
        <v>0.82</v>
      </c>
      <c r="Q597">
        <v>2</v>
      </c>
      <c r="R597">
        <v>8.7200000000000006</v>
      </c>
      <c r="S597">
        <v>12.19</v>
      </c>
      <c r="T597">
        <v>14.77</v>
      </c>
      <c r="U597">
        <v>38.049999999999997</v>
      </c>
      <c r="V597">
        <v>216.33</v>
      </c>
      <c r="W597">
        <v>209.15</v>
      </c>
      <c r="X597">
        <v>35.1</v>
      </c>
      <c r="Y597">
        <v>5240.79</v>
      </c>
      <c r="Z597">
        <v>21.87</v>
      </c>
    </row>
    <row r="598" spans="1:26" x14ac:dyDescent="0.25">
      <c r="A598" t="s">
        <v>253</v>
      </c>
      <c r="B598" t="s">
        <v>254</v>
      </c>
      <c r="C598" t="s">
        <v>255</v>
      </c>
      <c r="D598">
        <v>1651.92</v>
      </c>
      <c r="E598">
        <v>48.96</v>
      </c>
      <c r="F598">
        <v>24.5</v>
      </c>
      <c r="G598">
        <v>13.04</v>
      </c>
      <c r="H598">
        <v>23.73</v>
      </c>
      <c r="I598">
        <v>635.91999999999996</v>
      </c>
      <c r="J598">
        <v>43.14</v>
      </c>
      <c r="K598">
        <v>51.96</v>
      </c>
      <c r="L598">
        <v>2.12</v>
      </c>
      <c r="M598">
        <v>6.39</v>
      </c>
      <c r="N598">
        <v>3.5</v>
      </c>
      <c r="O598">
        <v>5.28</v>
      </c>
      <c r="P598">
        <v>2.1800000000000002</v>
      </c>
      <c r="Q598">
        <v>9.67</v>
      </c>
      <c r="R598">
        <v>68.88</v>
      </c>
      <c r="S598">
        <v>9</v>
      </c>
      <c r="T598">
        <v>13.12</v>
      </c>
      <c r="U598">
        <v>185.25</v>
      </c>
      <c r="V598">
        <v>1554.33</v>
      </c>
      <c r="W598">
        <v>611.97</v>
      </c>
      <c r="X598">
        <v>92.77</v>
      </c>
      <c r="Y598">
        <v>4315.6000000000004</v>
      </c>
      <c r="Z598">
        <v>26.57</v>
      </c>
    </row>
    <row r="599" spans="1:26" x14ac:dyDescent="0.25">
      <c r="A599" t="s">
        <v>256</v>
      </c>
      <c r="B599" t="s">
        <v>257</v>
      </c>
      <c r="C599" t="s">
        <v>258</v>
      </c>
      <c r="D599">
        <v>472.07</v>
      </c>
      <c r="E599" t="s">
        <v>327</v>
      </c>
      <c r="F599" t="s">
        <v>332</v>
      </c>
      <c r="G599">
        <v>6.14</v>
      </c>
      <c r="H599" t="s">
        <v>336</v>
      </c>
      <c r="I599">
        <v>190.46</v>
      </c>
      <c r="J599">
        <v>61.91</v>
      </c>
      <c r="K599" t="s">
        <v>360</v>
      </c>
      <c r="L599">
        <v>4.67</v>
      </c>
      <c r="M599" t="s">
        <v>375</v>
      </c>
      <c r="N599" t="s">
        <v>365</v>
      </c>
      <c r="O599">
        <v>2.41</v>
      </c>
      <c r="P599">
        <v>0.9</v>
      </c>
      <c r="Q599" t="s">
        <v>357</v>
      </c>
      <c r="R599">
        <v>8.9600000000000009</v>
      </c>
      <c r="S599">
        <v>9.4499999999999993</v>
      </c>
      <c r="T599">
        <v>12.02</v>
      </c>
      <c r="U599">
        <v>59.86</v>
      </c>
      <c r="V599">
        <v>129.57</v>
      </c>
      <c r="W599">
        <v>83.66</v>
      </c>
      <c r="X599">
        <v>10.69</v>
      </c>
      <c r="Y599">
        <v>1966.47</v>
      </c>
      <c r="Z599">
        <v>19.55</v>
      </c>
    </row>
    <row r="600" spans="1:26" x14ac:dyDescent="0.25">
      <c r="A600" t="s">
        <v>259</v>
      </c>
      <c r="B600" t="s">
        <v>260</v>
      </c>
      <c r="C600" t="s">
        <v>261</v>
      </c>
      <c r="D600">
        <v>784.24</v>
      </c>
      <c r="E600" t="s">
        <v>327</v>
      </c>
      <c r="F600" t="s">
        <v>339</v>
      </c>
      <c r="G600">
        <v>6.5</v>
      </c>
      <c r="H600" t="s">
        <v>327</v>
      </c>
      <c r="I600">
        <v>56.01</v>
      </c>
      <c r="J600">
        <v>38.130000000000003</v>
      </c>
      <c r="K600" t="s">
        <v>340</v>
      </c>
      <c r="L600">
        <v>5.8</v>
      </c>
      <c r="M600" t="s">
        <v>341</v>
      </c>
      <c r="N600" t="s">
        <v>344</v>
      </c>
      <c r="O600">
        <v>1.9</v>
      </c>
      <c r="P600">
        <v>1.22</v>
      </c>
      <c r="Q600" t="s">
        <v>357</v>
      </c>
      <c r="R600">
        <v>3.99</v>
      </c>
      <c r="S600" t="s">
        <v>400</v>
      </c>
      <c r="T600">
        <v>10.91</v>
      </c>
      <c r="U600">
        <v>24.33</v>
      </c>
      <c r="V600">
        <v>210.47</v>
      </c>
      <c r="W600">
        <v>85.86</v>
      </c>
      <c r="X600">
        <v>10.51</v>
      </c>
      <c r="Y600">
        <v>1688.7</v>
      </c>
      <c r="Z600">
        <v>13.86</v>
      </c>
    </row>
    <row r="601" spans="1:26" x14ac:dyDescent="0.25">
      <c r="A601" t="s">
        <v>262</v>
      </c>
      <c r="B601" t="s">
        <v>263</v>
      </c>
      <c r="C601" t="s">
        <v>264</v>
      </c>
      <c r="D601">
        <v>1090.07</v>
      </c>
      <c r="E601">
        <v>128.58000000000001</v>
      </c>
      <c r="F601">
        <v>29.61</v>
      </c>
      <c r="G601">
        <v>26.45</v>
      </c>
      <c r="H601">
        <v>85.45</v>
      </c>
      <c r="I601">
        <v>703.13</v>
      </c>
      <c r="J601">
        <v>106.79</v>
      </c>
      <c r="K601">
        <v>51.96</v>
      </c>
      <c r="L601">
        <v>5.8</v>
      </c>
      <c r="M601">
        <v>7.74</v>
      </c>
      <c r="N601">
        <v>14.06</v>
      </c>
      <c r="O601">
        <v>3.89</v>
      </c>
      <c r="P601">
        <v>2.63</v>
      </c>
      <c r="Q601">
        <v>7.77</v>
      </c>
      <c r="R601">
        <v>46.67</v>
      </c>
      <c r="S601">
        <v>21.8</v>
      </c>
      <c r="T601">
        <v>17.989999999999998</v>
      </c>
      <c r="U601">
        <v>332.65</v>
      </c>
      <c r="V601">
        <v>2740.35</v>
      </c>
      <c r="W601">
        <v>2961.33</v>
      </c>
      <c r="X601">
        <v>581.33000000000004</v>
      </c>
      <c r="Y601">
        <v>11024.04</v>
      </c>
      <c r="Z601">
        <v>44.82</v>
      </c>
    </row>
    <row r="602" spans="1:26" x14ac:dyDescent="0.25">
      <c r="A602" t="s">
        <v>265</v>
      </c>
      <c r="B602" t="s">
        <v>266</v>
      </c>
      <c r="C602" t="s">
        <v>267</v>
      </c>
      <c r="D602">
        <v>1226.94</v>
      </c>
      <c r="E602" t="s">
        <v>327</v>
      </c>
      <c r="F602" t="s">
        <v>339</v>
      </c>
      <c r="G602">
        <v>11.74</v>
      </c>
      <c r="H602" t="s">
        <v>327</v>
      </c>
      <c r="I602">
        <v>58.46</v>
      </c>
      <c r="J602">
        <v>46.9</v>
      </c>
      <c r="K602">
        <v>72.36</v>
      </c>
      <c r="L602">
        <v>6.7</v>
      </c>
      <c r="M602" t="s">
        <v>401</v>
      </c>
      <c r="N602">
        <v>6.31</v>
      </c>
      <c r="O602">
        <v>2.41</v>
      </c>
      <c r="P602" t="s">
        <v>402</v>
      </c>
      <c r="Q602">
        <v>3.95</v>
      </c>
      <c r="R602">
        <v>7.33</v>
      </c>
      <c r="S602">
        <v>15.39</v>
      </c>
      <c r="T602">
        <v>13.53</v>
      </c>
      <c r="U602">
        <v>24.04</v>
      </c>
      <c r="V602">
        <v>163.98</v>
      </c>
      <c r="W602">
        <v>82.92</v>
      </c>
      <c r="X602">
        <v>14.16</v>
      </c>
      <c r="Y602">
        <v>3120.93</v>
      </c>
      <c r="Z602">
        <v>33.770000000000003</v>
      </c>
    </row>
    <row r="603" spans="1:26" x14ac:dyDescent="0.25">
      <c r="A603" t="s">
        <v>268</v>
      </c>
      <c r="B603" t="s">
        <v>269</v>
      </c>
      <c r="C603" t="s">
        <v>270</v>
      </c>
      <c r="D603">
        <v>780.78</v>
      </c>
      <c r="E603">
        <v>29.82</v>
      </c>
      <c r="F603">
        <v>17.29</v>
      </c>
      <c r="G603">
        <v>15.68</v>
      </c>
      <c r="H603">
        <v>48.83</v>
      </c>
      <c r="I603">
        <v>384.87</v>
      </c>
      <c r="J603">
        <v>73.760000000000005</v>
      </c>
      <c r="K603">
        <v>32.020000000000003</v>
      </c>
      <c r="L603">
        <v>4.46</v>
      </c>
      <c r="M603">
        <v>4.72</v>
      </c>
      <c r="N603" t="s">
        <v>355</v>
      </c>
      <c r="O603">
        <v>3.75</v>
      </c>
      <c r="P603">
        <v>1.1399999999999999</v>
      </c>
      <c r="Q603">
        <v>12.31</v>
      </c>
      <c r="R603">
        <v>25.34</v>
      </c>
      <c r="S603">
        <v>12.88</v>
      </c>
      <c r="T603">
        <v>14.97</v>
      </c>
      <c r="U603">
        <v>87.84</v>
      </c>
      <c r="V603">
        <v>1176.6099999999999</v>
      </c>
      <c r="W603">
        <v>4713.5600000000004</v>
      </c>
      <c r="X603">
        <v>992.71</v>
      </c>
      <c r="Y603">
        <v>7983.63</v>
      </c>
      <c r="Z603">
        <v>19.55</v>
      </c>
    </row>
    <row r="604" spans="1:26" x14ac:dyDescent="0.25">
      <c r="A604" t="s">
        <v>271</v>
      </c>
      <c r="B604" t="s">
        <v>272</v>
      </c>
      <c r="C604" t="s">
        <v>273</v>
      </c>
      <c r="D604">
        <v>1794.32</v>
      </c>
      <c r="E604" t="s">
        <v>327</v>
      </c>
      <c r="F604">
        <v>18.72</v>
      </c>
      <c r="G604">
        <v>20.02</v>
      </c>
      <c r="H604">
        <v>13.18</v>
      </c>
      <c r="I604">
        <v>675.23</v>
      </c>
      <c r="J604">
        <v>83.12</v>
      </c>
      <c r="K604">
        <v>40.21</v>
      </c>
      <c r="L604">
        <v>4.51</v>
      </c>
      <c r="M604" t="s">
        <v>391</v>
      </c>
      <c r="N604" t="s">
        <v>403</v>
      </c>
      <c r="O604">
        <v>3.75</v>
      </c>
      <c r="P604">
        <v>1.74</v>
      </c>
      <c r="Q604">
        <v>4.72</v>
      </c>
      <c r="R604">
        <v>13.72</v>
      </c>
      <c r="S604">
        <v>18.59</v>
      </c>
      <c r="T604">
        <v>15.94</v>
      </c>
      <c r="U604">
        <v>138.31</v>
      </c>
      <c r="V604">
        <v>1129</v>
      </c>
      <c r="W604">
        <v>418.99</v>
      </c>
      <c r="X604">
        <v>82.47</v>
      </c>
      <c r="Y604">
        <v>17514.87</v>
      </c>
      <c r="Z604">
        <v>26.57</v>
      </c>
    </row>
    <row r="605" spans="1:26" x14ac:dyDescent="0.25">
      <c r="A605" t="s">
        <v>274</v>
      </c>
      <c r="B605" t="s">
        <v>275</v>
      </c>
      <c r="C605" t="s">
        <v>276</v>
      </c>
      <c r="D605">
        <v>1305.69</v>
      </c>
      <c r="E605" t="s">
        <v>327</v>
      </c>
      <c r="F605" t="s">
        <v>327</v>
      </c>
      <c r="G605">
        <v>6.74</v>
      </c>
      <c r="H605" t="s">
        <v>327</v>
      </c>
      <c r="I605">
        <v>26.56</v>
      </c>
      <c r="J605">
        <v>53.78</v>
      </c>
      <c r="K605" t="s">
        <v>404</v>
      </c>
      <c r="L605">
        <v>4.97</v>
      </c>
      <c r="M605" t="s">
        <v>330</v>
      </c>
      <c r="N605" t="s">
        <v>327</v>
      </c>
      <c r="O605">
        <v>1.1499999999999999</v>
      </c>
      <c r="P605" t="s">
        <v>351</v>
      </c>
      <c r="Q605" t="s">
        <v>327</v>
      </c>
      <c r="R605">
        <v>1.71</v>
      </c>
      <c r="S605" t="s">
        <v>405</v>
      </c>
      <c r="T605">
        <v>14.91</v>
      </c>
      <c r="U605">
        <v>18.72</v>
      </c>
      <c r="V605">
        <v>226.42</v>
      </c>
      <c r="W605">
        <v>82.92</v>
      </c>
      <c r="X605">
        <v>10.77</v>
      </c>
      <c r="Y605">
        <v>619.33000000000004</v>
      </c>
      <c r="Z605">
        <v>17.25</v>
      </c>
    </row>
    <row r="606" spans="1:26" x14ac:dyDescent="0.25">
      <c r="A606" t="s">
        <v>277</v>
      </c>
      <c r="B606" t="s">
        <v>278</v>
      </c>
      <c r="C606" t="s">
        <v>279</v>
      </c>
      <c r="D606">
        <v>1421.49</v>
      </c>
      <c r="E606" t="s">
        <v>327</v>
      </c>
      <c r="F606">
        <v>10.73</v>
      </c>
      <c r="G606">
        <v>20.149999999999999</v>
      </c>
      <c r="H606" t="s">
        <v>352</v>
      </c>
      <c r="I606">
        <v>93.61</v>
      </c>
      <c r="J606">
        <v>85.61</v>
      </c>
      <c r="K606">
        <v>74.150000000000006</v>
      </c>
      <c r="L606">
        <v>9.75</v>
      </c>
      <c r="M606" t="s">
        <v>406</v>
      </c>
      <c r="N606">
        <v>22.37</v>
      </c>
      <c r="O606">
        <v>3.21</v>
      </c>
      <c r="P606" t="s">
        <v>402</v>
      </c>
      <c r="Q606">
        <v>5.0999999999999996</v>
      </c>
      <c r="R606">
        <v>8.61</v>
      </c>
      <c r="S606">
        <v>25.02</v>
      </c>
      <c r="T606">
        <v>23.34</v>
      </c>
      <c r="U606">
        <v>38.5</v>
      </c>
      <c r="V606">
        <v>172.09</v>
      </c>
      <c r="W606">
        <v>123.24</v>
      </c>
      <c r="X606">
        <v>22.37</v>
      </c>
      <c r="Y606">
        <v>1175.58</v>
      </c>
      <c r="Z606">
        <v>47.32</v>
      </c>
    </row>
    <row r="607" spans="1:26" x14ac:dyDescent="0.25">
      <c r="A607" t="s">
        <v>280</v>
      </c>
      <c r="B607" t="s">
        <v>281</v>
      </c>
      <c r="C607" t="s">
        <v>282</v>
      </c>
      <c r="D607">
        <v>293.64999999999998</v>
      </c>
      <c r="E607" t="s">
        <v>327</v>
      </c>
      <c r="F607">
        <v>15.8</v>
      </c>
      <c r="G607">
        <v>14.49</v>
      </c>
      <c r="H607" t="s">
        <v>407</v>
      </c>
      <c r="I607">
        <v>208.64</v>
      </c>
      <c r="J607">
        <v>79.38</v>
      </c>
      <c r="K607">
        <v>48.1</v>
      </c>
      <c r="L607">
        <v>5.6</v>
      </c>
      <c r="M607" t="s">
        <v>391</v>
      </c>
      <c r="N607">
        <v>10.4</v>
      </c>
      <c r="O607">
        <v>3.21</v>
      </c>
      <c r="P607" t="s">
        <v>402</v>
      </c>
      <c r="Q607">
        <v>2.78</v>
      </c>
      <c r="R607">
        <v>12.91</v>
      </c>
      <c r="S607">
        <v>17.68</v>
      </c>
      <c r="T607">
        <v>13.81</v>
      </c>
      <c r="U607">
        <v>52.79</v>
      </c>
      <c r="V607">
        <v>227.85</v>
      </c>
      <c r="W607">
        <v>224.99</v>
      </c>
      <c r="X607">
        <v>66.45</v>
      </c>
      <c r="Y607">
        <v>2319.9499999999998</v>
      </c>
      <c r="Z607">
        <v>37.42</v>
      </c>
    </row>
    <row r="608" spans="1:26" x14ac:dyDescent="0.25">
      <c r="A608" t="s">
        <v>283</v>
      </c>
      <c r="B608" t="s">
        <v>284</v>
      </c>
      <c r="C608" t="s">
        <v>285</v>
      </c>
      <c r="D608">
        <v>636.65</v>
      </c>
      <c r="E608" t="s">
        <v>327</v>
      </c>
      <c r="F608" t="s">
        <v>408</v>
      </c>
      <c r="G608">
        <v>8.08</v>
      </c>
      <c r="H608" t="s">
        <v>338</v>
      </c>
      <c r="I608">
        <v>30.14</v>
      </c>
      <c r="J608">
        <v>35.619999999999997</v>
      </c>
      <c r="K608" t="s">
        <v>404</v>
      </c>
      <c r="L608">
        <v>5.54</v>
      </c>
      <c r="M608" t="s">
        <v>336</v>
      </c>
      <c r="N608">
        <v>3.38</v>
      </c>
      <c r="O608">
        <v>2.41</v>
      </c>
      <c r="P608">
        <v>1.26</v>
      </c>
      <c r="Q608" t="s">
        <v>327</v>
      </c>
      <c r="R608">
        <v>3.32</v>
      </c>
      <c r="S608">
        <v>13.56</v>
      </c>
      <c r="T608">
        <v>14.91</v>
      </c>
      <c r="U608">
        <v>38.94</v>
      </c>
      <c r="V608">
        <v>102.96</v>
      </c>
      <c r="W608">
        <v>99.72</v>
      </c>
      <c r="X608">
        <v>9.9600000000000009</v>
      </c>
      <c r="Y608">
        <v>856.34</v>
      </c>
      <c r="Z608">
        <v>13.86</v>
      </c>
    </row>
    <row r="609" spans="1:26" x14ac:dyDescent="0.25">
      <c r="A609" t="s">
        <v>286</v>
      </c>
      <c r="B609" t="s">
        <v>287</v>
      </c>
      <c r="C609" t="s">
        <v>288</v>
      </c>
      <c r="D609">
        <v>1090.5999999999999</v>
      </c>
      <c r="E609" t="s">
        <v>327</v>
      </c>
      <c r="F609">
        <v>8.7200000000000006</v>
      </c>
      <c r="G609">
        <v>20.7</v>
      </c>
      <c r="H609" t="s">
        <v>377</v>
      </c>
      <c r="I609">
        <v>53.57</v>
      </c>
      <c r="J609">
        <v>75.63</v>
      </c>
      <c r="K609">
        <v>66.91</v>
      </c>
      <c r="L609">
        <v>6.43</v>
      </c>
      <c r="M609" t="s">
        <v>380</v>
      </c>
      <c r="N609">
        <v>13.54</v>
      </c>
      <c r="O609">
        <v>2.68</v>
      </c>
      <c r="P609">
        <v>1.26</v>
      </c>
      <c r="Q609">
        <v>5.49</v>
      </c>
      <c r="R609">
        <v>7.85</v>
      </c>
      <c r="S609">
        <v>21.8</v>
      </c>
      <c r="T609">
        <v>18.059999999999999</v>
      </c>
      <c r="U609">
        <v>44.84</v>
      </c>
      <c r="V609">
        <v>530.16</v>
      </c>
      <c r="W609">
        <v>113.7</v>
      </c>
      <c r="X609">
        <v>7.05</v>
      </c>
      <c r="Y609">
        <v>667.28</v>
      </c>
      <c r="Z609">
        <v>30.15</v>
      </c>
    </row>
    <row r="610" spans="1:26" x14ac:dyDescent="0.25">
      <c r="A610" t="s">
        <v>289</v>
      </c>
      <c r="B610" t="s">
        <v>290</v>
      </c>
      <c r="C610" t="s">
        <v>291</v>
      </c>
      <c r="D610">
        <v>735.05</v>
      </c>
      <c r="E610" t="s">
        <v>327</v>
      </c>
      <c r="F610" t="s">
        <v>327</v>
      </c>
      <c r="G610">
        <v>5.67</v>
      </c>
      <c r="H610" t="s">
        <v>327</v>
      </c>
      <c r="I610">
        <v>155.87</v>
      </c>
      <c r="J610">
        <v>62.53</v>
      </c>
      <c r="K610" t="s">
        <v>409</v>
      </c>
      <c r="L610">
        <v>5.8</v>
      </c>
      <c r="M610" t="s">
        <v>331</v>
      </c>
      <c r="N610" t="s">
        <v>365</v>
      </c>
      <c r="O610">
        <v>2.15</v>
      </c>
      <c r="P610" t="s">
        <v>402</v>
      </c>
      <c r="Q610" t="s">
        <v>357</v>
      </c>
      <c r="R610">
        <v>5.27</v>
      </c>
      <c r="S610">
        <v>8.09</v>
      </c>
      <c r="T610">
        <v>19.37</v>
      </c>
      <c r="U610">
        <v>32.15</v>
      </c>
      <c r="V610">
        <v>147.21</v>
      </c>
      <c r="W610">
        <v>113.09</v>
      </c>
      <c r="X610">
        <v>9.0500000000000007</v>
      </c>
      <c r="Y610">
        <v>833.08</v>
      </c>
      <c r="Z610">
        <v>14.42</v>
      </c>
    </row>
    <row r="611" spans="1:26" x14ac:dyDescent="0.25">
      <c r="A611" t="s">
        <v>292</v>
      </c>
      <c r="B611" t="s">
        <v>293</v>
      </c>
      <c r="C611" t="s">
        <v>294</v>
      </c>
      <c r="D611">
        <v>487.55</v>
      </c>
      <c r="E611" t="s">
        <v>327</v>
      </c>
      <c r="F611" t="s">
        <v>339</v>
      </c>
      <c r="G611">
        <v>8.6999999999999993</v>
      </c>
      <c r="H611" t="s">
        <v>327</v>
      </c>
      <c r="I611">
        <v>99.32</v>
      </c>
      <c r="J611">
        <v>51.91</v>
      </c>
      <c r="K611" t="s">
        <v>340</v>
      </c>
      <c r="L611">
        <v>4.7699999999999996</v>
      </c>
      <c r="M611" t="s">
        <v>350</v>
      </c>
      <c r="N611" t="s">
        <v>355</v>
      </c>
      <c r="O611">
        <v>2.15</v>
      </c>
      <c r="P611" t="s">
        <v>342</v>
      </c>
      <c r="Q611" t="s">
        <v>334</v>
      </c>
      <c r="R611">
        <v>9.14</v>
      </c>
      <c r="S611" t="s">
        <v>400</v>
      </c>
      <c r="T611">
        <v>15.32</v>
      </c>
      <c r="U611">
        <v>28.91</v>
      </c>
      <c r="V611">
        <v>122.23</v>
      </c>
      <c r="W611">
        <v>73.680000000000007</v>
      </c>
      <c r="X611">
        <v>9.01</v>
      </c>
      <c r="Y611">
        <v>1090.97</v>
      </c>
      <c r="Z611">
        <v>18.399999999999999</v>
      </c>
    </row>
    <row r="612" spans="1:26" x14ac:dyDescent="0.25">
      <c r="A612" t="s">
        <v>295</v>
      </c>
      <c r="B612" t="s">
        <v>296</v>
      </c>
      <c r="C612" t="s">
        <v>297</v>
      </c>
      <c r="D612">
        <v>830.82</v>
      </c>
      <c r="E612" t="s">
        <v>327</v>
      </c>
      <c r="F612" t="s">
        <v>327</v>
      </c>
      <c r="G612">
        <v>9.1999999999999993</v>
      </c>
      <c r="H612" t="s">
        <v>327</v>
      </c>
      <c r="I612">
        <v>113.54</v>
      </c>
      <c r="J612">
        <v>47.53</v>
      </c>
      <c r="K612">
        <v>32.020000000000003</v>
      </c>
      <c r="L612">
        <v>6.22</v>
      </c>
      <c r="M612" t="s">
        <v>330</v>
      </c>
      <c r="N612">
        <v>4.3</v>
      </c>
      <c r="O612">
        <v>2.41</v>
      </c>
      <c r="P612" t="s">
        <v>361</v>
      </c>
      <c r="Q612" t="s">
        <v>331</v>
      </c>
      <c r="R612">
        <v>7.36</v>
      </c>
      <c r="S612">
        <v>9.4499999999999993</v>
      </c>
      <c r="T612">
        <v>12.84</v>
      </c>
      <c r="U612">
        <v>23.3</v>
      </c>
      <c r="V612">
        <v>180.04</v>
      </c>
      <c r="W612">
        <v>95.7</v>
      </c>
      <c r="X612">
        <v>7.76</v>
      </c>
      <c r="Y612">
        <v>556.97</v>
      </c>
      <c r="Z612">
        <v>17.25</v>
      </c>
    </row>
    <row r="613" spans="1:26" x14ac:dyDescent="0.25">
      <c r="A613" t="s">
        <v>298</v>
      </c>
      <c r="B613" t="s">
        <v>299</v>
      </c>
      <c r="C613" t="s">
        <v>300</v>
      </c>
      <c r="D613">
        <v>562.46</v>
      </c>
      <c r="E613">
        <v>139.51</v>
      </c>
      <c r="F613">
        <v>12.54</v>
      </c>
      <c r="G613">
        <v>17.29</v>
      </c>
      <c r="H613" t="s">
        <v>327</v>
      </c>
      <c r="I613">
        <v>289.2</v>
      </c>
      <c r="J613">
        <v>64.400000000000006</v>
      </c>
      <c r="K613" t="s">
        <v>360</v>
      </c>
      <c r="L613">
        <v>4.3099999999999996</v>
      </c>
      <c r="M613" t="s">
        <v>354</v>
      </c>
      <c r="N613">
        <v>4.1900000000000004</v>
      </c>
      <c r="O613">
        <v>1.03</v>
      </c>
      <c r="P613" t="s">
        <v>334</v>
      </c>
      <c r="Q613">
        <v>8.15</v>
      </c>
      <c r="R613">
        <v>13.63</v>
      </c>
      <c r="S613">
        <v>9.91</v>
      </c>
      <c r="T613">
        <v>14.77</v>
      </c>
      <c r="U613">
        <v>478.32</v>
      </c>
      <c r="V613">
        <v>749.9</v>
      </c>
      <c r="W613">
        <v>197.03</v>
      </c>
      <c r="X613">
        <v>15.05</v>
      </c>
      <c r="Y613">
        <v>1462.27</v>
      </c>
      <c r="Z613">
        <v>25.98</v>
      </c>
    </row>
    <row r="614" spans="1:26" x14ac:dyDescent="0.25">
      <c r="A614" t="s">
        <v>301</v>
      </c>
      <c r="B614" t="s">
        <v>302</v>
      </c>
      <c r="C614" t="s">
        <v>303</v>
      </c>
      <c r="D614">
        <v>414.74</v>
      </c>
      <c r="E614" t="s">
        <v>327</v>
      </c>
      <c r="F614" t="s">
        <v>327</v>
      </c>
      <c r="G614">
        <v>7.47</v>
      </c>
      <c r="H614" t="s">
        <v>327</v>
      </c>
      <c r="I614">
        <v>52.09</v>
      </c>
      <c r="J614">
        <v>40.64</v>
      </c>
      <c r="K614" t="s">
        <v>409</v>
      </c>
      <c r="L614">
        <v>6.8</v>
      </c>
      <c r="M614" t="s">
        <v>350</v>
      </c>
      <c r="N614" t="s">
        <v>410</v>
      </c>
      <c r="O614">
        <v>2.2799999999999998</v>
      </c>
      <c r="P614">
        <v>1.3</v>
      </c>
      <c r="Q614" t="s">
        <v>357</v>
      </c>
      <c r="R614">
        <v>4.75</v>
      </c>
      <c r="S614">
        <v>9</v>
      </c>
      <c r="T614">
        <v>9.6</v>
      </c>
      <c r="U614">
        <v>27.14</v>
      </c>
      <c r="V614">
        <v>186.29</v>
      </c>
      <c r="W614">
        <v>112.48</v>
      </c>
      <c r="X614">
        <v>9.48</v>
      </c>
      <c r="Y614">
        <v>903.85</v>
      </c>
      <c r="Z614">
        <v>17.25</v>
      </c>
    </row>
    <row r="615" spans="1:26" x14ac:dyDescent="0.25">
      <c r="A615" t="s">
        <v>304</v>
      </c>
      <c r="B615" t="s">
        <v>305</v>
      </c>
      <c r="C615" t="s">
        <v>306</v>
      </c>
      <c r="D615">
        <v>1500.25</v>
      </c>
      <c r="E615" t="s">
        <v>327</v>
      </c>
      <c r="F615">
        <v>11.65</v>
      </c>
      <c r="G615">
        <v>23.34</v>
      </c>
      <c r="H615">
        <v>13.61</v>
      </c>
      <c r="I615">
        <v>411.56</v>
      </c>
      <c r="J615">
        <v>76.88</v>
      </c>
      <c r="K615">
        <v>81.27</v>
      </c>
      <c r="L615">
        <v>6.64</v>
      </c>
      <c r="M615" t="s">
        <v>337</v>
      </c>
      <c r="N615">
        <v>25.84</v>
      </c>
      <c r="O615">
        <v>3.21</v>
      </c>
      <c r="P615">
        <v>1.37</v>
      </c>
      <c r="Q615">
        <v>3.95</v>
      </c>
      <c r="R615">
        <v>9.52</v>
      </c>
      <c r="S615">
        <v>36.53</v>
      </c>
      <c r="T615">
        <v>26.75</v>
      </c>
      <c r="U615">
        <v>44.25</v>
      </c>
      <c r="V615">
        <v>159.03</v>
      </c>
      <c r="W615">
        <v>189</v>
      </c>
      <c r="X615">
        <v>26.16</v>
      </c>
      <c r="Y615">
        <v>2700.85</v>
      </c>
      <c r="Z615">
        <v>36.200000000000003</v>
      </c>
    </row>
    <row r="616" spans="1:26" x14ac:dyDescent="0.25">
      <c r="A616" t="s">
        <v>307</v>
      </c>
      <c r="B616" t="s">
        <v>308</v>
      </c>
      <c r="C616" t="s">
        <v>309</v>
      </c>
      <c r="D616">
        <v>543.72</v>
      </c>
      <c r="E616" t="s">
        <v>327</v>
      </c>
      <c r="F616" t="s">
        <v>327</v>
      </c>
      <c r="G616">
        <v>3.71</v>
      </c>
      <c r="H616" t="s">
        <v>327</v>
      </c>
      <c r="I616">
        <v>54.06</v>
      </c>
      <c r="J616" t="s">
        <v>411</v>
      </c>
      <c r="K616" t="s">
        <v>409</v>
      </c>
      <c r="L616">
        <v>3.3</v>
      </c>
      <c r="M616" t="s">
        <v>412</v>
      </c>
      <c r="N616" t="s">
        <v>327</v>
      </c>
      <c r="O616">
        <v>1.1499999999999999</v>
      </c>
      <c r="P616" t="s">
        <v>342</v>
      </c>
      <c r="Q616" t="s">
        <v>327</v>
      </c>
      <c r="R616">
        <v>1.66</v>
      </c>
      <c r="S616" t="s">
        <v>359</v>
      </c>
      <c r="T616">
        <v>8.57</v>
      </c>
      <c r="U616">
        <v>42.77</v>
      </c>
      <c r="V616">
        <v>213.41</v>
      </c>
      <c r="W616">
        <v>82.92</v>
      </c>
      <c r="X616">
        <v>16.55</v>
      </c>
      <c r="Y616">
        <v>1207.1099999999999</v>
      </c>
      <c r="Z616">
        <v>10.54</v>
      </c>
    </row>
    <row r="617" spans="1:26" x14ac:dyDescent="0.25">
      <c r="A617" t="s">
        <v>310</v>
      </c>
      <c r="B617" t="s">
        <v>311</v>
      </c>
      <c r="C617" t="s">
        <v>312</v>
      </c>
      <c r="D617">
        <v>224.02</v>
      </c>
      <c r="E617" t="s">
        <v>327</v>
      </c>
      <c r="F617" t="s">
        <v>327</v>
      </c>
      <c r="G617">
        <v>20.29</v>
      </c>
      <c r="H617" t="s">
        <v>377</v>
      </c>
      <c r="I617">
        <v>173.65</v>
      </c>
      <c r="J617">
        <v>66.900000000000006</v>
      </c>
      <c r="K617">
        <v>55.76</v>
      </c>
      <c r="L617">
        <v>4.7699999999999996</v>
      </c>
      <c r="M617" t="s">
        <v>337</v>
      </c>
      <c r="N617">
        <v>4.9800000000000004</v>
      </c>
      <c r="O617">
        <v>1.1499999999999999</v>
      </c>
      <c r="P617" t="s">
        <v>413</v>
      </c>
      <c r="Q617">
        <v>3.75</v>
      </c>
      <c r="R617">
        <v>7.02</v>
      </c>
      <c r="S617">
        <v>20.89</v>
      </c>
      <c r="T617">
        <v>17.79</v>
      </c>
      <c r="U617">
        <v>83.13</v>
      </c>
      <c r="V617">
        <v>167.24</v>
      </c>
      <c r="W617" t="s">
        <v>414</v>
      </c>
      <c r="X617">
        <v>1.26</v>
      </c>
      <c r="Y617">
        <v>908.25</v>
      </c>
      <c r="Z617">
        <v>26.57</v>
      </c>
    </row>
    <row r="618" spans="1:26" x14ac:dyDescent="0.25">
      <c r="A618" t="s">
        <v>313</v>
      </c>
      <c r="B618" t="s">
        <v>314</v>
      </c>
      <c r="C618" t="s">
        <v>315</v>
      </c>
      <c r="D618">
        <v>646.17999999999995</v>
      </c>
      <c r="E618" t="s">
        <v>327</v>
      </c>
      <c r="F618" t="s">
        <v>327</v>
      </c>
      <c r="G618">
        <v>8.9499999999999993</v>
      </c>
      <c r="H618" t="s">
        <v>327</v>
      </c>
      <c r="I618">
        <v>121.1</v>
      </c>
      <c r="J618">
        <v>48.15</v>
      </c>
      <c r="K618">
        <v>46.15</v>
      </c>
      <c r="L618">
        <v>5.7</v>
      </c>
      <c r="M618" t="s">
        <v>380</v>
      </c>
      <c r="N618">
        <v>2.68</v>
      </c>
      <c r="O618">
        <v>0.91</v>
      </c>
      <c r="P618">
        <v>1.65</v>
      </c>
      <c r="Q618" t="s">
        <v>327</v>
      </c>
      <c r="R618">
        <v>5.81</v>
      </c>
      <c r="S618">
        <v>8.5399999999999991</v>
      </c>
      <c r="T618">
        <v>11.4</v>
      </c>
      <c r="U618">
        <v>26.25</v>
      </c>
      <c r="V618">
        <v>180.04</v>
      </c>
      <c r="W618">
        <v>65.38</v>
      </c>
      <c r="X618">
        <v>9.74</v>
      </c>
      <c r="Y618">
        <v>1064.58</v>
      </c>
      <c r="Z618">
        <v>12.75</v>
      </c>
    </row>
    <row r="619" spans="1:26" x14ac:dyDescent="0.25">
      <c r="A619" t="s">
        <v>316</v>
      </c>
      <c r="B619" t="s">
        <v>317</v>
      </c>
      <c r="C619" t="s">
        <v>318</v>
      </c>
      <c r="D619">
        <v>1040.93</v>
      </c>
      <c r="E619" t="s">
        <v>327</v>
      </c>
      <c r="F619">
        <v>10.73</v>
      </c>
      <c r="G619">
        <v>14.35</v>
      </c>
      <c r="H619" t="s">
        <v>327</v>
      </c>
      <c r="I619">
        <v>57.97</v>
      </c>
      <c r="J619">
        <v>53.16</v>
      </c>
      <c r="K619">
        <v>32.020000000000003</v>
      </c>
      <c r="L619">
        <v>6.8</v>
      </c>
      <c r="M619" t="s">
        <v>372</v>
      </c>
      <c r="N619">
        <v>3.15</v>
      </c>
      <c r="O619">
        <v>2.68</v>
      </c>
      <c r="P619" t="s">
        <v>373</v>
      </c>
      <c r="Q619">
        <v>2.78</v>
      </c>
      <c r="R619">
        <v>9.19</v>
      </c>
      <c r="S619">
        <v>11.73</v>
      </c>
      <c r="T619">
        <v>13.12</v>
      </c>
      <c r="U619">
        <v>149.93</v>
      </c>
      <c r="V619">
        <v>206.03</v>
      </c>
      <c r="W619">
        <v>117.34</v>
      </c>
      <c r="X619">
        <v>14.84</v>
      </c>
      <c r="Y619">
        <v>1602.67</v>
      </c>
      <c r="Z619">
        <v>19.55</v>
      </c>
    </row>
    <row r="620" spans="1:26" x14ac:dyDescent="0.25">
      <c r="A620" t="s">
        <v>319</v>
      </c>
      <c r="B620" t="s">
        <v>320</v>
      </c>
      <c r="C620" t="s">
        <v>321</v>
      </c>
      <c r="D620">
        <v>840.71</v>
      </c>
      <c r="E620" t="s">
        <v>327</v>
      </c>
      <c r="F620">
        <v>14.22</v>
      </c>
      <c r="G620">
        <v>26.16</v>
      </c>
      <c r="H620">
        <v>8.3800000000000008</v>
      </c>
      <c r="I620">
        <v>166.17</v>
      </c>
      <c r="J620">
        <v>100.56</v>
      </c>
      <c r="K620">
        <v>63.23</v>
      </c>
      <c r="L620">
        <v>6.85</v>
      </c>
      <c r="M620" t="s">
        <v>415</v>
      </c>
      <c r="N620">
        <v>35.729999999999997</v>
      </c>
      <c r="O620">
        <v>3.75</v>
      </c>
      <c r="P620">
        <v>0.75</v>
      </c>
      <c r="Q620">
        <v>7.01</v>
      </c>
      <c r="R620">
        <v>12.13</v>
      </c>
      <c r="S620">
        <v>33.299999999999997</v>
      </c>
      <c r="T620">
        <v>40.049999999999997</v>
      </c>
      <c r="U620">
        <v>82.54</v>
      </c>
      <c r="V620">
        <v>354.99</v>
      </c>
      <c r="W620">
        <v>140.01</v>
      </c>
      <c r="X620">
        <v>15.96</v>
      </c>
      <c r="Y620">
        <v>1589.97</v>
      </c>
      <c r="Z620">
        <v>42.34</v>
      </c>
    </row>
    <row r="626" spans="1:26" x14ac:dyDescent="0.25">
      <c r="A626" s="1"/>
      <c r="B626" s="1"/>
      <c r="C626" s="1"/>
      <c r="D626" s="1" t="s">
        <v>6</v>
      </c>
      <c r="E626" s="1" t="s">
        <v>7</v>
      </c>
      <c r="F626" s="1" t="s">
        <v>8</v>
      </c>
      <c r="G626" s="1" t="s">
        <v>9</v>
      </c>
      <c r="H626" s="1" t="s">
        <v>10</v>
      </c>
      <c r="I626" s="1" t="s">
        <v>11</v>
      </c>
      <c r="J626" s="1" t="s">
        <v>12</v>
      </c>
      <c r="K626" s="1" t="s">
        <v>13</v>
      </c>
      <c r="L626" s="1" t="s">
        <v>14</v>
      </c>
      <c r="M626" s="1" t="s">
        <v>15</v>
      </c>
      <c r="N626" s="1" t="s">
        <v>16</v>
      </c>
      <c r="O626" s="1" t="s">
        <v>17</v>
      </c>
      <c r="P626" s="1" t="s">
        <v>18</v>
      </c>
      <c r="Q626" s="1" t="s">
        <v>19</v>
      </c>
      <c r="R626" s="1" t="s">
        <v>20</v>
      </c>
      <c r="S626" s="1" t="s">
        <v>21</v>
      </c>
      <c r="T626" s="1" t="s">
        <v>22</v>
      </c>
      <c r="U626" s="1" t="s">
        <v>23</v>
      </c>
      <c r="V626" s="1" t="s">
        <v>24</v>
      </c>
      <c r="W626" s="1" t="s">
        <v>25</v>
      </c>
      <c r="X626" s="1" t="s">
        <v>26</v>
      </c>
      <c r="Y626" s="1" t="s">
        <v>27</v>
      </c>
      <c r="Z626" s="1" t="s">
        <v>28</v>
      </c>
    </row>
    <row r="627" spans="1:26" x14ac:dyDescent="0.25">
      <c r="A627" s="1" t="s">
        <v>29</v>
      </c>
      <c r="B627" s="1" t="s">
        <v>30</v>
      </c>
      <c r="C627" s="1" t="s">
        <v>31</v>
      </c>
      <c r="D627" s="1" t="s">
        <v>416</v>
      </c>
      <c r="E627" s="1" t="s">
        <v>416</v>
      </c>
      <c r="F627" s="1" t="s">
        <v>416</v>
      </c>
      <c r="G627" s="1" t="s">
        <v>416</v>
      </c>
      <c r="H627" s="1" t="s">
        <v>416</v>
      </c>
      <c r="I627" s="1" t="s">
        <v>416</v>
      </c>
      <c r="J627" s="1" t="s">
        <v>416</v>
      </c>
      <c r="K627" s="1" t="s">
        <v>416</v>
      </c>
      <c r="L627" s="1" t="s">
        <v>416</v>
      </c>
      <c r="M627" s="1" t="s">
        <v>416</v>
      </c>
      <c r="N627" s="1" t="s">
        <v>416</v>
      </c>
      <c r="O627" s="1" t="s">
        <v>416</v>
      </c>
      <c r="P627" s="1" t="s">
        <v>416</v>
      </c>
      <c r="Q627" s="1" t="s">
        <v>416</v>
      </c>
      <c r="R627" s="1" t="s">
        <v>416</v>
      </c>
      <c r="S627" s="1" t="s">
        <v>416</v>
      </c>
      <c r="T627" s="1" t="s">
        <v>416</v>
      </c>
      <c r="U627" s="1" t="s">
        <v>416</v>
      </c>
      <c r="V627" s="1" t="s">
        <v>416</v>
      </c>
      <c r="W627" s="1" t="s">
        <v>416</v>
      </c>
      <c r="X627" s="1" t="s">
        <v>416</v>
      </c>
      <c r="Y627" s="1" t="s">
        <v>416</v>
      </c>
      <c r="Z627" s="1" t="s">
        <v>416</v>
      </c>
    </row>
    <row r="628" spans="1:26" x14ac:dyDescent="0.25">
      <c r="A628" t="s">
        <v>33</v>
      </c>
      <c r="B628" t="s">
        <v>34</v>
      </c>
      <c r="C628" t="s">
        <v>35</v>
      </c>
    </row>
    <row r="629" spans="1:26" x14ac:dyDescent="0.25">
      <c r="A629" t="s">
        <v>36</v>
      </c>
      <c r="B629" t="s">
        <v>37</v>
      </c>
      <c r="C629" t="s">
        <v>38</v>
      </c>
      <c r="D629">
        <v>30696</v>
      </c>
      <c r="E629">
        <v>100324</v>
      </c>
      <c r="F629">
        <v>92264</v>
      </c>
      <c r="G629">
        <v>11569</v>
      </c>
      <c r="H629">
        <v>57319</v>
      </c>
      <c r="I629">
        <v>112675</v>
      </c>
      <c r="J629">
        <v>32323</v>
      </c>
      <c r="K629">
        <v>256545</v>
      </c>
      <c r="L629">
        <v>7704</v>
      </c>
      <c r="M629">
        <v>26668</v>
      </c>
      <c r="N629">
        <v>21177</v>
      </c>
      <c r="O629">
        <v>6627</v>
      </c>
      <c r="P629">
        <v>5741</v>
      </c>
      <c r="Q629">
        <v>15356</v>
      </c>
      <c r="R629">
        <v>6147</v>
      </c>
      <c r="S629">
        <v>63078</v>
      </c>
      <c r="T629">
        <v>9209</v>
      </c>
      <c r="U629">
        <v>26248</v>
      </c>
      <c r="V629">
        <v>275852</v>
      </c>
      <c r="W629">
        <v>72958</v>
      </c>
      <c r="X629">
        <v>8024</v>
      </c>
      <c r="Y629">
        <v>46406</v>
      </c>
      <c r="Z629">
        <v>59818</v>
      </c>
    </row>
    <row r="630" spans="1:26" x14ac:dyDescent="0.25">
      <c r="A630" t="s">
        <v>40</v>
      </c>
      <c r="B630" t="s">
        <v>41</v>
      </c>
      <c r="C630" t="s">
        <v>42</v>
      </c>
      <c r="D630">
        <v>7674</v>
      </c>
      <c r="E630">
        <v>25081</v>
      </c>
      <c r="F630">
        <v>23066</v>
      </c>
      <c r="G630">
        <v>2892.25</v>
      </c>
      <c r="H630">
        <v>14329.75</v>
      </c>
      <c r="I630">
        <v>28168.75</v>
      </c>
      <c r="J630">
        <v>8080.75</v>
      </c>
      <c r="K630">
        <v>64136.25</v>
      </c>
      <c r="L630">
        <v>1926</v>
      </c>
      <c r="M630">
        <v>6667</v>
      </c>
      <c r="N630">
        <v>5294.25</v>
      </c>
      <c r="O630">
        <v>1656.75</v>
      </c>
      <c r="P630">
        <v>1435.25</v>
      </c>
      <c r="Q630">
        <v>3839</v>
      </c>
      <c r="R630">
        <v>1536.75</v>
      </c>
      <c r="S630">
        <v>15769.5</v>
      </c>
      <c r="T630">
        <v>2302.25</v>
      </c>
      <c r="U630">
        <v>6562</v>
      </c>
      <c r="V630">
        <v>68963</v>
      </c>
      <c r="W630">
        <v>18239.5</v>
      </c>
      <c r="X630">
        <v>2006</v>
      </c>
      <c r="Y630">
        <v>11601.5</v>
      </c>
      <c r="Z630">
        <v>14954.5</v>
      </c>
    </row>
    <row r="631" spans="1:26" x14ac:dyDescent="0.25">
      <c r="A631" t="s">
        <v>43</v>
      </c>
      <c r="B631" t="s">
        <v>44</v>
      </c>
      <c r="C631" t="s">
        <v>45</v>
      </c>
      <c r="D631">
        <v>1918.5</v>
      </c>
      <c r="E631">
        <v>6270.25</v>
      </c>
      <c r="F631">
        <v>5766.5</v>
      </c>
      <c r="G631">
        <v>723.06</v>
      </c>
      <c r="H631">
        <v>3582.44</v>
      </c>
      <c r="I631">
        <v>7042.19</v>
      </c>
      <c r="J631">
        <v>2020.19</v>
      </c>
      <c r="K631">
        <v>16034.06</v>
      </c>
      <c r="L631">
        <v>481.5</v>
      </c>
      <c r="M631">
        <v>1666.75</v>
      </c>
      <c r="N631">
        <v>1323.56</v>
      </c>
      <c r="O631">
        <v>414.19</v>
      </c>
      <c r="P631">
        <v>358.81</v>
      </c>
      <c r="Q631">
        <v>959.75</v>
      </c>
      <c r="R631">
        <v>384.19</v>
      </c>
      <c r="S631">
        <v>3942.38</v>
      </c>
      <c r="T631">
        <v>575.55999999999995</v>
      </c>
      <c r="U631">
        <v>1640.5</v>
      </c>
      <c r="V631">
        <v>17240.75</v>
      </c>
      <c r="W631">
        <v>4559.88</v>
      </c>
      <c r="X631">
        <v>501.5</v>
      </c>
      <c r="Y631">
        <v>2900.38</v>
      </c>
      <c r="Z631">
        <v>3738.63</v>
      </c>
    </row>
    <row r="632" spans="1:26" x14ac:dyDescent="0.25">
      <c r="A632" t="s">
        <v>46</v>
      </c>
      <c r="B632" t="s">
        <v>47</v>
      </c>
      <c r="C632" t="s">
        <v>48</v>
      </c>
      <c r="D632">
        <v>479.63</v>
      </c>
      <c r="E632">
        <v>1567.56</v>
      </c>
      <c r="F632">
        <v>1441.63</v>
      </c>
      <c r="G632">
        <v>180.77</v>
      </c>
      <c r="H632">
        <v>895.61</v>
      </c>
      <c r="I632">
        <v>1760.55</v>
      </c>
      <c r="J632">
        <v>505.05</v>
      </c>
      <c r="K632">
        <v>4008.52</v>
      </c>
      <c r="L632">
        <v>120.38</v>
      </c>
      <c r="M632">
        <v>416.69</v>
      </c>
      <c r="N632">
        <v>330.89</v>
      </c>
      <c r="O632">
        <v>103.55</v>
      </c>
      <c r="P632">
        <v>89.7</v>
      </c>
      <c r="Q632">
        <v>239.94</v>
      </c>
      <c r="R632">
        <v>96.05</v>
      </c>
      <c r="S632">
        <v>985.59</v>
      </c>
      <c r="T632">
        <v>143.88999999999999</v>
      </c>
      <c r="U632">
        <v>410.13</v>
      </c>
      <c r="V632">
        <v>4310.1899999999996</v>
      </c>
      <c r="W632">
        <v>1139.97</v>
      </c>
      <c r="X632">
        <v>125.38</v>
      </c>
      <c r="Y632">
        <v>725.09</v>
      </c>
      <c r="Z632">
        <v>934.66</v>
      </c>
    </row>
    <row r="633" spans="1:26" x14ac:dyDescent="0.25">
      <c r="A633" t="s">
        <v>49</v>
      </c>
      <c r="B633" t="s">
        <v>50</v>
      </c>
      <c r="C633" t="s">
        <v>51</v>
      </c>
      <c r="D633">
        <v>119.91</v>
      </c>
      <c r="E633">
        <v>391.89</v>
      </c>
      <c r="F633">
        <v>360.41</v>
      </c>
      <c r="G633">
        <v>45.19</v>
      </c>
      <c r="H633">
        <v>223.9</v>
      </c>
      <c r="I633">
        <v>440.14</v>
      </c>
      <c r="J633">
        <v>126.26</v>
      </c>
      <c r="K633">
        <v>1002.13</v>
      </c>
      <c r="L633">
        <v>30.09</v>
      </c>
      <c r="M633">
        <v>104.17</v>
      </c>
      <c r="N633">
        <v>82.72</v>
      </c>
      <c r="O633">
        <v>25.89</v>
      </c>
      <c r="P633">
        <v>22.43</v>
      </c>
      <c r="Q633">
        <v>59.98</v>
      </c>
      <c r="R633">
        <v>24.01</v>
      </c>
      <c r="S633">
        <v>246.4</v>
      </c>
      <c r="T633">
        <v>35.97</v>
      </c>
      <c r="U633">
        <v>102.53</v>
      </c>
      <c r="V633">
        <v>1077.55</v>
      </c>
      <c r="W633">
        <v>284.99</v>
      </c>
      <c r="X633">
        <v>31.34</v>
      </c>
      <c r="Y633">
        <v>181.27</v>
      </c>
      <c r="Z633">
        <v>233.66</v>
      </c>
    </row>
    <row r="634" spans="1:26" x14ac:dyDescent="0.25">
      <c r="A634" t="s">
        <v>52</v>
      </c>
      <c r="B634" t="s">
        <v>53</v>
      </c>
      <c r="C634" t="s">
        <v>54</v>
      </c>
      <c r="D634">
        <v>29.98</v>
      </c>
      <c r="E634">
        <v>97.97</v>
      </c>
      <c r="F634">
        <v>90.1</v>
      </c>
      <c r="G634">
        <v>11.3</v>
      </c>
      <c r="H634">
        <v>55.98</v>
      </c>
      <c r="I634">
        <v>110.03</v>
      </c>
      <c r="J634">
        <v>31.57</v>
      </c>
      <c r="K634">
        <v>250.53</v>
      </c>
      <c r="L634">
        <v>7.52</v>
      </c>
      <c r="M634">
        <v>26.04</v>
      </c>
      <c r="N634">
        <v>20.68</v>
      </c>
      <c r="O634">
        <v>6.47</v>
      </c>
      <c r="P634">
        <v>5.61</v>
      </c>
      <c r="Q634">
        <v>15</v>
      </c>
      <c r="R634">
        <v>6</v>
      </c>
      <c r="S634">
        <v>61.6</v>
      </c>
      <c r="T634">
        <v>8.99</v>
      </c>
      <c r="U634">
        <v>25.63</v>
      </c>
      <c r="V634">
        <v>269.39</v>
      </c>
      <c r="W634">
        <v>71.25</v>
      </c>
      <c r="X634">
        <v>7.84</v>
      </c>
      <c r="Y634">
        <v>45.32</v>
      </c>
      <c r="Z634">
        <v>58.42</v>
      </c>
    </row>
    <row r="635" spans="1:26" x14ac:dyDescent="0.25">
      <c r="A635" t="s">
        <v>55</v>
      </c>
      <c r="B635" t="s">
        <v>56</v>
      </c>
      <c r="C635" t="s">
        <v>57</v>
      </c>
      <c r="D635">
        <v>7.49</v>
      </c>
      <c r="E635">
        <v>24.49</v>
      </c>
      <c r="F635">
        <v>22.53</v>
      </c>
      <c r="G635">
        <v>2.82</v>
      </c>
      <c r="H635">
        <v>13.99</v>
      </c>
      <c r="I635">
        <v>27.51</v>
      </c>
      <c r="J635">
        <v>7.89</v>
      </c>
      <c r="K635">
        <v>62.63</v>
      </c>
      <c r="L635">
        <v>1.88</v>
      </c>
      <c r="M635">
        <v>6.51</v>
      </c>
      <c r="N635">
        <v>5.17</v>
      </c>
      <c r="O635">
        <v>1.62</v>
      </c>
      <c r="P635">
        <v>1.4</v>
      </c>
      <c r="Q635">
        <v>3.75</v>
      </c>
      <c r="R635">
        <v>1.5</v>
      </c>
      <c r="S635">
        <v>15.4</v>
      </c>
      <c r="T635">
        <v>2.25</v>
      </c>
      <c r="U635">
        <v>6.41</v>
      </c>
      <c r="V635">
        <v>67.349999999999994</v>
      </c>
      <c r="W635">
        <v>17.809999999999999</v>
      </c>
      <c r="X635">
        <v>1.96</v>
      </c>
      <c r="Y635">
        <v>11.33</v>
      </c>
      <c r="Z635">
        <v>14.6</v>
      </c>
    </row>
    <row r="636" spans="1:26" x14ac:dyDescent="0.25">
      <c r="A636" t="s">
        <v>58</v>
      </c>
      <c r="B636" t="s">
        <v>59</v>
      </c>
      <c r="C636" t="s">
        <v>60</v>
      </c>
      <c r="D636">
        <v>1.87</v>
      </c>
      <c r="E636">
        <v>6.12</v>
      </c>
      <c r="F636">
        <v>5.63</v>
      </c>
      <c r="G636">
        <v>0.71</v>
      </c>
      <c r="H636">
        <v>3.5</v>
      </c>
      <c r="I636">
        <v>6.88</v>
      </c>
      <c r="J636">
        <v>1.97</v>
      </c>
      <c r="K636">
        <v>15.66</v>
      </c>
      <c r="L636">
        <v>0.47</v>
      </c>
      <c r="M636">
        <v>1.63</v>
      </c>
      <c r="N636">
        <v>1.29</v>
      </c>
      <c r="O636">
        <v>0.4</v>
      </c>
      <c r="P636">
        <v>0.35</v>
      </c>
      <c r="Q636">
        <v>0.94</v>
      </c>
      <c r="R636">
        <v>0.38</v>
      </c>
      <c r="S636">
        <v>3.85</v>
      </c>
      <c r="T636">
        <v>0.56000000000000005</v>
      </c>
      <c r="U636">
        <v>1.6</v>
      </c>
      <c r="V636">
        <v>16.84</v>
      </c>
      <c r="W636">
        <v>4.45</v>
      </c>
      <c r="X636">
        <v>0.49</v>
      </c>
      <c r="Y636">
        <v>2.83</v>
      </c>
      <c r="Z636">
        <v>3.65</v>
      </c>
    </row>
    <row r="637" spans="1:26" x14ac:dyDescent="0.25">
      <c r="A637" t="s">
        <v>61</v>
      </c>
      <c r="B637" t="s">
        <v>62</v>
      </c>
      <c r="C637" t="s">
        <v>63</v>
      </c>
    </row>
    <row r="638" spans="1:26" x14ac:dyDescent="0.25">
      <c r="A638" t="s">
        <v>64</v>
      </c>
      <c r="B638" t="s">
        <v>65</v>
      </c>
      <c r="C638" t="s">
        <v>66</v>
      </c>
    </row>
    <row r="639" spans="1:26" x14ac:dyDescent="0.25">
      <c r="A639" t="s">
        <v>67</v>
      </c>
      <c r="B639" t="s">
        <v>68</v>
      </c>
      <c r="C639" t="s">
        <v>69</v>
      </c>
    </row>
    <row r="640" spans="1:26" x14ac:dyDescent="0.25">
      <c r="A640" t="s">
        <v>70</v>
      </c>
      <c r="B640" t="s">
        <v>71</v>
      </c>
      <c r="C640" t="s">
        <v>72</v>
      </c>
    </row>
    <row r="641" spans="1:3" x14ac:dyDescent="0.25">
      <c r="A641" t="s">
        <v>73</v>
      </c>
      <c r="B641" t="s">
        <v>74</v>
      </c>
      <c r="C641" t="s">
        <v>75</v>
      </c>
    </row>
    <row r="642" spans="1:3" x14ac:dyDescent="0.25">
      <c r="A642" t="s">
        <v>76</v>
      </c>
      <c r="B642" t="s">
        <v>77</v>
      </c>
      <c r="C642" t="s">
        <v>78</v>
      </c>
    </row>
    <row r="643" spans="1:3" x14ac:dyDescent="0.25">
      <c r="A643" t="s">
        <v>79</v>
      </c>
      <c r="B643" t="s">
        <v>80</v>
      </c>
      <c r="C643" t="s">
        <v>81</v>
      </c>
    </row>
    <row r="644" spans="1:3" x14ac:dyDescent="0.25">
      <c r="A644" t="s">
        <v>82</v>
      </c>
      <c r="B644" t="s">
        <v>83</v>
      </c>
      <c r="C644" t="s">
        <v>84</v>
      </c>
    </row>
    <row r="645" spans="1:3" x14ac:dyDescent="0.25">
      <c r="A645" t="s">
        <v>85</v>
      </c>
      <c r="B645" t="s">
        <v>86</v>
      </c>
      <c r="C645" t="s">
        <v>87</v>
      </c>
    </row>
    <row r="646" spans="1:3" x14ac:dyDescent="0.25">
      <c r="A646" t="s">
        <v>88</v>
      </c>
      <c r="B646" t="s">
        <v>89</v>
      </c>
      <c r="C646" t="s">
        <v>90</v>
      </c>
    </row>
    <row r="647" spans="1:3" x14ac:dyDescent="0.25">
      <c r="A647" t="s">
        <v>91</v>
      </c>
      <c r="B647" t="s">
        <v>92</v>
      </c>
      <c r="C647" t="s">
        <v>93</v>
      </c>
    </row>
    <row r="648" spans="1:3" x14ac:dyDescent="0.25">
      <c r="A648" t="s">
        <v>94</v>
      </c>
      <c r="B648" t="s">
        <v>95</v>
      </c>
      <c r="C648" t="s">
        <v>96</v>
      </c>
    </row>
    <row r="649" spans="1:3" x14ac:dyDescent="0.25">
      <c r="A649" t="s">
        <v>97</v>
      </c>
      <c r="B649" t="s">
        <v>98</v>
      </c>
      <c r="C649" t="s">
        <v>99</v>
      </c>
    </row>
    <row r="650" spans="1:3" x14ac:dyDescent="0.25">
      <c r="A650" t="s">
        <v>100</v>
      </c>
      <c r="B650" t="s">
        <v>101</v>
      </c>
      <c r="C650" t="s">
        <v>102</v>
      </c>
    </row>
    <row r="651" spans="1:3" x14ac:dyDescent="0.25">
      <c r="A651" t="s">
        <v>103</v>
      </c>
      <c r="B651" t="s">
        <v>104</v>
      </c>
      <c r="C651" t="s">
        <v>105</v>
      </c>
    </row>
    <row r="652" spans="1:3" x14ac:dyDescent="0.25">
      <c r="A652" t="s">
        <v>106</v>
      </c>
      <c r="B652" t="s">
        <v>107</v>
      </c>
      <c r="C652" t="s">
        <v>108</v>
      </c>
    </row>
    <row r="653" spans="1:3" x14ac:dyDescent="0.25">
      <c r="A653" t="s">
        <v>109</v>
      </c>
      <c r="B653" t="s">
        <v>110</v>
      </c>
      <c r="C653" t="s">
        <v>111</v>
      </c>
    </row>
    <row r="654" spans="1:3" x14ac:dyDescent="0.25">
      <c r="A654" t="s">
        <v>112</v>
      </c>
      <c r="B654" t="s">
        <v>113</v>
      </c>
      <c r="C654" t="s">
        <v>114</v>
      </c>
    </row>
    <row r="655" spans="1:3" x14ac:dyDescent="0.25">
      <c r="A655" t="s">
        <v>115</v>
      </c>
      <c r="B655" t="s">
        <v>116</v>
      </c>
      <c r="C655" t="s">
        <v>117</v>
      </c>
    </row>
    <row r="656" spans="1:3" x14ac:dyDescent="0.25">
      <c r="A656" t="s">
        <v>118</v>
      </c>
      <c r="B656" t="s">
        <v>119</v>
      </c>
      <c r="C656" t="s">
        <v>120</v>
      </c>
    </row>
    <row r="657" spans="1:3" x14ac:dyDescent="0.25">
      <c r="A657" t="s">
        <v>121</v>
      </c>
      <c r="B657" t="s">
        <v>122</v>
      </c>
      <c r="C657" t="s">
        <v>123</v>
      </c>
    </row>
    <row r="658" spans="1:3" x14ac:dyDescent="0.25">
      <c r="A658" t="s">
        <v>124</v>
      </c>
      <c r="B658" t="s">
        <v>125</v>
      </c>
      <c r="C658" t="s">
        <v>126</v>
      </c>
    </row>
    <row r="659" spans="1:3" x14ac:dyDescent="0.25">
      <c r="A659" t="s">
        <v>127</v>
      </c>
      <c r="B659" t="s">
        <v>128</v>
      </c>
      <c r="C659" t="s">
        <v>129</v>
      </c>
    </row>
    <row r="660" spans="1:3" x14ac:dyDescent="0.25">
      <c r="A660" t="s">
        <v>130</v>
      </c>
      <c r="B660" t="s">
        <v>131</v>
      </c>
      <c r="C660" t="s">
        <v>132</v>
      </c>
    </row>
    <row r="661" spans="1:3" x14ac:dyDescent="0.25">
      <c r="A661" t="s">
        <v>133</v>
      </c>
      <c r="B661" t="s">
        <v>134</v>
      </c>
      <c r="C661" t="s">
        <v>135</v>
      </c>
    </row>
    <row r="662" spans="1:3" x14ac:dyDescent="0.25">
      <c r="A662" t="s">
        <v>136</v>
      </c>
      <c r="B662" t="s">
        <v>137</v>
      </c>
      <c r="C662" t="s">
        <v>138</v>
      </c>
    </row>
    <row r="663" spans="1:3" x14ac:dyDescent="0.25">
      <c r="A663" t="s">
        <v>139</v>
      </c>
      <c r="B663" t="s">
        <v>140</v>
      </c>
      <c r="C663" t="s">
        <v>141</v>
      </c>
    </row>
    <row r="664" spans="1:3" x14ac:dyDescent="0.25">
      <c r="A664" t="s">
        <v>142</v>
      </c>
      <c r="B664" t="s">
        <v>143</v>
      </c>
      <c r="C664" t="s">
        <v>144</v>
      </c>
    </row>
    <row r="665" spans="1:3" x14ac:dyDescent="0.25">
      <c r="A665" t="s">
        <v>145</v>
      </c>
      <c r="B665" t="s">
        <v>146</v>
      </c>
      <c r="C665" t="s">
        <v>147</v>
      </c>
    </row>
    <row r="666" spans="1:3" x14ac:dyDescent="0.25">
      <c r="A666" t="s">
        <v>148</v>
      </c>
      <c r="B666" t="s">
        <v>149</v>
      </c>
      <c r="C666" t="s">
        <v>150</v>
      </c>
    </row>
    <row r="667" spans="1:3" x14ac:dyDescent="0.25">
      <c r="A667" t="s">
        <v>151</v>
      </c>
      <c r="B667" t="s">
        <v>152</v>
      </c>
      <c r="C667" t="s">
        <v>153</v>
      </c>
    </row>
    <row r="668" spans="1:3" x14ac:dyDescent="0.25">
      <c r="A668" t="s">
        <v>154</v>
      </c>
      <c r="B668" t="s">
        <v>155</v>
      </c>
      <c r="C668" t="s">
        <v>156</v>
      </c>
    </row>
    <row r="669" spans="1:3" x14ac:dyDescent="0.25">
      <c r="A669" t="s">
        <v>157</v>
      </c>
      <c r="B669" t="s">
        <v>158</v>
      </c>
      <c r="C669" t="s">
        <v>159</v>
      </c>
    </row>
    <row r="670" spans="1:3" x14ac:dyDescent="0.25">
      <c r="A670" t="s">
        <v>160</v>
      </c>
      <c r="B670" t="s">
        <v>161</v>
      </c>
      <c r="C670" t="s">
        <v>162</v>
      </c>
    </row>
    <row r="671" spans="1:3" x14ac:dyDescent="0.25">
      <c r="A671" t="s">
        <v>163</v>
      </c>
      <c r="B671" t="s">
        <v>164</v>
      </c>
      <c r="C671" t="s">
        <v>165</v>
      </c>
    </row>
    <row r="672" spans="1:3" x14ac:dyDescent="0.25">
      <c r="A672" t="s">
        <v>166</v>
      </c>
      <c r="B672" t="s">
        <v>167</v>
      </c>
      <c r="C672" t="s">
        <v>168</v>
      </c>
    </row>
    <row r="673" spans="1:3" x14ac:dyDescent="0.25">
      <c r="A673" t="s">
        <v>169</v>
      </c>
      <c r="B673" t="s">
        <v>170</v>
      </c>
      <c r="C673" t="s">
        <v>171</v>
      </c>
    </row>
    <row r="674" spans="1:3" x14ac:dyDescent="0.25">
      <c r="A674" t="s">
        <v>172</v>
      </c>
      <c r="B674" t="s">
        <v>173</v>
      </c>
      <c r="C674" t="s">
        <v>174</v>
      </c>
    </row>
    <row r="675" spans="1:3" x14ac:dyDescent="0.25">
      <c r="A675" t="s">
        <v>175</v>
      </c>
      <c r="B675" t="s">
        <v>176</v>
      </c>
      <c r="C675" t="s">
        <v>177</v>
      </c>
    </row>
    <row r="676" spans="1:3" x14ac:dyDescent="0.25">
      <c r="A676" t="s">
        <v>178</v>
      </c>
      <c r="B676" t="s">
        <v>179</v>
      </c>
      <c r="C676" t="s">
        <v>180</v>
      </c>
    </row>
    <row r="677" spans="1:3" x14ac:dyDescent="0.25">
      <c r="A677" t="s">
        <v>181</v>
      </c>
      <c r="B677" t="s">
        <v>182</v>
      </c>
      <c r="C677" t="s">
        <v>183</v>
      </c>
    </row>
    <row r="678" spans="1:3" x14ac:dyDescent="0.25">
      <c r="A678" t="s">
        <v>184</v>
      </c>
      <c r="B678" t="s">
        <v>185</v>
      </c>
      <c r="C678" t="s">
        <v>186</v>
      </c>
    </row>
    <row r="679" spans="1:3" x14ac:dyDescent="0.25">
      <c r="A679" t="s">
        <v>187</v>
      </c>
      <c r="B679" t="s">
        <v>188</v>
      </c>
      <c r="C679" t="s">
        <v>189</v>
      </c>
    </row>
    <row r="680" spans="1:3" x14ac:dyDescent="0.25">
      <c r="A680" t="s">
        <v>190</v>
      </c>
      <c r="B680" t="s">
        <v>191</v>
      </c>
      <c r="C680" t="s">
        <v>192</v>
      </c>
    </row>
    <row r="681" spans="1:3" x14ac:dyDescent="0.25">
      <c r="A681" t="s">
        <v>193</v>
      </c>
      <c r="B681" t="s">
        <v>194</v>
      </c>
      <c r="C681" t="s">
        <v>195</v>
      </c>
    </row>
    <row r="682" spans="1:3" x14ac:dyDescent="0.25">
      <c r="A682" t="s">
        <v>196</v>
      </c>
      <c r="B682" t="s">
        <v>197</v>
      </c>
      <c r="C682" t="s">
        <v>198</v>
      </c>
    </row>
    <row r="683" spans="1:3" x14ac:dyDescent="0.25">
      <c r="A683" t="s">
        <v>199</v>
      </c>
      <c r="B683" t="s">
        <v>200</v>
      </c>
      <c r="C683" t="s">
        <v>201</v>
      </c>
    </row>
    <row r="684" spans="1:3" x14ac:dyDescent="0.25">
      <c r="A684" t="s">
        <v>202</v>
      </c>
      <c r="B684" t="s">
        <v>203</v>
      </c>
      <c r="C684" t="s">
        <v>204</v>
      </c>
    </row>
    <row r="685" spans="1:3" x14ac:dyDescent="0.25">
      <c r="A685" t="s">
        <v>205</v>
      </c>
      <c r="B685" t="s">
        <v>206</v>
      </c>
      <c r="C685" t="s">
        <v>207</v>
      </c>
    </row>
    <row r="686" spans="1:3" x14ac:dyDescent="0.25">
      <c r="A686" t="s">
        <v>208</v>
      </c>
      <c r="B686" t="s">
        <v>209</v>
      </c>
      <c r="C686" t="s">
        <v>210</v>
      </c>
    </row>
    <row r="687" spans="1:3" x14ac:dyDescent="0.25">
      <c r="A687" t="s">
        <v>211</v>
      </c>
      <c r="B687" t="s">
        <v>212</v>
      </c>
      <c r="C687" t="s">
        <v>213</v>
      </c>
    </row>
    <row r="688" spans="1:3" x14ac:dyDescent="0.25">
      <c r="A688" t="s">
        <v>214</v>
      </c>
      <c r="B688" t="s">
        <v>215</v>
      </c>
      <c r="C688" t="s">
        <v>216</v>
      </c>
    </row>
    <row r="689" spans="1:3" x14ac:dyDescent="0.25">
      <c r="A689" t="s">
        <v>217</v>
      </c>
      <c r="B689" t="s">
        <v>218</v>
      </c>
      <c r="C689" t="s">
        <v>219</v>
      </c>
    </row>
    <row r="690" spans="1:3" x14ac:dyDescent="0.25">
      <c r="A690" t="s">
        <v>220</v>
      </c>
      <c r="B690" t="s">
        <v>221</v>
      </c>
      <c r="C690" t="s">
        <v>222</v>
      </c>
    </row>
    <row r="691" spans="1:3" x14ac:dyDescent="0.25">
      <c r="A691" t="s">
        <v>223</v>
      </c>
      <c r="B691" t="s">
        <v>224</v>
      </c>
      <c r="C691" t="s">
        <v>225</v>
      </c>
    </row>
    <row r="692" spans="1:3" x14ac:dyDescent="0.25">
      <c r="A692" t="s">
        <v>226</v>
      </c>
      <c r="B692" t="s">
        <v>227</v>
      </c>
      <c r="C692" t="s">
        <v>228</v>
      </c>
    </row>
    <row r="693" spans="1:3" x14ac:dyDescent="0.25">
      <c r="A693" t="s">
        <v>229</v>
      </c>
      <c r="B693" t="s">
        <v>230</v>
      </c>
      <c r="C693" t="s">
        <v>231</v>
      </c>
    </row>
    <row r="694" spans="1:3" x14ac:dyDescent="0.25">
      <c r="A694" t="s">
        <v>232</v>
      </c>
      <c r="B694" t="s">
        <v>233</v>
      </c>
      <c r="C694" t="s">
        <v>234</v>
      </c>
    </row>
    <row r="695" spans="1:3" x14ac:dyDescent="0.25">
      <c r="A695" t="s">
        <v>235</v>
      </c>
      <c r="B695" t="s">
        <v>236</v>
      </c>
      <c r="C695" t="s">
        <v>237</v>
      </c>
    </row>
    <row r="696" spans="1:3" x14ac:dyDescent="0.25">
      <c r="A696" t="s">
        <v>238</v>
      </c>
      <c r="B696" t="s">
        <v>239</v>
      </c>
      <c r="C696" t="s">
        <v>240</v>
      </c>
    </row>
    <row r="697" spans="1:3" x14ac:dyDescent="0.25">
      <c r="A697" t="s">
        <v>241</v>
      </c>
      <c r="B697" t="s">
        <v>242</v>
      </c>
      <c r="C697" t="s">
        <v>243</v>
      </c>
    </row>
    <row r="698" spans="1:3" x14ac:dyDescent="0.25">
      <c r="A698" t="s">
        <v>244</v>
      </c>
      <c r="B698" t="s">
        <v>245</v>
      </c>
      <c r="C698" t="s">
        <v>246</v>
      </c>
    </row>
    <row r="699" spans="1:3" x14ac:dyDescent="0.25">
      <c r="A699" t="s">
        <v>247</v>
      </c>
      <c r="B699" t="s">
        <v>248</v>
      </c>
      <c r="C699" t="s">
        <v>249</v>
      </c>
    </row>
    <row r="700" spans="1:3" x14ac:dyDescent="0.25">
      <c r="A700" t="s">
        <v>250</v>
      </c>
      <c r="B700" t="s">
        <v>251</v>
      </c>
      <c r="C700" t="s">
        <v>252</v>
      </c>
    </row>
    <row r="701" spans="1:3" x14ac:dyDescent="0.25">
      <c r="A701" t="s">
        <v>253</v>
      </c>
      <c r="B701" t="s">
        <v>254</v>
      </c>
      <c r="C701" t="s">
        <v>255</v>
      </c>
    </row>
    <row r="702" spans="1:3" x14ac:dyDescent="0.25">
      <c r="A702" t="s">
        <v>256</v>
      </c>
      <c r="B702" t="s">
        <v>257</v>
      </c>
      <c r="C702" t="s">
        <v>258</v>
      </c>
    </row>
    <row r="703" spans="1:3" x14ac:dyDescent="0.25">
      <c r="A703" t="s">
        <v>259</v>
      </c>
      <c r="B703" t="s">
        <v>260</v>
      </c>
      <c r="C703" t="s">
        <v>261</v>
      </c>
    </row>
    <row r="704" spans="1:3" x14ac:dyDescent="0.25">
      <c r="A704" t="s">
        <v>262</v>
      </c>
      <c r="B704" t="s">
        <v>263</v>
      </c>
      <c r="C704" t="s">
        <v>264</v>
      </c>
    </row>
    <row r="705" spans="1:3" x14ac:dyDescent="0.25">
      <c r="A705" t="s">
        <v>265</v>
      </c>
      <c r="B705" t="s">
        <v>266</v>
      </c>
      <c r="C705" t="s">
        <v>267</v>
      </c>
    </row>
    <row r="706" spans="1:3" x14ac:dyDescent="0.25">
      <c r="A706" t="s">
        <v>268</v>
      </c>
      <c r="B706" t="s">
        <v>269</v>
      </c>
      <c r="C706" t="s">
        <v>270</v>
      </c>
    </row>
    <row r="707" spans="1:3" x14ac:dyDescent="0.25">
      <c r="A707" t="s">
        <v>271</v>
      </c>
      <c r="B707" t="s">
        <v>272</v>
      </c>
      <c r="C707" t="s">
        <v>273</v>
      </c>
    </row>
    <row r="708" spans="1:3" x14ac:dyDescent="0.25">
      <c r="A708" t="s">
        <v>274</v>
      </c>
      <c r="B708" t="s">
        <v>275</v>
      </c>
      <c r="C708" t="s">
        <v>276</v>
      </c>
    </row>
    <row r="709" spans="1:3" x14ac:dyDescent="0.25">
      <c r="A709" t="s">
        <v>277</v>
      </c>
      <c r="B709" t="s">
        <v>278</v>
      </c>
      <c r="C709" t="s">
        <v>279</v>
      </c>
    </row>
    <row r="710" spans="1:3" x14ac:dyDescent="0.25">
      <c r="A710" t="s">
        <v>280</v>
      </c>
      <c r="B710" t="s">
        <v>281</v>
      </c>
      <c r="C710" t="s">
        <v>282</v>
      </c>
    </row>
    <row r="711" spans="1:3" x14ac:dyDescent="0.25">
      <c r="A711" t="s">
        <v>283</v>
      </c>
      <c r="B711" t="s">
        <v>284</v>
      </c>
      <c r="C711" t="s">
        <v>285</v>
      </c>
    </row>
    <row r="712" spans="1:3" x14ac:dyDescent="0.25">
      <c r="A712" t="s">
        <v>286</v>
      </c>
      <c r="B712" t="s">
        <v>287</v>
      </c>
      <c r="C712" t="s">
        <v>288</v>
      </c>
    </row>
    <row r="713" spans="1:3" x14ac:dyDescent="0.25">
      <c r="A713" t="s">
        <v>289</v>
      </c>
      <c r="B713" t="s">
        <v>290</v>
      </c>
      <c r="C713" t="s">
        <v>291</v>
      </c>
    </row>
    <row r="714" spans="1:3" x14ac:dyDescent="0.25">
      <c r="A714" t="s">
        <v>292</v>
      </c>
      <c r="B714" t="s">
        <v>293</v>
      </c>
      <c r="C714" t="s">
        <v>294</v>
      </c>
    </row>
    <row r="715" spans="1:3" x14ac:dyDescent="0.25">
      <c r="A715" t="s">
        <v>295</v>
      </c>
      <c r="B715" t="s">
        <v>296</v>
      </c>
      <c r="C715" t="s">
        <v>297</v>
      </c>
    </row>
    <row r="716" spans="1:3" x14ac:dyDescent="0.25">
      <c r="A716" t="s">
        <v>298</v>
      </c>
      <c r="B716" t="s">
        <v>299</v>
      </c>
      <c r="C716" t="s">
        <v>300</v>
      </c>
    </row>
    <row r="717" spans="1:3" x14ac:dyDescent="0.25">
      <c r="A717" t="s">
        <v>301</v>
      </c>
      <c r="B717" t="s">
        <v>302</v>
      </c>
      <c r="C717" t="s">
        <v>303</v>
      </c>
    </row>
    <row r="718" spans="1:3" x14ac:dyDescent="0.25">
      <c r="A718" t="s">
        <v>304</v>
      </c>
      <c r="B718" t="s">
        <v>305</v>
      </c>
      <c r="C718" t="s">
        <v>306</v>
      </c>
    </row>
    <row r="719" spans="1:3" x14ac:dyDescent="0.25">
      <c r="A719" t="s">
        <v>307</v>
      </c>
      <c r="B719" t="s">
        <v>308</v>
      </c>
      <c r="C719" t="s">
        <v>309</v>
      </c>
    </row>
    <row r="720" spans="1:3" x14ac:dyDescent="0.25">
      <c r="A720" t="s">
        <v>310</v>
      </c>
      <c r="B720" t="s">
        <v>311</v>
      </c>
      <c r="C720" t="s">
        <v>312</v>
      </c>
    </row>
    <row r="721" spans="1:26" x14ac:dyDescent="0.25">
      <c r="A721" t="s">
        <v>313</v>
      </c>
      <c r="B721" t="s">
        <v>314</v>
      </c>
      <c r="C721" t="s">
        <v>315</v>
      </c>
    </row>
    <row r="722" spans="1:26" x14ac:dyDescent="0.25">
      <c r="A722" t="s">
        <v>316</v>
      </c>
      <c r="B722" t="s">
        <v>317</v>
      </c>
      <c r="C722" t="s">
        <v>318</v>
      </c>
    </row>
    <row r="723" spans="1:26" x14ac:dyDescent="0.25">
      <c r="A723" t="s">
        <v>319</v>
      </c>
      <c r="B723" t="s">
        <v>320</v>
      </c>
      <c r="C723" t="s">
        <v>321</v>
      </c>
    </row>
    <row r="729" spans="1:26" x14ac:dyDescent="0.25">
      <c r="A729" s="1"/>
      <c r="B729" s="1"/>
      <c r="C729" s="1"/>
      <c r="D729" s="1" t="s">
        <v>6</v>
      </c>
      <c r="E729" s="1" t="s">
        <v>7</v>
      </c>
      <c r="F729" s="1" t="s">
        <v>8</v>
      </c>
      <c r="G729" s="1" t="s">
        <v>9</v>
      </c>
      <c r="H729" s="1" t="s">
        <v>10</v>
      </c>
      <c r="I729" s="1" t="s">
        <v>11</v>
      </c>
      <c r="J729" s="1" t="s">
        <v>12</v>
      </c>
      <c r="K729" s="1" t="s">
        <v>13</v>
      </c>
      <c r="L729" s="1" t="s">
        <v>14</v>
      </c>
      <c r="M729" s="1" t="s">
        <v>15</v>
      </c>
      <c r="N729" s="1" t="s">
        <v>16</v>
      </c>
      <c r="O729" s="1" t="s">
        <v>17</v>
      </c>
      <c r="P729" s="1" t="s">
        <v>18</v>
      </c>
      <c r="Q729" s="1" t="s">
        <v>19</v>
      </c>
      <c r="R729" s="1" t="s">
        <v>20</v>
      </c>
      <c r="S729" s="1" t="s">
        <v>21</v>
      </c>
      <c r="T729" s="1" t="s">
        <v>22</v>
      </c>
      <c r="U729" s="1" t="s">
        <v>23</v>
      </c>
      <c r="V729" s="1" t="s">
        <v>24</v>
      </c>
      <c r="W729" s="1" t="s">
        <v>25</v>
      </c>
      <c r="X729" s="1" t="s">
        <v>26</v>
      </c>
      <c r="Y729" s="1" t="s">
        <v>27</v>
      </c>
      <c r="Z729" s="1" t="s">
        <v>28</v>
      </c>
    </row>
    <row r="730" spans="1:26" x14ac:dyDescent="0.25">
      <c r="A730" s="1" t="s">
        <v>29</v>
      </c>
      <c r="B730" s="1" t="s">
        <v>30</v>
      </c>
      <c r="C730" s="1" t="s">
        <v>31</v>
      </c>
      <c r="D730" s="1" t="s">
        <v>417</v>
      </c>
      <c r="E730" s="1" t="s">
        <v>417</v>
      </c>
      <c r="F730" s="1" t="s">
        <v>417</v>
      </c>
      <c r="G730" s="1" t="s">
        <v>417</v>
      </c>
      <c r="H730" s="1" t="s">
        <v>417</v>
      </c>
      <c r="I730" s="1" t="s">
        <v>417</v>
      </c>
      <c r="J730" s="1" t="s">
        <v>417</v>
      </c>
      <c r="K730" s="1" t="s">
        <v>417</v>
      </c>
      <c r="L730" s="1" t="s">
        <v>417</v>
      </c>
      <c r="M730" s="1" t="s">
        <v>417</v>
      </c>
      <c r="N730" s="1" t="s">
        <v>417</v>
      </c>
      <c r="O730" s="1" t="s">
        <v>417</v>
      </c>
      <c r="P730" s="1" t="s">
        <v>417</v>
      </c>
      <c r="Q730" s="1" t="s">
        <v>417</v>
      </c>
      <c r="R730" s="1" t="s">
        <v>417</v>
      </c>
      <c r="S730" s="1" t="s">
        <v>417</v>
      </c>
      <c r="T730" s="1" t="s">
        <v>417</v>
      </c>
      <c r="U730" s="1" t="s">
        <v>417</v>
      </c>
      <c r="V730" s="1" t="s">
        <v>417</v>
      </c>
      <c r="W730" s="1" t="s">
        <v>417</v>
      </c>
      <c r="X730" s="1" t="s">
        <v>417</v>
      </c>
      <c r="Y730" s="1" t="s">
        <v>417</v>
      </c>
      <c r="Z730" s="1" t="s">
        <v>417</v>
      </c>
    </row>
    <row r="731" spans="1:26" x14ac:dyDescent="0.25">
      <c r="A731" t="s">
        <v>33</v>
      </c>
      <c r="B731" t="s">
        <v>34</v>
      </c>
      <c r="C731" t="s">
        <v>35</v>
      </c>
    </row>
    <row r="732" spans="1:26" x14ac:dyDescent="0.25">
      <c r="A732" t="s">
        <v>36</v>
      </c>
      <c r="B732" t="s">
        <v>37</v>
      </c>
      <c r="C732" t="s">
        <v>38</v>
      </c>
      <c r="G732">
        <v>102</v>
      </c>
      <c r="J732">
        <v>99</v>
      </c>
      <c r="L732">
        <v>105</v>
      </c>
      <c r="O732">
        <v>100</v>
      </c>
      <c r="P732">
        <v>92</v>
      </c>
      <c r="R732">
        <v>109</v>
      </c>
      <c r="S732">
        <v>64</v>
      </c>
      <c r="Z732">
        <v>100</v>
      </c>
    </row>
    <row r="733" spans="1:26" x14ac:dyDescent="0.25">
      <c r="A733" t="s">
        <v>40</v>
      </c>
      <c r="B733" t="s">
        <v>41</v>
      </c>
      <c r="C733" t="s">
        <v>42</v>
      </c>
      <c r="D733">
        <v>101</v>
      </c>
      <c r="E733">
        <v>103</v>
      </c>
      <c r="F733">
        <v>85</v>
      </c>
      <c r="G733">
        <v>99</v>
      </c>
      <c r="H733">
        <v>100</v>
      </c>
      <c r="I733">
        <v>101</v>
      </c>
      <c r="J733">
        <v>102</v>
      </c>
      <c r="K733">
        <v>99</v>
      </c>
      <c r="L733">
        <v>100</v>
      </c>
      <c r="M733">
        <v>104</v>
      </c>
      <c r="N733">
        <v>99</v>
      </c>
      <c r="O733">
        <v>100</v>
      </c>
      <c r="P733">
        <v>108</v>
      </c>
      <c r="Q733">
        <v>100</v>
      </c>
      <c r="R733">
        <v>97</v>
      </c>
      <c r="S733">
        <v>102</v>
      </c>
      <c r="T733">
        <v>100</v>
      </c>
      <c r="U733">
        <v>99</v>
      </c>
      <c r="W733">
        <v>108</v>
      </c>
      <c r="X733">
        <v>99</v>
      </c>
      <c r="Y733">
        <v>102</v>
      </c>
      <c r="Z733">
        <v>100</v>
      </c>
    </row>
    <row r="734" spans="1:26" x14ac:dyDescent="0.25">
      <c r="A734" t="s">
        <v>43</v>
      </c>
      <c r="B734" t="s">
        <v>44</v>
      </c>
      <c r="C734" t="s">
        <v>45</v>
      </c>
      <c r="D734">
        <v>99</v>
      </c>
      <c r="E734">
        <v>95</v>
      </c>
      <c r="F734">
        <v>106</v>
      </c>
      <c r="G734">
        <v>102</v>
      </c>
      <c r="H734">
        <v>101</v>
      </c>
      <c r="I734">
        <v>99</v>
      </c>
      <c r="J734">
        <v>99</v>
      </c>
      <c r="K734">
        <v>101</v>
      </c>
      <c r="L734">
        <v>101</v>
      </c>
      <c r="M734">
        <v>95</v>
      </c>
      <c r="N734">
        <v>102</v>
      </c>
      <c r="O734">
        <v>100</v>
      </c>
      <c r="P734">
        <v>96</v>
      </c>
      <c r="Q734">
        <v>115</v>
      </c>
      <c r="R734">
        <v>105</v>
      </c>
      <c r="S734">
        <v>109</v>
      </c>
      <c r="T734">
        <v>100</v>
      </c>
      <c r="U734">
        <v>101</v>
      </c>
      <c r="V734">
        <v>100</v>
      </c>
      <c r="W734">
        <v>97</v>
      </c>
      <c r="X734">
        <v>101</v>
      </c>
      <c r="Y734">
        <v>99</v>
      </c>
      <c r="Z734">
        <v>101</v>
      </c>
    </row>
    <row r="735" spans="1:26" x14ac:dyDescent="0.25">
      <c r="A735" t="s">
        <v>46</v>
      </c>
      <c r="B735" t="s">
        <v>47</v>
      </c>
      <c r="C735" t="s">
        <v>48</v>
      </c>
      <c r="D735">
        <v>101</v>
      </c>
      <c r="E735">
        <v>102</v>
      </c>
      <c r="F735">
        <v>98</v>
      </c>
      <c r="G735">
        <v>95</v>
      </c>
      <c r="H735">
        <v>98</v>
      </c>
      <c r="I735">
        <v>100</v>
      </c>
      <c r="J735">
        <v>95</v>
      </c>
      <c r="K735">
        <v>99</v>
      </c>
      <c r="L735">
        <v>96</v>
      </c>
      <c r="M735">
        <v>108</v>
      </c>
      <c r="N735">
        <v>96</v>
      </c>
      <c r="O735">
        <v>97</v>
      </c>
      <c r="P735">
        <v>101</v>
      </c>
      <c r="Q735">
        <v>81</v>
      </c>
      <c r="R735">
        <v>92</v>
      </c>
      <c r="S735">
        <v>94</v>
      </c>
      <c r="T735">
        <v>98</v>
      </c>
      <c r="U735">
        <v>97</v>
      </c>
      <c r="V735">
        <v>100</v>
      </c>
      <c r="W735">
        <v>101</v>
      </c>
      <c r="X735">
        <v>99</v>
      </c>
      <c r="Y735">
        <v>99</v>
      </c>
      <c r="Z735">
        <v>97</v>
      </c>
    </row>
    <row r="736" spans="1:26" x14ac:dyDescent="0.25">
      <c r="A736" t="s">
        <v>49</v>
      </c>
      <c r="B736" t="s">
        <v>50</v>
      </c>
      <c r="C736" t="s">
        <v>51</v>
      </c>
      <c r="D736">
        <v>100</v>
      </c>
      <c r="E736">
        <v>106</v>
      </c>
      <c r="F736">
        <v>103</v>
      </c>
      <c r="G736">
        <v>108</v>
      </c>
      <c r="H736">
        <v>108</v>
      </c>
      <c r="I736">
        <v>105</v>
      </c>
      <c r="J736">
        <v>121</v>
      </c>
      <c r="K736">
        <v>101</v>
      </c>
      <c r="L736">
        <v>109</v>
      </c>
      <c r="M736">
        <v>95</v>
      </c>
      <c r="N736">
        <v>109</v>
      </c>
      <c r="O736">
        <v>106</v>
      </c>
      <c r="P736">
        <v>104</v>
      </c>
      <c r="Q736">
        <v>120</v>
      </c>
      <c r="R736">
        <v>111</v>
      </c>
      <c r="S736">
        <v>105</v>
      </c>
      <c r="T736">
        <v>108</v>
      </c>
      <c r="U736">
        <v>109</v>
      </c>
      <c r="V736">
        <v>102</v>
      </c>
      <c r="W736">
        <v>99</v>
      </c>
      <c r="X736">
        <v>102</v>
      </c>
      <c r="Y736">
        <v>101</v>
      </c>
      <c r="Z736">
        <v>99</v>
      </c>
    </row>
    <row r="737" spans="1:26" x14ac:dyDescent="0.25">
      <c r="A737" t="s">
        <v>52</v>
      </c>
      <c r="B737" t="s">
        <v>53</v>
      </c>
      <c r="C737" t="s">
        <v>54</v>
      </c>
      <c r="D737">
        <v>97</v>
      </c>
      <c r="E737">
        <v>89</v>
      </c>
      <c r="F737">
        <v>95</v>
      </c>
      <c r="G737">
        <v>100</v>
      </c>
      <c r="H737">
        <v>90</v>
      </c>
      <c r="I737">
        <v>92</v>
      </c>
      <c r="J737">
        <v>75</v>
      </c>
      <c r="K737">
        <v>101</v>
      </c>
      <c r="L737">
        <v>99</v>
      </c>
      <c r="N737">
        <v>92</v>
      </c>
      <c r="P737">
        <v>97</v>
      </c>
      <c r="Q737">
        <v>107</v>
      </c>
      <c r="R737">
        <v>98</v>
      </c>
      <c r="T737">
        <v>91</v>
      </c>
      <c r="U737">
        <v>93</v>
      </c>
      <c r="V737">
        <v>96</v>
      </c>
      <c r="W737">
        <v>103</v>
      </c>
      <c r="X737">
        <v>100</v>
      </c>
      <c r="Y737">
        <v>99</v>
      </c>
      <c r="Z737">
        <v>119</v>
      </c>
    </row>
    <row r="738" spans="1:26" x14ac:dyDescent="0.25">
      <c r="A738" t="s">
        <v>55</v>
      </c>
      <c r="B738" t="s">
        <v>56</v>
      </c>
      <c r="C738" t="s">
        <v>57</v>
      </c>
      <c r="D738">
        <v>108</v>
      </c>
      <c r="E738">
        <v>123</v>
      </c>
      <c r="F738">
        <v>112</v>
      </c>
      <c r="G738">
        <v>86</v>
      </c>
      <c r="H738">
        <v>120</v>
      </c>
      <c r="I738">
        <v>111</v>
      </c>
      <c r="J738">
        <v>130</v>
      </c>
      <c r="K738">
        <v>97</v>
      </c>
      <c r="L738">
        <v>92</v>
      </c>
      <c r="M738">
        <v>103</v>
      </c>
      <c r="N738">
        <v>109</v>
      </c>
      <c r="O738">
        <v>91</v>
      </c>
      <c r="P738">
        <v>97</v>
      </c>
      <c r="Q738">
        <v>104</v>
      </c>
      <c r="R738">
        <v>94</v>
      </c>
      <c r="S738">
        <v>95</v>
      </c>
      <c r="T738">
        <v>110</v>
      </c>
      <c r="U738">
        <v>103</v>
      </c>
      <c r="V738">
        <v>109</v>
      </c>
      <c r="W738">
        <v>90</v>
      </c>
      <c r="X738">
        <v>99</v>
      </c>
      <c r="Y738">
        <v>104</v>
      </c>
      <c r="Z738">
        <v>83</v>
      </c>
    </row>
    <row r="739" spans="1:26" x14ac:dyDescent="0.25">
      <c r="A739" t="s">
        <v>58</v>
      </c>
      <c r="B739" t="s">
        <v>59</v>
      </c>
      <c r="C739" t="s">
        <v>60</v>
      </c>
      <c r="D739">
        <v>91</v>
      </c>
      <c r="E739">
        <v>79</v>
      </c>
      <c r="F739">
        <v>77</v>
      </c>
      <c r="G739">
        <v>125</v>
      </c>
      <c r="H739">
        <v>81</v>
      </c>
      <c r="I739">
        <v>94</v>
      </c>
      <c r="J739">
        <v>131</v>
      </c>
      <c r="K739">
        <v>102</v>
      </c>
      <c r="L739">
        <v>110</v>
      </c>
      <c r="M739">
        <v>99</v>
      </c>
      <c r="N739">
        <v>94</v>
      </c>
      <c r="O739">
        <v>112</v>
      </c>
      <c r="P739">
        <v>107</v>
      </c>
      <c r="Q739">
        <v>86</v>
      </c>
      <c r="R739">
        <v>109</v>
      </c>
      <c r="S739">
        <v>105</v>
      </c>
      <c r="T739">
        <v>93</v>
      </c>
      <c r="U739">
        <v>99</v>
      </c>
      <c r="V739">
        <v>87</v>
      </c>
      <c r="X739">
        <v>101</v>
      </c>
      <c r="Z739">
        <v>115</v>
      </c>
    </row>
    <row r="740" spans="1:26" x14ac:dyDescent="0.25">
      <c r="A740" t="s">
        <v>61</v>
      </c>
      <c r="B740" t="s">
        <v>62</v>
      </c>
      <c r="C740" t="s">
        <v>63</v>
      </c>
    </row>
    <row r="741" spans="1:26" x14ac:dyDescent="0.25">
      <c r="A741" t="s">
        <v>64</v>
      </c>
      <c r="B741" t="s">
        <v>65</v>
      </c>
      <c r="C741" t="s">
        <v>66</v>
      </c>
    </row>
    <row r="742" spans="1:26" x14ac:dyDescent="0.25">
      <c r="A742" t="s">
        <v>67</v>
      </c>
      <c r="B742" t="s">
        <v>68</v>
      </c>
      <c r="C742" t="s">
        <v>69</v>
      </c>
    </row>
    <row r="743" spans="1:26" x14ac:dyDescent="0.25">
      <c r="A743" t="s">
        <v>70</v>
      </c>
      <c r="B743" t="s">
        <v>71</v>
      </c>
      <c r="C743" t="s">
        <v>72</v>
      </c>
    </row>
    <row r="744" spans="1:26" x14ac:dyDescent="0.25">
      <c r="A744" t="s">
        <v>73</v>
      </c>
      <c r="B744" t="s">
        <v>74</v>
      </c>
      <c r="C744" t="s">
        <v>75</v>
      </c>
    </row>
    <row r="745" spans="1:26" x14ac:dyDescent="0.25">
      <c r="A745" t="s">
        <v>76</v>
      </c>
      <c r="B745" t="s">
        <v>77</v>
      </c>
      <c r="C745" t="s">
        <v>78</v>
      </c>
    </row>
    <row r="746" spans="1:26" x14ac:dyDescent="0.25">
      <c r="A746" t="s">
        <v>79</v>
      </c>
      <c r="B746" t="s">
        <v>80</v>
      </c>
      <c r="C746" t="s">
        <v>81</v>
      </c>
    </row>
    <row r="747" spans="1:26" x14ac:dyDescent="0.25">
      <c r="A747" t="s">
        <v>82</v>
      </c>
      <c r="B747" t="s">
        <v>83</v>
      </c>
      <c r="C747" t="s">
        <v>84</v>
      </c>
    </row>
    <row r="748" spans="1:26" x14ac:dyDescent="0.25">
      <c r="A748" t="s">
        <v>85</v>
      </c>
      <c r="B748" t="s">
        <v>86</v>
      </c>
      <c r="C748" t="s">
        <v>87</v>
      </c>
    </row>
    <row r="749" spans="1:26" x14ac:dyDescent="0.25">
      <c r="A749" t="s">
        <v>88</v>
      </c>
      <c r="B749" t="s">
        <v>89</v>
      </c>
      <c r="C749" t="s">
        <v>90</v>
      </c>
    </row>
    <row r="750" spans="1:26" x14ac:dyDescent="0.25">
      <c r="A750" t="s">
        <v>91</v>
      </c>
      <c r="B750" t="s">
        <v>92</v>
      </c>
      <c r="C750" t="s">
        <v>93</v>
      </c>
    </row>
    <row r="751" spans="1:26" x14ac:dyDescent="0.25">
      <c r="A751" t="s">
        <v>94</v>
      </c>
      <c r="B751" t="s">
        <v>95</v>
      </c>
      <c r="C751" t="s">
        <v>96</v>
      </c>
    </row>
    <row r="752" spans="1:26" x14ac:dyDescent="0.25">
      <c r="A752" t="s">
        <v>97</v>
      </c>
      <c r="B752" t="s">
        <v>98</v>
      </c>
      <c r="C752" t="s">
        <v>99</v>
      </c>
    </row>
    <row r="753" spans="1:3" x14ac:dyDescent="0.25">
      <c r="A753" t="s">
        <v>100</v>
      </c>
      <c r="B753" t="s">
        <v>101</v>
      </c>
      <c r="C753" t="s">
        <v>102</v>
      </c>
    </row>
    <row r="754" spans="1:3" x14ac:dyDescent="0.25">
      <c r="A754" t="s">
        <v>103</v>
      </c>
      <c r="B754" t="s">
        <v>104</v>
      </c>
      <c r="C754" t="s">
        <v>105</v>
      </c>
    </row>
    <row r="755" spans="1:3" x14ac:dyDescent="0.25">
      <c r="A755" t="s">
        <v>106</v>
      </c>
      <c r="B755" t="s">
        <v>107</v>
      </c>
      <c r="C755" t="s">
        <v>108</v>
      </c>
    </row>
    <row r="756" spans="1:3" x14ac:dyDescent="0.25">
      <c r="A756" t="s">
        <v>109</v>
      </c>
      <c r="B756" t="s">
        <v>110</v>
      </c>
      <c r="C756" t="s">
        <v>111</v>
      </c>
    </row>
    <row r="757" spans="1:3" x14ac:dyDescent="0.25">
      <c r="A757" t="s">
        <v>112</v>
      </c>
      <c r="B757" t="s">
        <v>113</v>
      </c>
      <c r="C757" t="s">
        <v>114</v>
      </c>
    </row>
    <row r="758" spans="1:3" x14ac:dyDescent="0.25">
      <c r="A758" t="s">
        <v>115</v>
      </c>
      <c r="B758" t="s">
        <v>116</v>
      </c>
      <c r="C758" t="s">
        <v>117</v>
      </c>
    </row>
    <row r="759" spans="1:3" x14ac:dyDescent="0.25">
      <c r="A759" t="s">
        <v>118</v>
      </c>
      <c r="B759" t="s">
        <v>119</v>
      </c>
      <c r="C759" t="s">
        <v>120</v>
      </c>
    </row>
    <row r="760" spans="1:3" x14ac:dyDescent="0.25">
      <c r="A760" t="s">
        <v>121</v>
      </c>
      <c r="B760" t="s">
        <v>122</v>
      </c>
      <c r="C760" t="s">
        <v>123</v>
      </c>
    </row>
    <row r="761" spans="1:3" x14ac:dyDescent="0.25">
      <c r="A761" t="s">
        <v>124</v>
      </c>
      <c r="B761" t="s">
        <v>125</v>
      </c>
      <c r="C761" t="s">
        <v>126</v>
      </c>
    </row>
    <row r="762" spans="1:3" x14ac:dyDescent="0.25">
      <c r="A762" t="s">
        <v>127</v>
      </c>
      <c r="B762" t="s">
        <v>128</v>
      </c>
      <c r="C762" t="s">
        <v>129</v>
      </c>
    </row>
    <row r="763" spans="1:3" x14ac:dyDescent="0.25">
      <c r="A763" t="s">
        <v>130</v>
      </c>
      <c r="B763" t="s">
        <v>131</v>
      </c>
      <c r="C763" t="s">
        <v>132</v>
      </c>
    </row>
    <row r="764" spans="1:3" x14ac:dyDescent="0.25">
      <c r="A764" t="s">
        <v>133</v>
      </c>
      <c r="B764" t="s">
        <v>134</v>
      </c>
      <c r="C764" t="s">
        <v>135</v>
      </c>
    </row>
    <row r="765" spans="1:3" x14ac:dyDescent="0.25">
      <c r="A765" t="s">
        <v>136</v>
      </c>
      <c r="B765" t="s">
        <v>137</v>
      </c>
      <c r="C765" t="s">
        <v>138</v>
      </c>
    </row>
    <row r="766" spans="1:3" x14ac:dyDescent="0.25">
      <c r="A766" t="s">
        <v>139</v>
      </c>
      <c r="B766" t="s">
        <v>140</v>
      </c>
      <c r="C766" t="s">
        <v>141</v>
      </c>
    </row>
    <row r="767" spans="1:3" x14ac:dyDescent="0.25">
      <c r="A767" t="s">
        <v>142</v>
      </c>
      <c r="B767" t="s">
        <v>143</v>
      </c>
      <c r="C767" t="s">
        <v>144</v>
      </c>
    </row>
    <row r="768" spans="1:3" x14ac:dyDescent="0.25">
      <c r="A768" t="s">
        <v>145</v>
      </c>
      <c r="B768" t="s">
        <v>146</v>
      </c>
      <c r="C768" t="s">
        <v>147</v>
      </c>
    </row>
    <row r="769" spans="1:3" x14ac:dyDescent="0.25">
      <c r="A769" t="s">
        <v>148</v>
      </c>
      <c r="B769" t="s">
        <v>149</v>
      </c>
      <c r="C769" t="s">
        <v>150</v>
      </c>
    </row>
    <row r="770" spans="1:3" x14ac:dyDescent="0.25">
      <c r="A770" t="s">
        <v>151</v>
      </c>
      <c r="B770" t="s">
        <v>152</v>
      </c>
      <c r="C770" t="s">
        <v>153</v>
      </c>
    </row>
    <row r="771" spans="1:3" x14ac:dyDescent="0.25">
      <c r="A771" t="s">
        <v>154</v>
      </c>
      <c r="B771" t="s">
        <v>155</v>
      </c>
      <c r="C771" t="s">
        <v>156</v>
      </c>
    </row>
    <row r="772" spans="1:3" x14ac:dyDescent="0.25">
      <c r="A772" t="s">
        <v>157</v>
      </c>
      <c r="B772" t="s">
        <v>158</v>
      </c>
      <c r="C772" t="s">
        <v>159</v>
      </c>
    </row>
    <row r="773" spans="1:3" x14ac:dyDescent="0.25">
      <c r="A773" t="s">
        <v>160</v>
      </c>
      <c r="B773" t="s">
        <v>161</v>
      </c>
      <c r="C773" t="s">
        <v>162</v>
      </c>
    </row>
    <row r="774" spans="1:3" x14ac:dyDescent="0.25">
      <c r="A774" t="s">
        <v>163</v>
      </c>
      <c r="B774" t="s">
        <v>164</v>
      </c>
      <c r="C774" t="s">
        <v>165</v>
      </c>
    </row>
    <row r="775" spans="1:3" x14ac:dyDescent="0.25">
      <c r="A775" t="s">
        <v>166</v>
      </c>
      <c r="B775" t="s">
        <v>167</v>
      </c>
      <c r="C775" t="s">
        <v>168</v>
      </c>
    </row>
    <row r="776" spans="1:3" x14ac:dyDescent="0.25">
      <c r="A776" t="s">
        <v>169</v>
      </c>
      <c r="B776" t="s">
        <v>170</v>
      </c>
      <c r="C776" t="s">
        <v>171</v>
      </c>
    </row>
    <row r="777" spans="1:3" x14ac:dyDescent="0.25">
      <c r="A777" t="s">
        <v>172</v>
      </c>
      <c r="B777" t="s">
        <v>173</v>
      </c>
      <c r="C777" t="s">
        <v>174</v>
      </c>
    </row>
    <row r="778" spans="1:3" x14ac:dyDescent="0.25">
      <c r="A778" t="s">
        <v>175</v>
      </c>
      <c r="B778" t="s">
        <v>176</v>
      </c>
      <c r="C778" t="s">
        <v>177</v>
      </c>
    </row>
    <row r="779" spans="1:3" x14ac:dyDescent="0.25">
      <c r="A779" t="s">
        <v>178</v>
      </c>
      <c r="B779" t="s">
        <v>179</v>
      </c>
      <c r="C779" t="s">
        <v>180</v>
      </c>
    </row>
    <row r="780" spans="1:3" x14ac:dyDescent="0.25">
      <c r="A780" t="s">
        <v>181</v>
      </c>
      <c r="B780" t="s">
        <v>182</v>
      </c>
      <c r="C780" t="s">
        <v>183</v>
      </c>
    </row>
    <row r="781" spans="1:3" x14ac:dyDescent="0.25">
      <c r="A781" t="s">
        <v>184</v>
      </c>
      <c r="B781" t="s">
        <v>185</v>
      </c>
      <c r="C781" t="s">
        <v>186</v>
      </c>
    </row>
    <row r="782" spans="1:3" x14ac:dyDescent="0.25">
      <c r="A782" t="s">
        <v>187</v>
      </c>
      <c r="B782" t="s">
        <v>188</v>
      </c>
      <c r="C782" t="s">
        <v>189</v>
      </c>
    </row>
    <row r="783" spans="1:3" x14ac:dyDescent="0.25">
      <c r="A783" t="s">
        <v>190</v>
      </c>
      <c r="B783" t="s">
        <v>191</v>
      </c>
      <c r="C783" t="s">
        <v>192</v>
      </c>
    </row>
    <row r="784" spans="1:3" x14ac:dyDescent="0.25">
      <c r="A784" t="s">
        <v>193</v>
      </c>
      <c r="B784" t="s">
        <v>194</v>
      </c>
      <c r="C784" t="s">
        <v>195</v>
      </c>
    </row>
    <row r="785" spans="1:3" x14ac:dyDescent="0.25">
      <c r="A785" t="s">
        <v>196</v>
      </c>
      <c r="B785" t="s">
        <v>197</v>
      </c>
      <c r="C785" t="s">
        <v>198</v>
      </c>
    </row>
    <row r="786" spans="1:3" x14ac:dyDescent="0.25">
      <c r="A786" t="s">
        <v>199</v>
      </c>
      <c r="B786" t="s">
        <v>200</v>
      </c>
      <c r="C786" t="s">
        <v>201</v>
      </c>
    </row>
    <row r="787" spans="1:3" x14ac:dyDescent="0.25">
      <c r="A787" t="s">
        <v>202</v>
      </c>
      <c r="B787" t="s">
        <v>203</v>
      </c>
      <c r="C787" t="s">
        <v>204</v>
      </c>
    </row>
    <row r="788" spans="1:3" x14ac:dyDescent="0.25">
      <c r="A788" t="s">
        <v>205</v>
      </c>
      <c r="B788" t="s">
        <v>206</v>
      </c>
      <c r="C788" t="s">
        <v>207</v>
      </c>
    </row>
    <row r="789" spans="1:3" x14ac:dyDescent="0.25">
      <c r="A789" t="s">
        <v>208</v>
      </c>
      <c r="B789" t="s">
        <v>209</v>
      </c>
      <c r="C789" t="s">
        <v>210</v>
      </c>
    </row>
    <row r="790" spans="1:3" x14ac:dyDescent="0.25">
      <c r="A790" t="s">
        <v>211</v>
      </c>
      <c r="B790" t="s">
        <v>212</v>
      </c>
      <c r="C790" t="s">
        <v>213</v>
      </c>
    </row>
    <row r="791" spans="1:3" x14ac:dyDescent="0.25">
      <c r="A791" t="s">
        <v>214</v>
      </c>
      <c r="B791" t="s">
        <v>215</v>
      </c>
      <c r="C791" t="s">
        <v>216</v>
      </c>
    </row>
    <row r="792" spans="1:3" x14ac:dyDescent="0.25">
      <c r="A792" t="s">
        <v>217</v>
      </c>
      <c r="B792" t="s">
        <v>218</v>
      </c>
      <c r="C792" t="s">
        <v>219</v>
      </c>
    </row>
    <row r="793" spans="1:3" x14ac:dyDescent="0.25">
      <c r="A793" t="s">
        <v>220</v>
      </c>
      <c r="B793" t="s">
        <v>221</v>
      </c>
      <c r="C793" t="s">
        <v>222</v>
      </c>
    </row>
    <row r="794" spans="1:3" x14ac:dyDescent="0.25">
      <c r="A794" t="s">
        <v>223</v>
      </c>
      <c r="B794" t="s">
        <v>224</v>
      </c>
      <c r="C794" t="s">
        <v>225</v>
      </c>
    </row>
    <row r="795" spans="1:3" x14ac:dyDescent="0.25">
      <c r="A795" t="s">
        <v>226</v>
      </c>
      <c r="B795" t="s">
        <v>227</v>
      </c>
      <c r="C795" t="s">
        <v>228</v>
      </c>
    </row>
    <row r="796" spans="1:3" x14ac:dyDescent="0.25">
      <c r="A796" t="s">
        <v>229</v>
      </c>
      <c r="B796" t="s">
        <v>230</v>
      </c>
      <c r="C796" t="s">
        <v>231</v>
      </c>
    </row>
    <row r="797" spans="1:3" x14ac:dyDescent="0.25">
      <c r="A797" t="s">
        <v>232</v>
      </c>
      <c r="B797" t="s">
        <v>233</v>
      </c>
      <c r="C797" t="s">
        <v>234</v>
      </c>
    </row>
    <row r="798" spans="1:3" x14ac:dyDescent="0.25">
      <c r="A798" t="s">
        <v>235</v>
      </c>
      <c r="B798" t="s">
        <v>236</v>
      </c>
      <c r="C798" t="s">
        <v>237</v>
      </c>
    </row>
    <row r="799" spans="1:3" x14ac:dyDescent="0.25">
      <c r="A799" t="s">
        <v>238</v>
      </c>
      <c r="B799" t="s">
        <v>239</v>
      </c>
      <c r="C799" t="s">
        <v>240</v>
      </c>
    </row>
    <row r="800" spans="1:3" x14ac:dyDescent="0.25">
      <c r="A800" t="s">
        <v>241</v>
      </c>
      <c r="B800" t="s">
        <v>242</v>
      </c>
      <c r="C800" t="s">
        <v>243</v>
      </c>
    </row>
    <row r="801" spans="1:3" x14ac:dyDescent="0.25">
      <c r="A801" t="s">
        <v>244</v>
      </c>
      <c r="B801" t="s">
        <v>245</v>
      </c>
      <c r="C801" t="s">
        <v>246</v>
      </c>
    </row>
    <row r="802" spans="1:3" x14ac:dyDescent="0.25">
      <c r="A802" t="s">
        <v>247</v>
      </c>
      <c r="B802" t="s">
        <v>248</v>
      </c>
      <c r="C802" t="s">
        <v>249</v>
      </c>
    </row>
    <row r="803" spans="1:3" x14ac:dyDescent="0.25">
      <c r="A803" t="s">
        <v>250</v>
      </c>
      <c r="B803" t="s">
        <v>251</v>
      </c>
      <c r="C803" t="s">
        <v>252</v>
      </c>
    </row>
    <row r="804" spans="1:3" x14ac:dyDescent="0.25">
      <c r="A804" t="s">
        <v>253</v>
      </c>
      <c r="B804" t="s">
        <v>254</v>
      </c>
      <c r="C804" t="s">
        <v>255</v>
      </c>
    </row>
    <row r="805" spans="1:3" x14ac:dyDescent="0.25">
      <c r="A805" t="s">
        <v>256</v>
      </c>
      <c r="B805" t="s">
        <v>257</v>
      </c>
      <c r="C805" t="s">
        <v>258</v>
      </c>
    </row>
    <row r="806" spans="1:3" x14ac:dyDescent="0.25">
      <c r="A806" t="s">
        <v>259</v>
      </c>
      <c r="B806" t="s">
        <v>260</v>
      </c>
      <c r="C806" t="s">
        <v>261</v>
      </c>
    </row>
    <row r="807" spans="1:3" x14ac:dyDescent="0.25">
      <c r="A807" t="s">
        <v>262</v>
      </c>
      <c r="B807" t="s">
        <v>263</v>
      </c>
      <c r="C807" t="s">
        <v>264</v>
      </c>
    </row>
    <row r="808" spans="1:3" x14ac:dyDescent="0.25">
      <c r="A808" t="s">
        <v>265</v>
      </c>
      <c r="B808" t="s">
        <v>266</v>
      </c>
      <c r="C808" t="s">
        <v>267</v>
      </c>
    </row>
    <row r="809" spans="1:3" x14ac:dyDescent="0.25">
      <c r="A809" t="s">
        <v>268</v>
      </c>
      <c r="B809" t="s">
        <v>269</v>
      </c>
      <c r="C809" t="s">
        <v>270</v>
      </c>
    </row>
    <row r="810" spans="1:3" x14ac:dyDescent="0.25">
      <c r="A810" t="s">
        <v>271</v>
      </c>
      <c r="B810" t="s">
        <v>272</v>
      </c>
      <c r="C810" t="s">
        <v>273</v>
      </c>
    </row>
    <row r="811" spans="1:3" x14ac:dyDescent="0.25">
      <c r="A811" t="s">
        <v>274</v>
      </c>
      <c r="B811" t="s">
        <v>275</v>
      </c>
      <c r="C811" t="s">
        <v>276</v>
      </c>
    </row>
    <row r="812" spans="1:3" x14ac:dyDescent="0.25">
      <c r="A812" t="s">
        <v>277</v>
      </c>
      <c r="B812" t="s">
        <v>278</v>
      </c>
      <c r="C812" t="s">
        <v>279</v>
      </c>
    </row>
    <row r="813" spans="1:3" x14ac:dyDescent="0.25">
      <c r="A813" t="s">
        <v>280</v>
      </c>
      <c r="B813" t="s">
        <v>281</v>
      </c>
      <c r="C813" t="s">
        <v>282</v>
      </c>
    </row>
    <row r="814" spans="1:3" x14ac:dyDescent="0.25">
      <c r="A814" t="s">
        <v>283</v>
      </c>
      <c r="B814" t="s">
        <v>284</v>
      </c>
      <c r="C814" t="s">
        <v>285</v>
      </c>
    </row>
    <row r="815" spans="1:3" x14ac:dyDescent="0.25">
      <c r="A815" t="s">
        <v>286</v>
      </c>
      <c r="B815" t="s">
        <v>287</v>
      </c>
      <c r="C815" t="s">
        <v>288</v>
      </c>
    </row>
    <row r="816" spans="1:3" x14ac:dyDescent="0.25">
      <c r="A816" t="s">
        <v>289</v>
      </c>
      <c r="B816" t="s">
        <v>290</v>
      </c>
      <c r="C816" t="s">
        <v>291</v>
      </c>
    </row>
    <row r="817" spans="1:26" x14ac:dyDescent="0.25">
      <c r="A817" t="s">
        <v>292</v>
      </c>
      <c r="B817" t="s">
        <v>293</v>
      </c>
      <c r="C817" t="s">
        <v>294</v>
      </c>
    </row>
    <row r="818" spans="1:26" x14ac:dyDescent="0.25">
      <c r="A818" t="s">
        <v>295</v>
      </c>
      <c r="B818" t="s">
        <v>296</v>
      </c>
      <c r="C818" t="s">
        <v>297</v>
      </c>
    </row>
    <row r="819" spans="1:26" x14ac:dyDescent="0.25">
      <c r="A819" t="s">
        <v>298</v>
      </c>
      <c r="B819" t="s">
        <v>299</v>
      </c>
      <c r="C819" t="s">
        <v>300</v>
      </c>
    </row>
    <row r="820" spans="1:26" x14ac:dyDescent="0.25">
      <c r="A820" t="s">
        <v>301</v>
      </c>
      <c r="B820" t="s">
        <v>302</v>
      </c>
      <c r="C820" t="s">
        <v>303</v>
      </c>
    </row>
    <row r="821" spans="1:26" x14ac:dyDescent="0.25">
      <c r="A821" t="s">
        <v>304</v>
      </c>
      <c r="B821" t="s">
        <v>305</v>
      </c>
      <c r="C821" t="s">
        <v>306</v>
      </c>
    </row>
    <row r="822" spans="1:26" x14ac:dyDescent="0.25">
      <c r="A822" t="s">
        <v>307</v>
      </c>
      <c r="B822" t="s">
        <v>308</v>
      </c>
      <c r="C822" t="s">
        <v>309</v>
      </c>
    </row>
    <row r="823" spans="1:26" x14ac:dyDescent="0.25">
      <c r="A823" t="s">
        <v>310</v>
      </c>
      <c r="B823" t="s">
        <v>311</v>
      </c>
      <c r="C823" t="s">
        <v>312</v>
      </c>
    </row>
    <row r="824" spans="1:26" x14ac:dyDescent="0.25">
      <c r="A824" t="s">
        <v>313</v>
      </c>
      <c r="B824" t="s">
        <v>314</v>
      </c>
      <c r="C824" t="s">
        <v>315</v>
      </c>
    </row>
    <row r="825" spans="1:26" x14ac:dyDescent="0.25">
      <c r="A825" t="s">
        <v>316</v>
      </c>
      <c r="B825" t="s">
        <v>317</v>
      </c>
      <c r="C825" t="s">
        <v>318</v>
      </c>
    </row>
    <row r="826" spans="1:26" x14ac:dyDescent="0.25">
      <c r="A826" t="s">
        <v>319</v>
      </c>
      <c r="B826" t="s">
        <v>320</v>
      </c>
      <c r="C826" t="s">
        <v>321</v>
      </c>
    </row>
    <row r="832" spans="1:26" x14ac:dyDescent="0.25">
      <c r="A832" s="1"/>
      <c r="B832" s="1"/>
      <c r="C832" s="1"/>
      <c r="D832" s="1" t="s">
        <v>6</v>
      </c>
      <c r="E832" s="1" t="s">
        <v>7</v>
      </c>
      <c r="F832" s="1" t="s">
        <v>8</v>
      </c>
      <c r="G832" s="1" t="s">
        <v>9</v>
      </c>
      <c r="H832" s="1" t="s">
        <v>10</v>
      </c>
      <c r="I832" s="1" t="s">
        <v>11</v>
      </c>
      <c r="J832" s="1" t="s">
        <v>12</v>
      </c>
      <c r="K832" s="1" t="s">
        <v>13</v>
      </c>
      <c r="L832" s="1" t="s">
        <v>14</v>
      </c>
      <c r="M832" s="1" t="s">
        <v>15</v>
      </c>
      <c r="N832" s="1" t="s">
        <v>16</v>
      </c>
      <c r="O832" s="1" t="s">
        <v>17</v>
      </c>
      <c r="P832" s="1" t="s">
        <v>18</v>
      </c>
      <c r="Q832" s="1" t="s">
        <v>19</v>
      </c>
      <c r="R832" s="1" t="s">
        <v>20</v>
      </c>
      <c r="S832" s="1" t="s">
        <v>21</v>
      </c>
      <c r="T832" s="1" t="s">
        <v>22</v>
      </c>
      <c r="U832" s="1" t="s">
        <v>23</v>
      </c>
      <c r="V832" s="1" t="s">
        <v>24</v>
      </c>
      <c r="W832" s="1" t="s">
        <v>25</v>
      </c>
      <c r="X832" s="1" t="s">
        <v>26</v>
      </c>
      <c r="Y832" s="1" t="s">
        <v>27</v>
      </c>
      <c r="Z832" s="1" t="s">
        <v>28</v>
      </c>
    </row>
    <row r="833" spans="1:26" x14ac:dyDescent="0.25">
      <c r="A833" s="1" t="s">
        <v>29</v>
      </c>
      <c r="B833" s="1" t="s">
        <v>30</v>
      </c>
      <c r="C833" s="1" t="s">
        <v>31</v>
      </c>
      <c r="D833" s="1" t="s">
        <v>418</v>
      </c>
      <c r="E833" s="1" t="s">
        <v>418</v>
      </c>
      <c r="F833" s="1" t="s">
        <v>418</v>
      </c>
      <c r="G833" s="1" t="s">
        <v>418</v>
      </c>
      <c r="H833" s="1" t="s">
        <v>418</v>
      </c>
      <c r="I833" s="1" t="s">
        <v>418</v>
      </c>
      <c r="J833" s="1" t="s">
        <v>418</v>
      </c>
      <c r="K833" s="1" t="s">
        <v>418</v>
      </c>
      <c r="L833" s="1" t="s">
        <v>418</v>
      </c>
      <c r="M833" s="1" t="s">
        <v>418</v>
      </c>
      <c r="N833" s="1" t="s">
        <v>418</v>
      </c>
      <c r="O833" s="1" t="s">
        <v>418</v>
      </c>
      <c r="P833" s="1" t="s">
        <v>418</v>
      </c>
      <c r="Q833" s="1" t="s">
        <v>418</v>
      </c>
      <c r="R833" s="1" t="s">
        <v>418</v>
      </c>
      <c r="S833" s="1" t="s">
        <v>418</v>
      </c>
      <c r="T833" s="1" t="s">
        <v>418</v>
      </c>
      <c r="U833" s="1" t="s">
        <v>418</v>
      </c>
      <c r="V833" s="1" t="s">
        <v>418</v>
      </c>
      <c r="W833" s="1" t="s">
        <v>418</v>
      </c>
      <c r="X833" s="1" t="s">
        <v>418</v>
      </c>
      <c r="Y833" s="1" t="s">
        <v>418</v>
      </c>
      <c r="Z833" s="1" t="s">
        <v>418</v>
      </c>
    </row>
    <row r="834" spans="1:26" x14ac:dyDescent="0.25">
      <c r="A834" t="s">
        <v>33</v>
      </c>
      <c r="B834" t="s">
        <v>34</v>
      </c>
      <c r="C834" t="s">
        <v>35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</row>
    <row r="835" spans="1:26" x14ac:dyDescent="0.25">
      <c r="A835" t="s">
        <v>36</v>
      </c>
      <c r="B835" t="s">
        <v>37</v>
      </c>
      <c r="C835" t="s">
        <v>38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</row>
    <row r="836" spans="1:26" x14ac:dyDescent="0.25">
      <c r="A836" t="s">
        <v>40</v>
      </c>
      <c r="B836" t="s">
        <v>41</v>
      </c>
      <c r="C836" t="s">
        <v>42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</row>
    <row r="837" spans="1:26" x14ac:dyDescent="0.25">
      <c r="A837" t="s">
        <v>43</v>
      </c>
      <c r="B837" t="s">
        <v>44</v>
      </c>
      <c r="C837" t="s">
        <v>45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</row>
    <row r="838" spans="1:26" x14ac:dyDescent="0.25">
      <c r="A838" t="s">
        <v>46</v>
      </c>
      <c r="B838" t="s">
        <v>47</v>
      </c>
      <c r="C838" t="s">
        <v>48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</row>
    <row r="839" spans="1:26" x14ac:dyDescent="0.25">
      <c r="A839" t="s">
        <v>49</v>
      </c>
      <c r="B839" t="s">
        <v>50</v>
      </c>
      <c r="C839" t="s">
        <v>51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</row>
    <row r="840" spans="1:26" x14ac:dyDescent="0.25">
      <c r="A840" t="s">
        <v>52</v>
      </c>
      <c r="B840" t="s">
        <v>53</v>
      </c>
      <c r="C840" t="s">
        <v>54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</row>
    <row r="841" spans="1:26" x14ac:dyDescent="0.25">
      <c r="A841" t="s">
        <v>55</v>
      </c>
      <c r="B841" t="s">
        <v>56</v>
      </c>
      <c r="C841" t="s">
        <v>57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</row>
    <row r="842" spans="1:26" x14ac:dyDescent="0.25">
      <c r="A842" t="s">
        <v>58</v>
      </c>
      <c r="B842" t="s">
        <v>59</v>
      </c>
      <c r="C842" t="s">
        <v>60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</row>
    <row r="843" spans="1:26" x14ac:dyDescent="0.25">
      <c r="A843" t="s">
        <v>61</v>
      </c>
      <c r="B843" t="s">
        <v>62</v>
      </c>
      <c r="C843" t="s">
        <v>63</v>
      </c>
      <c r="D843">
        <v>2</v>
      </c>
      <c r="E843">
        <v>2</v>
      </c>
      <c r="F843">
        <v>2</v>
      </c>
      <c r="G843">
        <v>2</v>
      </c>
      <c r="H843">
        <v>2</v>
      </c>
      <c r="I843">
        <v>2</v>
      </c>
      <c r="J843">
        <v>2</v>
      </c>
      <c r="K843">
        <v>2</v>
      </c>
      <c r="L843">
        <v>2</v>
      </c>
      <c r="M843">
        <v>2</v>
      </c>
      <c r="N843">
        <v>2</v>
      </c>
      <c r="O843">
        <v>2</v>
      </c>
      <c r="P843">
        <v>2</v>
      </c>
      <c r="Q843">
        <v>2</v>
      </c>
      <c r="R843">
        <v>2</v>
      </c>
      <c r="S843">
        <v>2</v>
      </c>
      <c r="T843">
        <v>2</v>
      </c>
      <c r="U843">
        <v>2</v>
      </c>
      <c r="V843">
        <v>2</v>
      </c>
      <c r="W843">
        <v>2</v>
      </c>
      <c r="X843">
        <v>2</v>
      </c>
      <c r="Y843">
        <v>2</v>
      </c>
      <c r="Z843">
        <v>2</v>
      </c>
    </row>
    <row r="844" spans="1:26" x14ac:dyDescent="0.25">
      <c r="A844" t="s">
        <v>64</v>
      </c>
      <c r="B844" t="s">
        <v>65</v>
      </c>
      <c r="C844" t="s">
        <v>66</v>
      </c>
      <c r="D844">
        <v>2</v>
      </c>
      <c r="E844">
        <v>2</v>
      </c>
      <c r="F844">
        <v>2</v>
      </c>
      <c r="G844">
        <v>2</v>
      </c>
      <c r="H844">
        <v>2</v>
      </c>
      <c r="I844">
        <v>2</v>
      </c>
      <c r="J844">
        <v>2</v>
      </c>
      <c r="K844">
        <v>2</v>
      </c>
      <c r="L844">
        <v>2</v>
      </c>
      <c r="M844">
        <v>2</v>
      </c>
      <c r="N844">
        <v>2</v>
      </c>
      <c r="O844">
        <v>2</v>
      </c>
      <c r="P844">
        <v>2</v>
      </c>
      <c r="Q844">
        <v>2</v>
      </c>
      <c r="R844">
        <v>2</v>
      </c>
      <c r="S844">
        <v>2</v>
      </c>
      <c r="T844">
        <v>2</v>
      </c>
      <c r="U844">
        <v>2</v>
      </c>
      <c r="V844">
        <v>2</v>
      </c>
      <c r="W844">
        <v>2</v>
      </c>
      <c r="X844">
        <v>2</v>
      </c>
      <c r="Y844">
        <v>2</v>
      </c>
      <c r="Z844">
        <v>2</v>
      </c>
    </row>
    <row r="845" spans="1:26" x14ac:dyDescent="0.25">
      <c r="A845" t="s">
        <v>67</v>
      </c>
      <c r="B845" t="s">
        <v>68</v>
      </c>
      <c r="C845" t="s">
        <v>69</v>
      </c>
      <c r="D845">
        <v>2</v>
      </c>
      <c r="E845">
        <v>2</v>
      </c>
      <c r="F845">
        <v>2</v>
      </c>
      <c r="G845">
        <v>2</v>
      </c>
      <c r="H845">
        <v>2</v>
      </c>
      <c r="I845">
        <v>2</v>
      </c>
      <c r="J845">
        <v>2</v>
      </c>
      <c r="K845">
        <v>2</v>
      </c>
      <c r="L845">
        <v>2</v>
      </c>
      <c r="M845">
        <v>2</v>
      </c>
      <c r="N845">
        <v>2</v>
      </c>
      <c r="O845">
        <v>2</v>
      </c>
      <c r="P845">
        <v>2</v>
      </c>
      <c r="Q845">
        <v>2</v>
      </c>
      <c r="R845">
        <v>2</v>
      </c>
      <c r="S845">
        <v>2</v>
      </c>
      <c r="T845">
        <v>2</v>
      </c>
      <c r="U845">
        <v>2</v>
      </c>
      <c r="V845">
        <v>2</v>
      </c>
      <c r="W845">
        <v>2</v>
      </c>
      <c r="X845">
        <v>2</v>
      </c>
      <c r="Y845">
        <v>2</v>
      </c>
      <c r="Z845">
        <v>2</v>
      </c>
    </row>
    <row r="846" spans="1:26" x14ac:dyDescent="0.25">
      <c r="A846" t="s">
        <v>70</v>
      </c>
      <c r="B846" t="s">
        <v>71</v>
      </c>
      <c r="C846" t="s">
        <v>72</v>
      </c>
      <c r="D846">
        <v>2</v>
      </c>
      <c r="E846">
        <v>2</v>
      </c>
      <c r="F846">
        <v>2</v>
      </c>
      <c r="G846">
        <v>2</v>
      </c>
      <c r="H846">
        <v>2</v>
      </c>
      <c r="I846">
        <v>2</v>
      </c>
      <c r="J846">
        <v>2</v>
      </c>
      <c r="K846">
        <v>2</v>
      </c>
      <c r="L846">
        <v>2</v>
      </c>
      <c r="M846">
        <v>2</v>
      </c>
      <c r="N846">
        <v>2</v>
      </c>
      <c r="O846">
        <v>2</v>
      </c>
      <c r="P846">
        <v>2</v>
      </c>
      <c r="Q846">
        <v>2</v>
      </c>
      <c r="R846">
        <v>2</v>
      </c>
      <c r="S846">
        <v>2</v>
      </c>
      <c r="T846">
        <v>2</v>
      </c>
      <c r="U846">
        <v>2</v>
      </c>
      <c r="V846">
        <v>2</v>
      </c>
      <c r="W846">
        <v>2</v>
      </c>
      <c r="X846">
        <v>2</v>
      </c>
      <c r="Y846">
        <v>2</v>
      </c>
      <c r="Z846">
        <v>2</v>
      </c>
    </row>
    <row r="847" spans="1:26" x14ac:dyDescent="0.25">
      <c r="A847" t="s">
        <v>73</v>
      </c>
      <c r="B847" t="s">
        <v>74</v>
      </c>
      <c r="C847" t="s">
        <v>75</v>
      </c>
      <c r="D847">
        <v>2</v>
      </c>
      <c r="E847">
        <v>2</v>
      </c>
      <c r="F847">
        <v>2</v>
      </c>
      <c r="G847">
        <v>2</v>
      </c>
      <c r="H847">
        <v>2</v>
      </c>
      <c r="I847">
        <v>2</v>
      </c>
      <c r="J847">
        <v>2</v>
      </c>
      <c r="K847">
        <v>2</v>
      </c>
      <c r="L847">
        <v>2</v>
      </c>
      <c r="M847">
        <v>2</v>
      </c>
      <c r="N847">
        <v>2</v>
      </c>
      <c r="O847">
        <v>2</v>
      </c>
      <c r="P847">
        <v>2</v>
      </c>
      <c r="Q847">
        <v>2</v>
      </c>
      <c r="R847">
        <v>2</v>
      </c>
      <c r="S847">
        <v>2</v>
      </c>
      <c r="T847">
        <v>2</v>
      </c>
      <c r="U847">
        <v>2</v>
      </c>
      <c r="V847">
        <v>2</v>
      </c>
      <c r="W847">
        <v>2</v>
      </c>
      <c r="X847">
        <v>2</v>
      </c>
      <c r="Y847">
        <v>2</v>
      </c>
      <c r="Z847">
        <v>2</v>
      </c>
    </row>
    <row r="848" spans="1:26" x14ac:dyDescent="0.25">
      <c r="A848" t="s">
        <v>76</v>
      </c>
      <c r="B848" t="s">
        <v>77</v>
      </c>
      <c r="C848" t="s">
        <v>78</v>
      </c>
      <c r="D848">
        <v>2</v>
      </c>
      <c r="E848">
        <v>2</v>
      </c>
      <c r="F848">
        <v>2</v>
      </c>
      <c r="G848">
        <v>2</v>
      </c>
      <c r="H848">
        <v>2</v>
      </c>
      <c r="I848">
        <v>2</v>
      </c>
      <c r="J848">
        <v>2</v>
      </c>
      <c r="K848">
        <v>2</v>
      </c>
      <c r="L848">
        <v>2</v>
      </c>
      <c r="M848">
        <v>2</v>
      </c>
      <c r="N848">
        <v>2</v>
      </c>
      <c r="O848">
        <v>2</v>
      </c>
      <c r="P848">
        <v>2</v>
      </c>
      <c r="Q848">
        <v>2</v>
      </c>
      <c r="R848">
        <v>2</v>
      </c>
      <c r="S848">
        <v>2</v>
      </c>
      <c r="T848">
        <v>2</v>
      </c>
      <c r="U848">
        <v>2</v>
      </c>
      <c r="V848">
        <v>2</v>
      </c>
      <c r="W848">
        <v>2</v>
      </c>
      <c r="X848">
        <v>2</v>
      </c>
      <c r="Y848">
        <v>2</v>
      </c>
      <c r="Z848">
        <v>2</v>
      </c>
    </row>
    <row r="849" spans="1:26" x14ac:dyDescent="0.25">
      <c r="A849" t="s">
        <v>79</v>
      </c>
      <c r="B849" t="s">
        <v>80</v>
      </c>
      <c r="C849" t="s">
        <v>81</v>
      </c>
      <c r="D849">
        <v>2</v>
      </c>
      <c r="E849">
        <v>2</v>
      </c>
      <c r="F849">
        <v>2</v>
      </c>
      <c r="G849">
        <v>2</v>
      </c>
      <c r="H849">
        <v>2</v>
      </c>
      <c r="I849">
        <v>2</v>
      </c>
      <c r="J849">
        <v>2</v>
      </c>
      <c r="K849">
        <v>2</v>
      </c>
      <c r="L849">
        <v>2</v>
      </c>
      <c r="M849">
        <v>2</v>
      </c>
      <c r="N849">
        <v>2</v>
      </c>
      <c r="O849">
        <v>2</v>
      </c>
      <c r="P849">
        <v>2</v>
      </c>
      <c r="Q849">
        <v>2</v>
      </c>
      <c r="R849">
        <v>2</v>
      </c>
      <c r="S849">
        <v>2</v>
      </c>
      <c r="T849">
        <v>2</v>
      </c>
      <c r="U849">
        <v>2</v>
      </c>
      <c r="V849">
        <v>2</v>
      </c>
      <c r="W849">
        <v>2</v>
      </c>
      <c r="X849">
        <v>2</v>
      </c>
      <c r="Y849">
        <v>2</v>
      </c>
      <c r="Z849">
        <v>2</v>
      </c>
    </row>
    <row r="850" spans="1:26" x14ac:dyDescent="0.25">
      <c r="A850" t="s">
        <v>82</v>
      </c>
      <c r="B850" t="s">
        <v>83</v>
      </c>
      <c r="C850" t="s">
        <v>84</v>
      </c>
      <c r="D850">
        <v>2</v>
      </c>
      <c r="E850">
        <v>2</v>
      </c>
      <c r="F850">
        <v>2</v>
      </c>
      <c r="G850">
        <v>2</v>
      </c>
      <c r="H850">
        <v>2</v>
      </c>
      <c r="I850">
        <v>2</v>
      </c>
      <c r="J850">
        <v>2</v>
      </c>
      <c r="K850">
        <v>2</v>
      </c>
      <c r="L850">
        <v>2</v>
      </c>
      <c r="M850">
        <v>2</v>
      </c>
      <c r="N850">
        <v>2</v>
      </c>
      <c r="O850">
        <v>2</v>
      </c>
      <c r="P850">
        <v>2</v>
      </c>
      <c r="Q850">
        <v>2</v>
      </c>
      <c r="R850">
        <v>2</v>
      </c>
      <c r="S850">
        <v>2</v>
      </c>
      <c r="T850">
        <v>2</v>
      </c>
      <c r="U850">
        <v>2</v>
      </c>
      <c r="V850">
        <v>2</v>
      </c>
      <c r="W850">
        <v>2</v>
      </c>
      <c r="X850">
        <v>2</v>
      </c>
      <c r="Y850">
        <v>2</v>
      </c>
      <c r="Z850">
        <v>2</v>
      </c>
    </row>
    <row r="851" spans="1:26" x14ac:dyDescent="0.25">
      <c r="A851" t="s">
        <v>85</v>
      </c>
      <c r="B851" t="s">
        <v>86</v>
      </c>
      <c r="C851" t="s">
        <v>87</v>
      </c>
      <c r="D851">
        <v>2</v>
      </c>
      <c r="E851">
        <v>2</v>
      </c>
      <c r="F851">
        <v>2</v>
      </c>
      <c r="G851">
        <v>2</v>
      </c>
      <c r="H851">
        <v>2</v>
      </c>
      <c r="I851">
        <v>2</v>
      </c>
      <c r="J851">
        <v>2</v>
      </c>
      <c r="K851">
        <v>2</v>
      </c>
      <c r="L851">
        <v>2</v>
      </c>
      <c r="M851">
        <v>2</v>
      </c>
      <c r="N851">
        <v>2</v>
      </c>
      <c r="O851">
        <v>2</v>
      </c>
      <c r="P851">
        <v>2</v>
      </c>
      <c r="Q851">
        <v>2</v>
      </c>
      <c r="R851">
        <v>2</v>
      </c>
      <c r="S851">
        <v>2</v>
      </c>
      <c r="T851">
        <v>2</v>
      </c>
      <c r="U851">
        <v>2</v>
      </c>
      <c r="V851">
        <v>2</v>
      </c>
      <c r="W851">
        <v>2</v>
      </c>
      <c r="X851">
        <v>2</v>
      </c>
      <c r="Y851">
        <v>2</v>
      </c>
      <c r="Z851">
        <v>2</v>
      </c>
    </row>
    <row r="852" spans="1:26" x14ac:dyDescent="0.25">
      <c r="A852" t="s">
        <v>88</v>
      </c>
      <c r="B852" t="s">
        <v>89</v>
      </c>
      <c r="C852" t="s">
        <v>90</v>
      </c>
      <c r="D852">
        <v>2</v>
      </c>
      <c r="E852">
        <v>2</v>
      </c>
      <c r="F852">
        <v>2</v>
      </c>
      <c r="G852">
        <v>2</v>
      </c>
      <c r="H852">
        <v>2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2</v>
      </c>
      <c r="O852">
        <v>2</v>
      </c>
      <c r="P852">
        <v>2</v>
      </c>
      <c r="Q852">
        <v>2</v>
      </c>
      <c r="R852">
        <v>2</v>
      </c>
      <c r="S852">
        <v>2</v>
      </c>
      <c r="T852">
        <v>2</v>
      </c>
      <c r="U852">
        <v>2</v>
      </c>
      <c r="V852">
        <v>2</v>
      </c>
      <c r="W852">
        <v>2</v>
      </c>
      <c r="X852">
        <v>2</v>
      </c>
      <c r="Y852">
        <v>2</v>
      </c>
      <c r="Z852">
        <v>2</v>
      </c>
    </row>
    <row r="853" spans="1:26" x14ac:dyDescent="0.25">
      <c r="A853" t="s">
        <v>91</v>
      </c>
      <c r="B853" t="s">
        <v>92</v>
      </c>
      <c r="C853" t="s">
        <v>93</v>
      </c>
      <c r="D853">
        <v>2</v>
      </c>
      <c r="E853">
        <v>2</v>
      </c>
      <c r="F853">
        <v>2</v>
      </c>
      <c r="G853">
        <v>2</v>
      </c>
      <c r="H853">
        <v>2</v>
      </c>
      <c r="I853">
        <v>2</v>
      </c>
      <c r="J853">
        <v>2</v>
      </c>
      <c r="K853">
        <v>2</v>
      </c>
      <c r="L853">
        <v>2</v>
      </c>
      <c r="M853">
        <v>2</v>
      </c>
      <c r="N853">
        <v>2</v>
      </c>
      <c r="O853">
        <v>2</v>
      </c>
      <c r="P853">
        <v>2</v>
      </c>
      <c r="Q853">
        <v>2</v>
      </c>
      <c r="R853">
        <v>2</v>
      </c>
      <c r="S853">
        <v>2</v>
      </c>
      <c r="T853">
        <v>2</v>
      </c>
      <c r="U853">
        <v>2</v>
      </c>
      <c r="V853">
        <v>2</v>
      </c>
      <c r="W853">
        <v>2</v>
      </c>
      <c r="X853">
        <v>2</v>
      </c>
      <c r="Y853">
        <v>2</v>
      </c>
      <c r="Z853">
        <v>2</v>
      </c>
    </row>
    <row r="854" spans="1:26" x14ac:dyDescent="0.25">
      <c r="A854" t="s">
        <v>94</v>
      </c>
      <c r="B854" t="s">
        <v>95</v>
      </c>
      <c r="C854" t="s">
        <v>96</v>
      </c>
      <c r="D854">
        <v>2</v>
      </c>
      <c r="E854">
        <v>2</v>
      </c>
      <c r="F854">
        <v>2</v>
      </c>
      <c r="G854">
        <v>2</v>
      </c>
      <c r="H854">
        <v>2</v>
      </c>
      <c r="I854">
        <v>2</v>
      </c>
      <c r="J854">
        <v>2</v>
      </c>
      <c r="K854">
        <v>2</v>
      </c>
      <c r="L854">
        <v>2</v>
      </c>
      <c r="M854">
        <v>2</v>
      </c>
      <c r="N854">
        <v>2</v>
      </c>
      <c r="O854">
        <v>2</v>
      </c>
      <c r="P854">
        <v>2</v>
      </c>
      <c r="Q854">
        <v>2</v>
      </c>
      <c r="R854">
        <v>2</v>
      </c>
      <c r="S854">
        <v>2</v>
      </c>
      <c r="T854">
        <v>2</v>
      </c>
      <c r="U854">
        <v>2</v>
      </c>
      <c r="V854">
        <v>2</v>
      </c>
      <c r="W854">
        <v>2</v>
      </c>
      <c r="X854">
        <v>2</v>
      </c>
      <c r="Y854">
        <v>2</v>
      </c>
      <c r="Z854">
        <v>2</v>
      </c>
    </row>
    <row r="855" spans="1:26" x14ac:dyDescent="0.25">
      <c r="A855" t="s">
        <v>97</v>
      </c>
      <c r="B855" t="s">
        <v>98</v>
      </c>
      <c r="C855" t="s">
        <v>99</v>
      </c>
      <c r="D855">
        <v>2</v>
      </c>
      <c r="E855">
        <v>2</v>
      </c>
      <c r="F855">
        <v>2</v>
      </c>
      <c r="G855">
        <v>2</v>
      </c>
      <c r="H855">
        <v>2</v>
      </c>
      <c r="I855">
        <v>2</v>
      </c>
      <c r="J855">
        <v>2</v>
      </c>
      <c r="K855">
        <v>2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2</v>
      </c>
      <c r="R855">
        <v>2</v>
      </c>
      <c r="S855">
        <v>2</v>
      </c>
      <c r="T855">
        <v>2</v>
      </c>
      <c r="U855">
        <v>2</v>
      </c>
      <c r="V855">
        <v>2</v>
      </c>
      <c r="W855">
        <v>2</v>
      </c>
      <c r="X855">
        <v>2</v>
      </c>
      <c r="Y855">
        <v>2</v>
      </c>
      <c r="Z855">
        <v>2</v>
      </c>
    </row>
    <row r="856" spans="1:26" x14ac:dyDescent="0.25">
      <c r="A856" t="s">
        <v>100</v>
      </c>
      <c r="B856" t="s">
        <v>101</v>
      </c>
      <c r="C856" t="s">
        <v>102</v>
      </c>
      <c r="D856">
        <v>2</v>
      </c>
      <c r="E856">
        <v>2</v>
      </c>
      <c r="F856">
        <v>2</v>
      </c>
      <c r="G856">
        <v>2</v>
      </c>
      <c r="H856">
        <v>2</v>
      </c>
      <c r="I856">
        <v>2</v>
      </c>
      <c r="J856">
        <v>2</v>
      </c>
      <c r="K856">
        <v>2</v>
      </c>
      <c r="L856">
        <v>2</v>
      </c>
      <c r="M856">
        <v>2</v>
      </c>
      <c r="N856">
        <v>2</v>
      </c>
      <c r="O856">
        <v>2</v>
      </c>
      <c r="P856">
        <v>2</v>
      </c>
      <c r="Q856">
        <v>2</v>
      </c>
      <c r="R856">
        <v>2</v>
      </c>
      <c r="S856">
        <v>2</v>
      </c>
      <c r="T856">
        <v>2</v>
      </c>
      <c r="U856">
        <v>2</v>
      </c>
      <c r="V856">
        <v>2</v>
      </c>
      <c r="W856">
        <v>2</v>
      </c>
      <c r="X856">
        <v>2</v>
      </c>
      <c r="Y856">
        <v>2</v>
      </c>
      <c r="Z856">
        <v>2</v>
      </c>
    </row>
    <row r="857" spans="1:26" x14ac:dyDescent="0.25">
      <c r="A857" t="s">
        <v>103</v>
      </c>
      <c r="B857" t="s">
        <v>104</v>
      </c>
      <c r="C857" t="s">
        <v>105</v>
      </c>
      <c r="D857">
        <v>2</v>
      </c>
      <c r="E857">
        <v>2</v>
      </c>
      <c r="F857">
        <v>2</v>
      </c>
      <c r="G857">
        <v>2</v>
      </c>
      <c r="H857">
        <v>2</v>
      </c>
      <c r="I857">
        <v>2</v>
      </c>
      <c r="J857">
        <v>2</v>
      </c>
      <c r="K857">
        <v>2</v>
      </c>
      <c r="L857">
        <v>2</v>
      </c>
      <c r="M857">
        <v>2</v>
      </c>
      <c r="N857">
        <v>2</v>
      </c>
      <c r="O857">
        <v>2</v>
      </c>
      <c r="P857">
        <v>2</v>
      </c>
      <c r="Q857">
        <v>2</v>
      </c>
      <c r="R857">
        <v>2</v>
      </c>
      <c r="S857">
        <v>2</v>
      </c>
      <c r="T857">
        <v>2</v>
      </c>
      <c r="U857">
        <v>2</v>
      </c>
      <c r="V857">
        <v>2</v>
      </c>
      <c r="W857">
        <v>2</v>
      </c>
      <c r="X857">
        <v>2</v>
      </c>
      <c r="Y857">
        <v>2</v>
      </c>
      <c r="Z857">
        <v>2</v>
      </c>
    </row>
    <row r="858" spans="1:26" x14ac:dyDescent="0.25">
      <c r="A858" t="s">
        <v>106</v>
      </c>
      <c r="B858" t="s">
        <v>107</v>
      </c>
      <c r="C858" t="s">
        <v>108</v>
      </c>
      <c r="D858">
        <v>2</v>
      </c>
      <c r="E858">
        <v>2</v>
      </c>
      <c r="F858">
        <v>2</v>
      </c>
      <c r="G858">
        <v>2</v>
      </c>
      <c r="H858">
        <v>2</v>
      </c>
      <c r="I858">
        <v>2</v>
      </c>
      <c r="J858">
        <v>2</v>
      </c>
      <c r="K858">
        <v>2</v>
      </c>
      <c r="L858">
        <v>2</v>
      </c>
      <c r="M858">
        <v>2</v>
      </c>
      <c r="N858">
        <v>2</v>
      </c>
      <c r="O858">
        <v>2</v>
      </c>
      <c r="P858">
        <v>2</v>
      </c>
      <c r="Q858">
        <v>2</v>
      </c>
      <c r="R858">
        <v>2</v>
      </c>
      <c r="S858">
        <v>2</v>
      </c>
      <c r="T858">
        <v>2</v>
      </c>
      <c r="U858">
        <v>2</v>
      </c>
      <c r="V858">
        <v>2</v>
      </c>
      <c r="W858">
        <v>2</v>
      </c>
      <c r="X858">
        <v>2</v>
      </c>
      <c r="Y858">
        <v>2</v>
      </c>
      <c r="Z858">
        <v>2</v>
      </c>
    </row>
    <row r="859" spans="1:26" x14ac:dyDescent="0.25">
      <c r="A859" t="s">
        <v>109</v>
      </c>
      <c r="B859" t="s">
        <v>110</v>
      </c>
      <c r="C859" t="s">
        <v>111</v>
      </c>
      <c r="D859">
        <v>2</v>
      </c>
      <c r="E859">
        <v>2</v>
      </c>
      <c r="F859">
        <v>2</v>
      </c>
      <c r="G859">
        <v>2</v>
      </c>
      <c r="H859">
        <v>2</v>
      </c>
      <c r="I859">
        <v>2</v>
      </c>
      <c r="J859">
        <v>2</v>
      </c>
      <c r="K859">
        <v>2</v>
      </c>
      <c r="L859">
        <v>2</v>
      </c>
      <c r="M859">
        <v>2</v>
      </c>
      <c r="N859">
        <v>2</v>
      </c>
      <c r="O859">
        <v>2</v>
      </c>
      <c r="P859">
        <v>2</v>
      </c>
      <c r="Q859">
        <v>2</v>
      </c>
      <c r="R859">
        <v>2</v>
      </c>
      <c r="S859">
        <v>2</v>
      </c>
      <c r="T859">
        <v>2</v>
      </c>
      <c r="U859">
        <v>2</v>
      </c>
      <c r="V859">
        <v>2</v>
      </c>
      <c r="W859">
        <v>2</v>
      </c>
      <c r="X859">
        <v>2</v>
      </c>
      <c r="Y859">
        <v>2</v>
      </c>
      <c r="Z859">
        <v>2</v>
      </c>
    </row>
    <row r="860" spans="1:26" x14ac:dyDescent="0.25">
      <c r="A860" t="s">
        <v>112</v>
      </c>
      <c r="B860" t="s">
        <v>113</v>
      </c>
      <c r="C860" t="s">
        <v>114</v>
      </c>
      <c r="D860">
        <v>2</v>
      </c>
      <c r="E860">
        <v>2</v>
      </c>
      <c r="F860">
        <v>2</v>
      </c>
      <c r="G860">
        <v>2</v>
      </c>
      <c r="H860">
        <v>2</v>
      </c>
      <c r="I860">
        <v>2</v>
      </c>
      <c r="J860">
        <v>2</v>
      </c>
      <c r="K860">
        <v>2</v>
      </c>
      <c r="L860">
        <v>2</v>
      </c>
      <c r="M860">
        <v>2</v>
      </c>
      <c r="N860">
        <v>2</v>
      </c>
      <c r="O860">
        <v>2</v>
      </c>
      <c r="P860">
        <v>2</v>
      </c>
      <c r="Q860">
        <v>2</v>
      </c>
      <c r="R860">
        <v>2</v>
      </c>
      <c r="S860">
        <v>2</v>
      </c>
      <c r="T860">
        <v>2</v>
      </c>
      <c r="U860">
        <v>2</v>
      </c>
      <c r="V860">
        <v>2</v>
      </c>
      <c r="W860">
        <v>2</v>
      </c>
      <c r="X860">
        <v>2</v>
      </c>
      <c r="Y860">
        <v>2</v>
      </c>
      <c r="Z860">
        <v>2</v>
      </c>
    </row>
    <row r="861" spans="1:26" x14ac:dyDescent="0.25">
      <c r="A861" t="s">
        <v>115</v>
      </c>
      <c r="B861" t="s">
        <v>116</v>
      </c>
      <c r="C861" t="s">
        <v>117</v>
      </c>
      <c r="D861">
        <v>2</v>
      </c>
      <c r="E861">
        <v>2</v>
      </c>
      <c r="F861">
        <v>2</v>
      </c>
      <c r="G861">
        <v>2</v>
      </c>
      <c r="H861">
        <v>2</v>
      </c>
      <c r="I861">
        <v>2</v>
      </c>
      <c r="J861">
        <v>2</v>
      </c>
      <c r="K861">
        <v>2</v>
      </c>
      <c r="L861">
        <v>2</v>
      </c>
      <c r="M861">
        <v>2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2</v>
      </c>
      <c r="T861">
        <v>2</v>
      </c>
      <c r="U861">
        <v>2</v>
      </c>
      <c r="V861">
        <v>2</v>
      </c>
      <c r="W861">
        <v>2</v>
      </c>
      <c r="X861">
        <v>2</v>
      </c>
      <c r="Y861">
        <v>2</v>
      </c>
      <c r="Z861">
        <v>2</v>
      </c>
    </row>
    <row r="862" spans="1:26" x14ac:dyDescent="0.25">
      <c r="A862" t="s">
        <v>118</v>
      </c>
      <c r="B862" t="s">
        <v>119</v>
      </c>
      <c r="C862" t="s">
        <v>120</v>
      </c>
      <c r="D862">
        <v>2</v>
      </c>
      <c r="E862">
        <v>2</v>
      </c>
      <c r="F862">
        <v>2</v>
      </c>
      <c r="G862">
        <v>2</v>
      </c>
      <c r="H862">
        <v>2</v>
      </c>
      <c r="I862">
        <v>2</v>
      </c>
      <c r="J862">
        <v>2</v>
      </c>
      <c r="K862">
        <v>2</v>
      </c>
      <c r="L862">
        <v>2</v>
      </c>
      <c r="M862">
        <v>2</v>
      </c>
      <c r="N862">
        <v>2</v>
      </c>
      <c r="O862">
        <v>2</v>
      </c>
      <c r="P862">
        <v>2</v>
      </c>
      <c r="Q862">
        <v>2</v>
      </c>
      <c r="R862">
        <v>2</v>
      </c>
      <c r="S862">
        <v>2</v>
      </c>
      <c r="T862">
        <v>2</v>
      </c>
      <c r="U862">
        <v>2</v>
      </c>
      <c r="V862">
        <v>2</v>
      </c>
      <c r="W862">
        <v>2</v>
      </c>
      <c r="X862">
        <v>2</v>
      </c>
      <c r="Y862">
        <v>2</v>
      </c>
      <c r="Z862">
        <v>2</v>
      </c>
    </row>
    <row r="863" spans="1:26" x14ac:dyDescent="0.25">
      <c r="A863" t="s">
        <v>121</v>
      </c>
      <c r="B863" t="s">
        <v>122</v>
      </c>
      <c r="C863" t="s">
        <v>123</v>
      </c>
      <c r="D863">
        <v>2</v>
      </c>
      <c r="E863">
        <v>2</v>
      </c>
      <c r="F863">
        <v>2</v>
      </c>
      <c r="G863">
        <v>2</v>
      </c>
      <c r="H863">
        <v>2</v>
      </c>
      <c r="I863">
        <v>2</v>
      </c>
      <c r="J863">
        <v>2</v>
      </c>
      <c r="K863">
        <v>2</v>
      </c>
      <c r="L863">
        <v>2</v>
      </c>
      <c r="M863">
        <v>2</v>
      </c>
      <c r="N863">
        <v>2</v>
      </c>
      <c r="O863">
        <v>2</v>
      </c>
      <c r="P863">
        <v>2</v>
      </c>
      <c r="Q863">
        <v>2</v>
      </c>
      <c r="R863">
        <v>2</v>
      </c>
      <c r="S863">
        <v>2</v>
      </c>
      <c r="T863">
        <v>2</v>
      </c>
      <c r="U863">
        <v>2</v>
      </c>
      <c r="V863">
        <v>2</v>
      </c>
      <c r="W863">
        <v>2</v>
      </c>
      <c r="X863">
        <v>2</v>
      </c>
      <c r="Y863">
        <v>2</v>
      </c>
      <c r="Z863">
        <v>2</v>
      </c>
    </row>
    <row r="864" spans="1:26" x14ac:dyDescent="0.25">
      <c r="A864" t="s">
        <v>124</v>
      </c>
      <c r="B864" t="s">
        <v>125</v>
      </c>
      <c r="C864" t="s">
        <v>126</v>
      </c>
      <c r="D864">
        <v>2</v>
      </c>
      <c r="E864">
        <v>2</v>
      </c>
      <c r="F864">
        <v>2</v>
      </c>
      <c r="G864">
        <v>2</v>
      </c>
      <c r="H864">
        <v>2</v>
      </c>
      <c r="I864">
        <v>2</v>
      </c>
      <c r="J864">
        <v>2</v>
      </c>
      <c r="K864">
        <v>2</v>
      </c>
      <c r="L864">
        <v>2</v>
      </c>
      <c r="M864">
        <v>2</v>
      </c>
      <c r="N864">
        <v>2</v>
      </c>
      <c r="O864">
        <v>2</v>
      </c>
      <c r="P864">
        <v>2</v>
      </c>
      <c r="Q864">
        <v>2</v>
      </c>
      <c r="R864">
        <v>2</v>
      </c>
      <c r="S864">
        <v>2</v>
      </c>
      <c r="T864">
        <v>2</v>
      </c>
      <c r="U864">
        <v>2</v>
      </c>
      <c r="V864">
        <v>2</v>
      </c>
      <c r="W864">
        <v>2</v>
      </c>
      <c r="X864">
        <v>2</v>
      </c>
      <c r="Y864">
        <v>2</v>
      </c>
      <c r="Z864">
        <v>2</v>
      </c>
    </row>
    <row r="865" spans="1:26" x14ac:dyDescent="0.25">
      <c r="A865" t="s">
        <v>127</v>
      </c>
      <c r="B865" t="s">
        <v>128</v>
      </c>
      <c r="C865" t="s">
        <v>129</v>
      </c>
      <c r="D865">
        <v>2</v>
      </c>
      <c r="E865">
        <v>2</v>
      </c>
      <c r="F865">
        <v>2</v>
      </c>
      <c r="G865">
        <v>2</v>
      </c>
      <c r="H865">
        <v>2</v>
      </c>
      <c r="I865">
        <v>2</v>
      </c>
      <c r="J865">
        <v>2</v>
      </c>
      <c r="K865">
        <v>2</v>
      </c>
      <c r="L865">
        <v>2</v>
      </c>
      <c r="M865">
        <v>2</v>
      </c>
      <c r="N865">
        <v>2</v>
      </c>
      <c r="O865">
        <v>2</v>
      </c>
      <c r="P865">
        <v>2</v>
      </c>
      <c r="Q865">
        <v>2</v>
      </c>
      <c r="R865">
        <v>2</v>
      </c>
      <c r="S865">
        <v>2</v>
      </c>
      <c r="T865">
        <v>2</v>
      </c>
      <c r="U865">
        <v>2</v>
      </c>
      <c r="V865">
        <v>2</v>
      </c>
      <c r="W865">
        <v>2</v>
      </c>
      <c r="X865">
        <v>2</v>
      </c>
      <c r="Y865">
        <v>2</v>
      </c>
      <c r="Z865">
        <v>2</v>
      </c>
    </row>
    <row r="866" spans="1:26" x14ac:dyDescent="0.25">
      <c r="A866" t="s">
        <v>130</v>
      </c>
      <c r="B866" t="s">
        <v>131</v>
      </c>
      <c r="C866" t="s">
        <v>132</v>
      </c>
      <c r="D866">
        <v>2</v>
      </c>
      <c r="E866">
        <v>2</v>
      </c>
      <c r="F866">
        <v>2</v>
      </c>
      <c r="G866">
        <v>2</v>
      </c>
      <c r="H866">
        <v>2</v>
      </c>
      <c r="I866">
        <v>2</v>
      </c>
      <c r="J866">
        <v>2</v>
      </c>
      <c r="K866">
        <v>2</v>
      </c>
      <c r="L866">
        <v>2</v>
      </c>
      <c r="M866">
        <v>2</v>
      </c>
      <c r="N866">
        <v>2</v>
      </c>
      <c r="O866">
        <v>2</v>
      </c>
      <c r="P866">
        <v>2</v>
      </c>
      <c r="Q866">
        <v>2</v>
      </c>
      <c r="R866">
        <v>2</v>
      </c>
      <c r="S866">
        <v>2</v>
      </c>
      <c r="T866">
        <v>2</v>
      </c>
      <c r="U866">
        <v>2</v>
      </c>
      <c r="V866">
        <v>2</v>
      </c>
      <c r="W866">
        <v>2</v>
      </c>
      <c r="X866">
        <v>2</v>
      </c>
      <c r="Y866">
        <v>2</v>
      </c>
      <c r="Z866">
        <v>2</v>
      </c>
    </row>
    <row r="867" spans="1:26" x14ac:dyDescent="0.25">
      <c r="A867" t="s">
        <v>133</v>
      </c>
      <c r="B867" t="s">
        <v>134</v>
      </c>
      <c r="C867" t="s">
        <v>135</v>
      </c>
      <c r="D867">
        <v>2</v>
      </c>
      <c r="E867">
        <v>2</v>
      </c>
      <c r="F867">
        <v>2</v>
      </c>
      <c r="G867">
        <v>2</v>
      </c>
      <c r="H867">
        <v>2</v>
      </c>
      <c r="I867">
        <v>2</v>
      </c>
      <c r="J867">
        <v>2</v>
      </c>
      <c r="K867">
        <v>2</v>
      </c>
      <c r="L867">
        <v>2</v>
      </c>
      <c r="M867">
        <v>2</v>
      </c>
      <c r="N867">
        <v>2</v>
      </c>
      <c r="O867">
        <v>2</v>
      </c>
      <c r="P867">
        <v>2</v>
      </c>
      <c r="Q867">
        <v>2</v>
      </c>
      <c r="R867">
        <v>2</v>
      </c>
      <c r="S867">
        <v>2</v>
      </c>
      <c r="T867">
        <v>2</v>
      </c>
      <c r="U867">
        <v>2</v>
      </c>
      <c r="V867">
        <v>2</v>
      </c>
      <c r="W867">
        <v>2</v>
      </c>
      <c r="X867">
        <v>2</v>
      </c>
      <c r="Y867">
        <v>2</v>
      </c>
      <c r="Z867">
        <v>2</v>
      </c>
    </row>
    <row r="868" spans="1:26" x14ac:dyDescent="0.25">
      <c r="A868" t="s">
        <v>136</v>
      </c>
      <c r="B868" t="s">
        <v>137</v>
      </c>
      <c r="C868" t="s">
        <v>138</v>
      </c>
      <c r="D868">
        <v>2</v>
      </c>
      <c r="E868">
        <v>2</v>
      </c>
      <c r="F868">
        <v>2</v>
      </c>
      <c r="G868">
        <v>2</v>
      </c>
      <c r="H868">
        <v>2</v>
      </c>
      <c r="I868">
        <v>2</v>
      </c>
      <c r="J868">
        <v>2</v>
      </c>
      <c r="K868">
        <v>2</v>
      </c>
      <c r="L868">
        <v>2</v>
      </c>
      <c r="M868">
        <v>2</v>
      </c>
      <c r="N868">
        <v>2</v>
      </c>
      <c r="O868">
        <v>2</v>
      </c>
      <c r="P868">
        <v>2</v>
      </c>
      <c r="Q868">
        <v>2</v>
      </c>
      <c r="R868">
        <v>2</v>
      </c>
      <c r="S868">
        <v>2</v>
      </c>
      <c r="T868">
        <v>2</v>
      </c>
      <c r="U868">
        <v>2</v>
      </c>
      <c r="V868">
        <v>2</v>
      </c>
      <c r="W868">
        <v>2</v>
      </c>
      <c r="X868">
        <v>2</v>
      </c>
      <c r="Y868">
        <v>2</v>
      </c>
      <c r="Z868">
        <v>2</v>
      </c>
    </row>
    <row r="869" spans="1:26" x14ac:dyDescent="0.25">
      <c r="A869" t="s">
        <v>139</v>
      </c>
      <c r="B869" t="s">
        <v>140</v>
      </c>
      <c r="C869" t="s">
        <v>141</v>
      </c>
      <c r="D869">
        <v>2</v>
      </c>
      <c r="E869">
        <v>2</v>
      </c>
      <c r="F869">
        <v>2</v>
      </c>
      <c r="G869">
        <v>2</v>
      </c>
      <c r="H869">
        <v>2</v>
      </c>
      <c r="I869">
        <v>2</v>
      </c>
      <c r="J869">
        <v>2</v>
      </c>
      <c r="K869">
        <v>2</v>
      </c>
      <c r="L869">
        <v>2</v>
      </c>
      <c r="M869">
        <v>2</v>
      </c>
      <c r="N869">
        <v>2</v>
      </c>
      <c r="O869">
        <v>2</v>
      </c>
      <c r="P869">
        <v>2</v>
      </c>
      <c r="Q869">
        <v>2</v>
      </c>
      <c r="R869">
        <v>2</v>
      </c>
      <c r="S869">
        <v>2</v>
      </c>
      <c r="T869">
        <v>2</v>
      </c>
      <c r="U869">
        <v>2</v>
      </c>
      <c r="V869">
        <v>2</v>
      </c>
      <c r="W869">
        <v>2</v>
      </c>
      <c r="X869">
        <v>2</v>
      </c>
      <c r="Y869">
        <v>2</v>
      </c>
      <c r="Z869">
        <v>2</v>
      </c>
    </row>
    <row r="870" spans="1:26" x14ac:dyDescent="0.25">
      <c r="A870" t="s">
        <v>142</v>
      </c>
      <c r="B870" t="s">
        <v>143</v>
      </c>
      <c r="C870" t="s">
        <v>144</v>
      </c>
      <c r="D870">
        <v>2</v>
      </c>
      <c r="E870">
        <v>2</v>
      </c>
      <c r="F870">
        <v>2</v>
      </c>
      <c r="G870">
        <v>2</v>
      </c>
      <c r="H870">
        <v>2</v>
      </c>
      <c r="I870">
        <v>2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2</v>
      </c>
      <c r="P870">
        <v>2</v>
      </c>
      <c r="Q870">
        <v>2</v>
      </c>
      <c r="R870">
        <v>2</v>
      </c>
      <c r="S870">
        <v>2</v>
      </c>
      <c r="T870">
        <v>2</v>
      </c>
      <c r="U870">
        <v>2</v>
      </c>
      <c r="V870">
        <v>2</v>
      </c>
      <c r="W870">
        <v>2</v>
      </c>
      <c r="X870">
        <v>2</v>
      </c>
      <c r="Y870">
        <v>2</v>
      </c>
      <c r="Z870">
        <v>2</v>
      </c>
    </row>
    <row r="871" spans="1:26" x14ac:dyDescent="0.25">
      <c r="A871" t="s">
        <v>145</v>
      </c>
      <c r="B871" t="s">
        <v>146</v>
      </c>
      <c r="C871" t="s">
        <v>147</v>
      </c>
      <c r="D871">
        <v>2</v>
      </c>
      <c r="E871">
        <v>2</v>
      </c>
      <c r="F871">
        <v>2</v>
      </c>
      <c r="G871">
        <v>2</v>
      </c>
      <c r="H871">
        <v>2</v>
      </c>
      <c r="I871">
        <v>2</v>
      </c>
      <c r="J871">
        <v>2</v>
      </c>
      <c r="K871">
        <v>2</v>
      </c>
      <c r="L871">
        <v>2</v>
      </c>
      <c r="M871">
        <v>2</v>
      </c>
      <c r="N871">
        <v>2</v>
      </c>
      <c r="O871">
        <v>2</v>
      </c>
      <c r="P871">
        <v>2</v>
      </c>
      <c r="Q871">
        <v>2</v>
      </c>
      <c r="R871">
        <v>2</v>
      </c>
      <c r="S871">
        <v>2</v>
      </c>
      <c r="T871">
        <v>2</v>
      </c>
      <c r="U871">
        <v>2</v>
      </c>
      <c r="V871">
        <v>2</v>
      </c>
      <c r="W871">
        <v>2</v>
      </c>
      <c r="X871">
        <v>2</v>
      </c>
      <c r="Y871">
        <v>2</v>
      </c>
      <c r="Z871">
        <v>2</v>
      </c>
    </row>
    <row r="872" spans="1:26" x14ac:dyDescent="0.25">
      <c r="A872" t="s">
        <v>148</v>
      </c>
      <c r="B872" t="s">
        <v>149</v>
      </c>
      <c r="C872" t="s">
        <v>150</v>
      </c>
      <c r="D872">
        <v>2</v>
      </c>
      <c r="E872">
        <v>2</v>
      </c>
      <c r="F872">
        <v>2</v>
      </c>
      <c r="G872">
        <v>2</v>
      </c>
      <c r="H872">
        <v>2</v>
      </c>
      <c r="I872">
        <v>2</v>
      </c>
      <c r="J872">
        <v>2</v>
      </c>
      <c r="K872">
        <v>2</v>
      </c>
      <c r="L872">
        <v>2</v>
      </c>
      <c r="M872">
        <v>2</v>
      </c>
      <c r="N872">
        <v>2</v>
      </c>
      <c r="O872">
        <v>2</v>
      </c>
      <c r="P872">
        <v>2</v>
      </c>
      <c r="Q872">
        <v>2</v>
      </c>
      <c r="R872">
        <v>2</v>
      </c>
      <c r="S872">
        <v>2</v>
      </c>
      <c r="T872">
        <v>2</v>
      </c>
      <c r="U872">
        <v>2</v>
      </c>
      <c r="V872">
        <v>2</v>
      </c>
      <c r="W872">
        <v>2</v>
      </c>
      <c r="X872">
        <v>2</v>
      </c>
      <c r="Y872">
        <v>2</v>
      </c>
      <c r="Z872">
        <v>2</v>
      </c>
    </row>
    <row r="873" spans="1:26" x14ac:dyDescent="0.25">
      <c r="A873" t="s">
        <v>151</v>
      </c>
      <c r="B873" t="s">
        <v>152</v>
      </c>
      <c r="C873" t="s">
        <v>153</v>
      </c>
      <c r="D873">
        <v>2</v>
      </c>
      <c r="E873">
        <v>2</v>
      </c>
      <c r="F873">
        <v>2</v>
      </c>
      <c r="G873">
        <v>2</v>
      </c>
      <c r="H873">
        <v>2</v>
      </c>
      <c r="I873">
        <v>2</v>
      </c>
      <c r="J873">
        <v>2</v>
      </c>
      <c r="K873">
        <v>2</v>
      </c>
      <c r="L873">
        <v>2</v>
      </c>
      <c r="M873">
        <v>2</v>
      </c>
      <c r="N873">
        <v>2</v>
      </c>
      <c r="O873">
        <v>2</v>
      </c>
      <c r="P873">
        <v>2</v>
      </c>
      <c r="Q873">
        <v>2</v>
      </c>
      <c r="R873">
        <v>2</v>
      </c>
      <c r="S873">
        <v>2</v>
      </c>
      <c r="T873">
        <v>2</v>
      </c>
      <c r="U873">
        <v>2</v>
      </c>
      <c r="V873">
        <v>2</v>
      </c>
      <c r="W873">
        <v>2</v>
      </c>
      <c r="X873">
        <v>2</v>
      </c>
      <c r="Y873">
        <v>2</v>
      </c>
      <c r="Z873">
        <v>2</v>
      </c>
    </row>
    <row r="874" spans="1:26" x14ac:dyDescent="0.25">
      <c r="A874" t="s">
        <v>154</v>
      </c>
      <c r="B874" t="s">
        <v>155</v>
      </c>
      <c r="C874" t="s">
        <v>156</v>
      </c>
      <c r="D874">
        <v>2</v>
      </c>
      <c r="E874">
        <v>2</v>
      </c>
      <c r="F874">
        <v>2</v>
      </c>
      <c r="G874">
        <v>2</v>
      </c>
      <c r="H874">
        <v>2</v>
      </c>
      <c r="I874">
        <v>2</v>
      </c>
      <c r="J874">
        <v>2</v>
      </c>
      <c r="K874">
        <v>2</v>
      </c>
      <c r="L874">
        <v>2</v>
      </c>
      <c r="M874">
        <v>2</v>
      </c>
      <c r="N874">
        <v>2</v>
      </c>
      <c r="O874">
        <v>2</v>
      </c>
      <c r="P874">
        <v>2</v>
      </c>
      <c r="Q874">
        <v>2</v>
      </c>
      <c r="R874">
        <v>2</v>
      </c>
      <c r="S874">
        <v>2</v>
      </c>
      <c r="T874">
        <v>2</v>
      </c>
      <c r="U874">
        <v>2</v>
      </c>
      <c r="V874">
        <v>2</v>
      </c>
      <c r="W874">
        <v>2</v>
      </c>
      <c r="X874">
        <v>2</v>
      </c>
      <c r="Y874">
        <v>2</v>
      </c>
      <c r="Z874">
        <v>2</v>
      </c>
    </row>
    <row r="875" spans="1:26" x14ac:dyDescent="0.25">
      <c r="A875" t="s">
        <v>157</v>
      </c>
      <c r="B875" t="s">
        <v>158</v>
      </c>
      <c r="C875" t="s">
        <v>159</v>
      </c>
      <c r="D875">
        <v>2</v>
      </c>
      <c r="E875">
        <v>2</v>
      </c>
      <c r="F875">
        <v>2</v>
      </c>
      <c r="G875">
        <v>2</v>
      </c>
      <c r="H875">
        <v>2</v>
      </c>
      <c r="I875">
        <v>2</v>
      </c>
      <c r="J875">
        <v>2</v>
      </c>
      <c r="K875">
        <v>2</v>
      </c>
      <c r="L875">
        <v>2</v>
      </c>
      <c r="M875">
        <v>2</v>
      </c>
      <c r="N875">
        <v>2</v>
      </c>
      <c r="O875">
        <v>2</v>
      </c>
      <c r="P875">
        <v>2</v>
      </c>
      <c r="Q875">
        <v>2</v>
      </c>
      <c r="R875">
        <v>2</v>
      </c>
      <c r="S875">
        <v>2</v>
      </c>
      <c r="T875">
        <v>2</v>
      </c>
      <c r="U875">
        <v>2</v>
      </c>
      <c r="V875">
        <v>2</v>
      </c>
      <c r="W875">
        <v>2</v>
      </c>
      <c r="X875">
        <v>2</v>
      </c>
      <c r="Y875">
        <v>2</v>
      </c>
      <c r="Z875">
        <v>2</v>
      </c>
    </row>
    <row r="876" spans="1:26" x14ac:dyDescent="0.25">
      <c r="A876" t="s">
        <v>160</v>
      </c>
      <c r="B876" t="s">
        <v>161</v>
      </c>
      <c r="C876" t="s">
        <v>162</v>
      </c>
      <c r="D876">
        <v>2</v>
      </c>
      <c r="E876">
        <v>2</v>
      </c>
      <c r="F876">
        <v>2</v>
      </c>
      <c r="G876">
        <v>2</v>
      </c>
      <c r="H876">
        <v>2</v>
      </c>
      <c r="I876">
        <v>2</v>
      </c>
      <c r="J876">
        <v>2</v>
      </c>
      <c r="K876">
        <v>2</v>
      </c>
      <c r="L876">
        <v>2</v>
      </c>
      <c r="M876">
        <v>2</v>
      </c>
      <c r="N876">
        <v>2</v>
      </c>
      <c r="O876">
        <v>2</v>
      </c>
      <c r="P876">
        <v>2</v>
      </c>
      <c r="Q876">
        <v>2</v>
      </c>
      <c r="R876">
        <v>2</v>
      </c>
      <c r="S876">
        <v>2</v>
      </c>
      <c r="T876">
        <v>2</v>
      </c>
      <c r="U876">
        <v>2</v>
      </c>
      <c r="V876">
        <v>2</v>
      </c>
      <c r="W876">
        <v>2</v>
      </c>
      <c r="X876">
        <v>2</v>
      </c>
      <c r="Y876">
        <v>2</v>
      </c>
      <c r="Z876">
        <v>2</v>
      </c>
    </row>
    <row r="877" spans="1:26" x14ac:dyDescent="0.25">
      <c r="A877" t="s">
        <v>163</v>
      </c>
      <c r="B877" t="s">
        <v>164</v>
      </c>
      <c r="C877" t="s">
        <v>165</v>
      </c>
      <c r="D877">
        <v>2</v>
      </c>
      <c r="E877">
        <v>2</v>
      </c>
      <c r="F877">
        <v>2</v>
      </c>
      <c r="G877">
        <v>2</v>
      </c>
      <c r="H877">
        <v>2</v>
      </c>
      <c r="I877">
        <v>2</v>
      </c>
      <c r="J877">
        <v>2</v>
      </c>
      <c r="K877">
        <v>2</v>
      </c>
      <c r="L877">
        <v>2</v>
      </c>
      <c r="M877">
        <v>2</v>
      </c>
      <c r="N877">
        <v>2</v>
      </c>
      <c r="O877">
        <v>2</v>
      </c>
      <c r="P877">
        <v>2</v>
      </c>
      <c r="Q877">
        <v>2</v>
      </c>
      <c r="R877">
        <v>2</v>
      </c>
      <c r="S877">
        <v>2</v>
      </c>
      <c r="T877">
        <v>2</v>
      </c>
      <c r="U877">
        <v>2</v>
      </c>
      <c r="V877">
        <v>2</v>
      </c>
      <c r="W877">
        <v>2</v>
      </c>
      <c r="X877">
        <v>2</v>
      </c>
      <c r="Y877">
        <v>2</v>
      </c>
      <c r="Z877">
        <v>2</v>
      </c>
    </row>
    <row r="878" spans="1:26" x14ac:dyDescent="0.25">
      <c r="A878" t="s">
        <v>166</v>
      </c>
      <c r="B878" t="s">
        <v>167</v>
      </c>
      <c r="C878" t="s">
        <v>168</v>
      </c>
      <c r="D878">
        <v>2</v>
      </c>
      <c r="E878">
        <v>2</v>
      </c>
      <c r="F878">
        <v>2</v>
      </c>
      <c r="G878">
        <v>2</v>
      </c>
      <c r="H878">
        <v>2</v>
      </c>
      <c r="I878">
        <v>2</v>
      </c>
      <c r="J878">
        <v>2</v>
      </c>
      <c r="K878">
        <v>2</v>
      </c>
      <c r="L878">
        <v>2</v>
      </c>
      <c r="M878">
        <v>2</v>
      </c>
      <c r="N878">
        <v>2</v>
      </c>
      <c r="O878">
        <v>2</v>
      </c>
      <c r="P878">
        <v>2</v>
      </c>
      <c r="Q878">
        <v>2</v>
      </c>
      <c r="R878">
        <v>2</v>
      </c>
      <c r="S878">
        <v>2</v>
      </c>
      <c r="T878">
        <v>2</v>
      </c>
      <c r="U878">
        <v>2</v>
      </c>
      <c r="V878">
        <v>2</v>
      </c>
      <c r="W878">
        <v>2</v>
      </c>
      <c r="X878">
        <v>2</v>
      </c>
      <c r="Y878">
        <v>2</v>
      </c>
      <c r="Z878">
        <v>2</v>
      </c>
    </row>
    <row r="879" spans="1:26" x14ac:dyDescent="0.25">
      <c r="A879" t="s">
        <v>169</v>
      </c>
      <c r="B879" t="s">
        <v>170</v>
      </c>
      <c r="C879" t="s">
        <v>171</v>
      </c>
      <c r="D879">
        <v>2</v>
      </c>
      <c r="E879">
        <v>2</v>
      </c>
      <c r="F879">
        <v>2</v>
      </c>
      <c r="G879">
        <v>2</v>
      </c>
      <c r="H879">
        <v>2</v>
      </c>
      <c r="I879">
        <v>2</v>
      </c>
      <c r="J879">
        <v>2</v>
      </c>
      <c r="K879">
        <v>2</v>
      </c>
      <c r="L879">
        <v>2</v>
      </c>
      <c r="M879">
        <v>2</v>
      </c>
      <c r="N879">
        <v>2</v>
      </c>
      <c r="O879">
        <v>2</v>
      </c>
      <c r="P879">
        <v>2</v>
      </c>
      <c r="Q879">
        <v>2</v>
      </c>
      <c r="R879">
        <v>2</v>
      </c>
      <c r="S879">
        <v>2</v>
      </c>
      <c r="T879">
        <v>2</v>
      </c>
      <c r="U879">
        <v>2</v>
      </c>
      <c r="V879">
        <v>2</v>
      </c>
      <c r="W879">
        <v>2</v>
      </c>
      <c r="X879">
        <v>2</v>
      </c>
      <c r="Y879">
        <v>2</v>
      </c>
      <c r="Z879">
        <v>2</v>
      </c>
    </row>
    <row r="880" spans="1:26" x14ac:dyDescent="0.25">
      <c r="A880" t="s">
        <v>172</v>
      </c>
      <c r="B880" t="s">
        <v>173</v>
      </c>
      <c r="C880" t="s">
        <v>174</v>
      </c>
      <c r="D880">
        <v>2</v>
      </c>
      <c r="E880">
        <v>2</v>
      </c>
      <c r="F880">
        <v>2</v>
      </c>
      <c r="G880">
        <v>2</v>
      </c>
      <c r="H880">
        <v>2</v>
      </c>
      <c r="I880">
        <v>2</v>
      </c>
      <c r="J880">
        <v>2</v>
      </c>
      <c r="K880">
        <v>2</v>
      </c>
      <c r="L880">
        <v>2</v>
      </c>
      <c r="M880">
        <v>2</v>
      </c>
      <c r="N880">
        <v>2</v>
      </c>
      <c r="O880">
        <v>2</v>
      </c>
      <c r="P880">
        <v>2</v>
      </c>
      <c r="Q880">
        <v>2</v>
      </c>
      <c r="R880">
        <v>2</v>
      </c>
      <c r="S880">
        <v>2</v>
      </c>
      <c r="T880">
        <v>2</v>
      </c>
      <c r="U880">
        <v>2</v>
      </c>
      <c r="V880">
        <v>2</v>
      </c>
      <c r="W880">
        <v>2</v>
      </c>
      <c r="X880">
        <v>2</v>
      </c>
      <c r="Y880">
        <v>2</v>
      </c>
      <c r="Z880">
        <v>2</v>
      </c>
    </row>
    <row r="881" spans="1:26" x14ac:dyDescent="0.25">
      <c r="A881" t="s">
        <v>175</v>
      </c>
      <c r="B881" t="s">
        <v>176</v>
      </c>
      <c r="C881" t="s">
        <v>177</v>
      </c>
      <c r="D881">
        <v>2</v>
      </c>
      <c r="E881">
        <v>2</v>
      </c>
      <c r="F881">
        <v>2</v>
      </c>
      <c r="G881">
        <v>2</v>
      </c>
      <c r="H881">
        <v>2</v>
      </c>
      <c r="I881">
        <v>2</v>
      </c>
      <c r="J881">
        <v>2</v>
      </c>
      <c r="K881">
        <v>2</v>
      </c>
      <c r="L881">
        <v>2</v>
      </c>
      <c r="M881">
        <v>2</v>
      </c>
      <c r="N881">
        <v>2</v>
      </c>
      <c r="O881">
        <v>2</v>
      </c>
      <c r="P881">
        <v>2</v>
      </c>
      <c r="Q881">
        <v>2</v>
      </c>
      <c r="R881">
        <v>2</v>
      </c>
      <c r="S881">
        <v>2</v>
      </c>
      <c r="T881">
        <v>2</v>
      </c>
      <c r="U881">
        <v>2</v>
      </c>
      <c r="V881">
        <v>2</v>
      </c>
      <c r="W881">
        <v>2</v>
      </c>
      <c r="X881">
        <v>2</v>
      </c>
      <c r="Y881">
        <v>2</v>
      </c>
      <c r="Z881">
        <v>2</v>
      </c>
    </row>
    <row r="882" spans="1:26" x14ac:dyDescent="0.25">
      <c r="A882" t="s">
        <v>178</v>
      </c>
      <c r="B882" t="s">
        <v>179</v>
      </c>
      <c r="C882" t="s">
        <v>180</v>
      </c>
      <c r="D882">
        <v>2</v>
      </c>
      <c r="E882">
        <v>2</v>
      </c>
      <c r="F882">
        <v>2</v>
      </c>
      <c r="G882">
        <v>2</v>
      </c>
      <c r="H882">
        <v>2</v>
      </c>
      <c r="I882">
        <v>2</v>
      </c>
      <c r="J882">
        <v>2</v>
      </c>
      <c r="K882">
        <v>2</v>
      </c>
      <c r="L882">
        <v>2</v>
      </c>
      <c r="M882">
        <v>2</v>
      </c>
      <c r="N882">
        <v>2</v>
      </c>
      <c r="O882">
        <v>2</v>
      </c>
      <c r="P882">
        <v>2</v>
      </c>
      <c r="Q882">
        <v>2</v>
      </c>
      <c r="R882">
        <v>2</v>
      </c>
      <c r="S882">
        <v>2</v>
      </c>
      <c r="T882">
        <v>2</v>
      </c>
      <c r="U882">
        <v>2</v>
      </c>
      <c r="V882">
        <v>2</v>
      </c>
      <c r="W882">
        <v>2</v>
      </c>
      <c r="X882">
        <v>2</v>
      </c>
      <c r="Y882">
        <v>2</v>
      </c>
      <c r="Z882">
        <v>2</v>
      </c>
    </row>
    <row r="883" spans="1:26" x14ac:dyDescent="0.25">
      <c r="A883" t="s">
        <v>181</v>
      </c>
      <c r="B883" t="s">
        <v>182</v>
      </c>
      <c r="C883" t="s">
        <v>183</v>
      </c>
      <c r="D883">
        <v>2</v>
      </c>
      <c r="E883">
        <v>2</v>
      </c>
      <c r="F883">
        <v>2</v>
      </c>
      <c r="G883">
        <v>2</v>
      </c>
      <c r="H883">
        <v>2</v>
      </c>
      <c r="I883">
        <v>2</v>
      </c>
      <c r="J883">
        <v>2</v>
      </c>
      <c r="K883">
        <v>2</v>
      </c>
      <c r="L883">
        <v>2</v>
      </c>
      <c r="M883">
        <v>2</v>
      </c>
      <c r="N883">
        <v>2</v>
      </c>
      <c r="O883">
        <v>2</v>
      </c>
      <c r="P883">
        <v>2</v>
      </c>
      <c r="Q883">
        <v>2</v>
      </c>
      <c r="R883">
        <v>2</v>
      </c>
      <c r="S883">
        <v>2</v>
      </c>
      <c r="T883">
        <v>2</v>
      </c>
      <c r="U883">
        <v>2</v>
      </c>
      <c r="V883">
        <v>2</v>
      </c>
      <c r="W883">
        <v>2</v>
      </c>
      <c r="X883">
        <v>2</v>
      </c>
      <c r="Y883">
        <v>2</v>
      </c>
      <c r="Z883">
        <v>2</v>
      </c>
    </row>
    <row r="884" spans="1:26" x14ac:dyDescent="0.25">
      <c r="A884" t="s">
        <v>184</v>
      </c>
      <c r="B884" t="s">
        <v>185</v>
      </c>
      <c r="C884" t="s">
        <v>186</v>
      </c>
      <c r="D884">
        <v>2</v>
      </c>
      <c r="E884">
        <v>2</v>
      </c>
      <c r="F884">
        <v>2</v>
      </c>
      <c r="G884">
        <v>2</v>
      </c>
      <c r="H884">
        <v>2</v>
      </c>
      <c r="I884">
        <v>2</v>
      </c>
      <c r="J884">
        <v>2</v>
      </c>
      <c r="K884">
        <v>2</v>
      </c>
      <c r="L884">
        <v>2</v>
      </c>
      <c r="M884">
        <v>2</v>
      </c>
      <c r="N884">
        <v>2</v>
      </c>
      <c r="O884">
        <v>2</v>
      </c>
      <c r="P884">
        <v>2</v>
      </c>
      <c r="Q884">
        <v>2</v>
      </c>
      <c r="R884">
        <v>2</v>
      </c>
      <c r="S884">
        <v>2</v>
      </c>
      <c r="T884">
        <v>2</v>
      </c>
      <c r="U884">
        <v>2</v>
      </c>
      <c r="V884">
        <v>2</v>
      </c>
      <c r="W884">
        <v>2</v>
      </c>
      <c r="X884">
        <v>2</v>
      </c>
      <c r="Y884">
        <v>2</v>
      </c>
      <c r="Z884">
        <v>2</v>
      </c>
    </row>
    <row r="885" spans="1:26" x14ac:dyDescent="0.25">
      <c r="A885" t="s">
        <v>187</v>
      </c>
      <c r="B885" t="s">
        <v>188</v>
      </c>
      <c r="C885" t="s">
        <v>189</v>
      </c>
      <c r="D885">
        <v>2</v>
      </c>
      <c r="E885">
        <v>2</v>
      </c>
      <c r="F885">
        <v>2</v>
      </c>
      <c r="G885">
        <v>2</v>
      </c>
      <c r="H885">
        <v>2</v>
      </c>
      <c r="I885">
        <v>2</v>
      </c>
      <c r="J885">
        <v>2</v>
      </c>
      <c r="K885">
        <v>2</v>
      </c>
      <c r="L885">
        <v>2</v>
      </c>
      <c r="M885">
        <v>2</v>
      </c>
      <c r="N885">
        <v>2</v>
      </c>
      <c r="O885">
        <v>2</v>
      </c>
      <c r="P885">
        <v>2</v>
      </c>
      <c r="Q885">
        <v>2</v>
      </c>
      <c r="R885">
        <v>2</v>
      </c>
      <c r="S885">
        <v>2</v>
      </c>
      <c r="T885">
        <v>2</v>
      </c>
      <c r="U885">
        <v>2</v>
      </c>
      <c r="V885">
        <v>2</v>
      </c>
      <c r="W885">
        <v>2</v>
      </c>
      <c r="X885">
        <v>2</v>
      </c>
      <c r="Y885">
        <v>2</v>
      </c>
      <c r="Z885">
        <v>2</v>
      </c>
    </row>
    <row r="886" spans="1:26" x14ac:dyDescent="0.25">
      <c r="A886" t="s">
        <v>190</v>
      </c>
      <c r="B886" t="s">
        <v>191</v>
      </c>
      <c r="C886" t="s">
        <v>192</v>
      </c>
      <c r="D886">
        <v>2</v>
      </c>
      <c r="E886">
        <v>2</v>
      </c>
      <c r="F886">
        <v>2</v>
      </c>
      <c r="G886">
        <v>2</v>
      </c>
      <c r="H886">
        <v>2</v>
      </c>
      <c r="I886">
        <v>2</v>
      </c>
      <c r="J886">
        <v>2</v>
      </c>
      <c r="K886">
        <v>2</v>
      </c>
      <c r="L886">
        <v>2</v>
      </c>
      <c r="M886">
        <v>2</v>
      </c>
      <c r="N886">
        <v>2</v>
      </c>
      <c r="O886">
        <v>2</v>
      </c>
      <c r="P886">
        <v>2</v>
      </c>
      <c r="Q886">
        <v>2</v>
      </c>
      <c r="R886">
        <v>2</v>
      </c>
      <c r="S886">
        <v>2</v>
      </c>
      <c r="T886">
        <v>2</v>
      </c>
      <c r="U886">
        <v>2</v>
      </c>
      <c r="V886">
        <v>2</v>
      </c>
      <c r="W886">
        <v>2</v>
      </c>
      <c r="X886">
        <v>2</v>
      </c>
      <c r="Y886">
        <v>2</v>
      </c>
      <c r="Z886">
        <v>2</v>
      </c>
    </row>
    <row r="887" spans="1:26" x14ac:dyDescent="0.25">
      <c r="A887" t="s">
        <v>193</v>
      </c>
      <c r="B887" t="s">
        <v>194</v>
      </c>
      <c r="C887" t="s">
        <v>195</v>
      </c>
      <c r="D887">
        <v>2</v>
      </c>
      <c r="E887">
        <v>2</v>
      </c>
      <c r="F887">
        <v>2</v>
      </c>
      <c r="G887">
        <v>2</v>
      </c>
      <c r="H887">
        <v>2</v>
      </c>
      <c r="I887">
        <v>2</v>
      </c>
      <c r="J887">
        <v>2</v>
      </c>
      <c r="K887">
        <v>2</v>
      </c>
      <c r="L887">
        <v>2</v>
      </c>
      <c r="M887">
        <v>2</v>
      </c>
      <c r="N887">
        <v>2</v>
      </c>
      <c r="O887">
        <v>2</v>
      </c>
      <c r="P887">
        <v>2</v>
      </c>
      <c r="Q887">
        <v>2</v>
      </c>
      <c r="R887">
        <v>2</v>
      </c>
      <c r="S887">
        <v>2</v>
      </c>
      <c r="T887">
        <v>2</v>
      </c>
      <c r="U887">
        <v>2</v>
      </c>
      <c r="V887">
        <v>2</v>
      </c>
      <c r="W887">
        <v>2</v>
      </c>
      <c r="X887">
        <v>2</v>
      </c>
      <c r="Y887">
        <v>2</v>
      </c>
      <c r="Z887">
        <v>2</v>
      </c>
    </row>
    <row r="888" spans="1:26" x14ac:dyDescent="0.25">
      <c r="A888" t="s">
        <v>196</v>
      </c>
      <c r="B888" t="s">
        <v>197</v>
      </c>
      <c r="C888" t="s">
        <v>198</v>
      </c>
      <c r="D888">
        <v>2</v>
      </c>
      <c r="E888">
        <v>2</v>
      </c>
      <c r="F888">
        <v>2</v>
      </c>
      <c r="G888">
        <v>2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2</v>
      </c>
      <c r="N888">
        <v>2</v>
      </c>
      <c r="O888">
        <v>2</v>
      </c>
      <c r="P888">
        <v>2</v>
      </c>
      <c r="Q888">
        <v>2</v>
      </c>
      <c r="R888">
        <v>2</v>
      </c>
      <c r="S888">
        <v>2</v>
      </c>
      <c r="T888">
        <v>2</v>
      </c>
      <c r="U888">
        <v>2</v>
      </c>
      <c r="V888">
        <v>2</v>
      </c>
      <c r="W888">
        <v>2</v>
      </c>
      <c r="X888">
        <v>2</v>
      </c>
      <c r="Y888">
        <v>2</v>
      </c>
      <c r="Z888">
        <v>2</v>
      </c>
    </row>
    <row r="889" spans="1:26" x14ac:dyDescent="0.25">
      <c r="A889" t="s">
        <v>199</v>
      </c>
      <c r="B889" t="s">
        <v>200</v>
      </c>
      <c r="C889" t="s">
        <v>201</v>
      </c>
      <c r="D889">
        <v>2</v>
      </c>
      <c r="E889">
        <v>2</v>
      </c>
      <c r="F889">
        <v>2</v>
      </c>
      <c r="G889">
        <v>2</v>
      </c>
      <c r="H889">
        <v>2</v>
      </c>
      <c r="I889">
        <v>2</v>
      </c>
      <c r="J889">
        <v>2</v>
      </c>
      <c r="K889">
        <v>2</v>
      </c>
      <c r="L889">
        <v>2</v>
      </c>
      <c r="M889">
        <v>2</v>
      </c>
      <c r="N889">
        <v>2</v>
      </c>
      <c r="O889">
        <v>2</v>
      </c>
      <c r="P889">
        <v>2</v>
      </c>
      <c r="Q889">
        <v>2</v>
      </c>
      <c r="R889">
        <v>2</v>
      </c>
      <c r="S889">
        <v>2</v>
      </c>
      <c r="T889">
        <v>2</v>
      </c>
      <c r="U889">
        <v>2</v>
      </c>
      <c r="V889">
        <v>2</v>
      </c>
      <c r="W889">
        <v>2</v>
      </c>
      <c r="X889">
        <v>2</v>
      </c>
      <c r="Y889">
        <v>2</v>
      </c>
      <c r="Z889">
        <v>2</v>
      </c>
    </row>
    <row r="890" spans="1:26" x14ac:dyDescent="0.25">
      <c r="A890" t="s">
        <v>202</v>
      </c>
      <c r="B890" t="s">
        <v>203</v>
      </c>
      <c r="C890" t="s">
        <v>204</v>
      </c>
      <c r="D890">
        <v>2</v>
      </c>
      <c r="E890">
        <v>2</v>
      </c>
      <c r="F890">
        <v>2</v>
      </c>
      <c r="G890">
        <v>2</v>
      </c>
      <c r="H890">
        <v>2</v>
      </c>
      <c r="I890">
        <v>2</v>
      </c>
      <c r="J890">
        <v>2</v>
      </c>
      <c r="K890">
        <v>2</v>
      </c>
      <c r="L890">
        <v>2</v>
      </c>
      <c r="M890">
        <v>2</v>
      </c>
      <c r="N890">
        <v>2</v>
      </c>
      <c r="O890">
        <v>2</v>
      </c>
      <c r="P890">
        <v>2</v>
      </c>
      <c r="Q890">
        <v>2</v>
      </c>
      <c r="R890">
        <v>2</v>
      </c>
      <c r="S890">
        <v>2</v>
      </c>
      <c r="T890">
        <v>2</v>
      </c>
      <c r="U890">
        <v>2</v>
      </c>
      <c r="V890">
        <v>2</v>
      </c>
      <c r="W890">
        <v>2</v>
      </c>
      <c r="X890">
        <v>2</v>
      </c>
      <c r="Y890">
        <v>2</v>
      </c>
      <c r="Z890">
        <v>2</v>
      </c>
    </row>
    <row r="891" spans="1:26" x14ac:dyDescent="0.25">
      <c r="A891" t="s">
        <v>205</v>
      </c>
      <c r="B891" t="s">
        <v>206</v>
      </c>
      <c r="C891" t="s">
        <v>207</v>
      </c>
      <c r="D891">
        <v>2</v>
      </c>
      <c r="E891">
        <v>2</v>
      </c>
      <c r="F891">
        <v>2</v>
      </c>
      <c r="G891">
        <v>2</v>
      </c>
      <c r="H891">
        <v>2</v>
      </c>
      <c r="I891">
        <v>2</v>
      </c>
      <c r="J891">
        <v>2</v>
      </c>
      <c r="K891">
        <v>2</v>
      </c>
      <c r="L891">
        <v>2</v>
      </c>
      <c r="M891">
        <v>2</v>
      </c>
      <c r="N891">
        <v>2</v>
      </c>
      <c r="O891">
        <v>2</v>
      </c>
      <c r="P891">
        <v>2</v>
      </c>
      <c r="Q891">
        <v>2</v>
      </c>
      <c r="R891">
        <v>2</v>
      </c>
      <c r="S891">
        <v>2</v>
      </c>
      <c r="T891">
        <v>2</v>
      </c>
      <c r="U891">
        <v>2</v>
      </c>
      <c r="V891">
        <v>2</v>
      </c>
      <c r="W891">
        <v>2</v>
      </c>
      <c r="X891">
        <v>2</v>
      </c>
      <c r="Y891">
        <v>2</v>
      </c>
      <c r="Z891">
        <v>2</v>
      </c>
    </row>
    <row r="892" spans="1:26" x14ac:dyDescent="0.25">
      <c r="A892" t="s">
        <v>208</v>
      </c>
      <c r="B892" t="s">
        <v>209</v>
      </c>
      <c r="C892" t="s">
        <v>210</v>
      </c>
      <c r="D892">
        <v>2</v>
      </c>
      <c r="E892">
        <v>2</v>
      </c>
      <c r="F892">
        <v>2</v>
      </c>
      <c r="G892">
        <v>2</v>
      </c>
      <c r="H892">
        <v>2</v>
      </c>
      <c r="I892">
        <v>2</v>
      </c>
      <c r="J892">
        <v>2</v>
      </c>
      <c r="K892">
        <v>2</v>
      </c>
      <c r="L892">
        <v>2</v>
      </c>
      <c r="M892">
        <v>2</v>
      </c>
      <c r="N892">
        <v>2</v>
      </c>
      <c r="O892">
        <v>2</v>
      </c>
      <c r="P892">
        <v>2</v>
      </c>
      <c r="Q892">
        <v>2</v>
      </c>
      <c r="R892">
        <v>2</v>
      </c>
      <c r="S892">
        <v>2</v>
      </c>
      <c r="T892">
        <v>2</v>
      </c>
      <c r="U892">
        <v>2</v>
      </c>
      <c r="V892">
        <v>2</v>
      </c>
      <c r="W892">
        <v>2</v>
      </c>
      <c r="X892">
        <v>2</v>
      </c>
      <c r="Y892">
        <v>2</v>
      </c>
      <c r="Z892">
        <v>2</v>
      </c>
    </row>
    <row r="893" spans="1:26" x14ac:dyDescent="0.25">
      <c r="A893" t="s">
        <v>211</v>
      </c>
      <c r="B893" t="s">
        <v>212</v>
      </c>
      <c r="C893" t="s">
        <v>213</v>
      </c>
      <c r="D893">
        <v>2</v>
      </c>
      <c r="E893">
        <v>2</v>
      </c>
      <c r="F893">
        <v>2</v>
      </c>
      <c r="G893">
        <v>2</v>
      </c>
      <c r="H893">
        <v>2</v>
      </c>
      <c r="I893">
        <v>2</v>
      </c>
      <c r="J893">
        <v>2</v>
      </c>
      <c r="K893">
        <v>2</v>
      </c>
      <c r="L893">
        <v>2</v>
      </c>
      <c r="M893">
        <v>2</v>
      </c>
      <c r="N893">
        <v>2</v>
      </c>
      <c r="O893">
        <v>2</v>
      </c>
      <c r="P893">
        <v>2</v>
      </c>
      <c r="Q893">
        <v>2</v>
      </c>
      <c r="R893">
        <v>2</v>
      </c>
      <c r="S893">
        <v>2</v>
      </c>
      <c r="T893">
        <v>2</v>
      </c>
      <c r="U893">
        <v>2</v>
      </c>
      <c r="V893">
        <v>2</v>
      </c>
      <c r="W893">
        <v>2</v>
      </c>
      <c r="X893">
        <v>2</v>
      </c>
      <c r="Y893">
        <v>2</v>
      </c>
      <c r="Z893">
        <v>2</v>
      </c>
    </row>
    <row r="894" spans="1:26" x14ac:dyDescent="0.25">
      <c r="A894" t="s">
        <v>214</v>
      </c>
      <c r="B894" t="s">
        <v>215</v>
      </c>
      <c r="C894" t="s">
        <v>216</v>
      </c>
      <c r="D894">
        <v>2</v>
      </c>
      <c r="E894">
        <v>2</v>
      </c>
      <c r="F894">
        <v>2</v>
      </c>
      <c r="G894">
        <v>2</v>
      </c>
      <c r="H894">
        <v>2</v>
      </c>
      <c r="I894">
        <v>2</v>
      </c>
      <c r="J894">
        <v>2</v>
      </c>
      <c r="K894">
        <v>2</v>
      </c>
      <c r="L894">
        <v>2</v>
      </c>
      <c r="M894">
        <v>2</v>
      </c>
      <c r="N894">
        <v>2</v>
      </c>
      <c r="O894">
        <v>2</v>
      </c>
      <c r="P894">
        <v>2</v>
      </c>
      <c r="Q894">
        <v>2</v>
      </c>
      <c r="R894">
        <v>2</v>
      </c>
      <c r="S894">
        <v>2</v>
      </c>
      <c r="T894">
        <v>2</v>
      </c>
      <c r="U894">
        <v>2</v>
      </c>
      <c r="V894">
        <v>2</v>
      </c>
      <c r="W894">
        <v>2</v>
      </c>
      <c r="X894">
        <v>2</v>
      </c>
      <c r="Y894">
        <v>2</v>
      </c>
      <c r="Z894">
        <v>2</v>
      </c>
    </row>
    <row r="895" spans="1:26" x14ac:dyDescent="0.25">
      <c r="A895" t="s">
        <v>217</v>
      </c>
      <c r="B895" t="s">
        <v>218</v>
      </c>
      <c r="C895" t="s">
        <v>219</v>
      </c>
      <c r="D895">
        <v>2</v>
      </c>
      <c r="E895">
        <v>2</v>
      </c>
      <c r="F895">
        <v>2</v>
      </c>
      <c r="G895">
        <v>2</v>
      </c>
      <c r="H895">
        <v>2</v>
      </c>
      <c r="I895">
        <v>2</v>
      </c>
      <c r="J895">
        <v>2</v>
      </c>
      <c r="K895">
        <v>2</v>
      </c>
      <c r="L895">
        <v>2</v>
      </c>
      <c r="M895">
        <v>2</v>
      </c>
      <c r="N895">
        <v>2</v>
      </c>
      <c r="O895">
        <v>2</v>
      </c>
      <c r="P895">
        <v>2</v>
      </c>
      <c r="Q895">
        <v>2</v>
      </c>
      <c r="R895">
        <v>2</v>
      </c>
      <c r="S895">
        <v>2</v>
      </c>
      <c r="T895">
        <v>2</v>
      </c>
      <c r="U895">
        <v>2</v>
      </c>
      <c r="V895">
        <v>2</v>
      </c>
      <c r="W895">
        <v>2</v>
      </c>
      <c r="X895">
        <v>2</v>
      </c>
      <c r="Y895">
        <v>2</v>
      </c>
      <c r="Z895">
        <v>2</v>
      </c>
    </row>
    <row r="896" spans="1:26" x14ac:dyDescent="0.25">
      <c r="A896" t="s">
        <v>220</v>
      </c>
      <c r="B896" t="s">
        <v>221</v>
      </c>
      <c r="C896" t="s">
        <v>222</v>
      </c>
      <c r="D896">
        <v>2</v>
      </c>
      <c r="E896">
        <v>2</v>
      </c>
      <c r="F896">
        <v>2</v>
      </c>
      <c r="G896">
        <v>2</v>
      </c>
      <c r="H896">
        <v>2</v>
      </c>
      <c r="I896">
        <v>2</v>
      </c>
      <c r="J896">
        <v>2</v>
      </c>
      <c r="K896">
        <v>2</v>
      </c>
      <c r="L896">
        <v>2</v>
      </c>
      <c r="M896">
        <v>2</v>
      </c>
      <c r="N896">
        <v>2</v>
      </c>
      <c r="O896">
        <v>2</v>
      </c>
      <c r="P896">
        <v>2</v>
      </c>
      <c r="Q896">
        <v>2</v>
      </c>
      <c r="R896">
        <v>2</v>
      </c>
      <c r="S896">
        <v>2</v>
      </c>
      <c r="T896">
        <v>2</v>
      </c>
      <c r="U896">
        <v>2</v>
      </c>
      <c r="V896">
        <v>2</v>
      </c>
      <c r="W896">
        <v>2</v>
      </c>
      <c r="X896">
        <v>2</v>
      </c>
      <c r="Y896">
        <v>2</v>
      </c>
      <c r="Z896">
        <v>2</v>
      </c>
    </row>
    <row r="897" spans="1:26" x14ac:dyDescent="0.25">
      <c r="A897" t="s">
        <v>223</v>
      </c>
      <c r="B897" t="s">
        <v>224</v>
      </c>
      <c r="C897" t="s">
        <v>225</v>
      </c>
      <c r="D897">
        <v>2</v>
      </c>
      <c r="E897">
        <v>2</v>
      </c>
      <c r="F897">
        <v>2</v>
      </c>
      <c r="G897">
        <v>2</v>
      </c>
      <c r="H897">
        <v>2</v>
      </c>
      <c r="I897">
        <v>2</v>
      </c>
      <c r="J897">
        <v>2</v>
      </c>
      <c r="K897">
        <v>2</v>
      </c>
      <c r="L897">
        <v>2</v>
      </c>
      <c r="M897">
        <v>2</v>
      </c>
      <c r="N897">
        <v>2</v>
      </c>
      <c r="O897">
        <v>2</v>
      </c>
      <c r="P897">
        <v>2</v>
      </c>
      <c r="Q897">
        <v>2</v>
      </c>
      <c r="R897">
        <v>2</v>
      </c>
      <c r="S897">
        <v>2</v>
      </c>
      <c r="T897">
        <v>2</v>
      </c>
      <c r="U897">
        <v>2</v>
      </c>
      <c r="V897">
        <v>2</v>
      </c>
      <c r="W897">
        <v>2</v>
      </c>
      <c r="X897">
        <v>2</v>
      </c>
      <c r="Y897">
        <v>2</v>
      </c>
      <c r="Z897">
        <v>2</v>
      </c>
    </row>
    <row r="898" spans="1:26" x14ac:dyDescent="0.25">
      <c r="A898" t="s">
        <v>226</v>
      </c>
      <c r="B898" t="s">
        <v>227</v>
      </c>
      <c r="C898" t="s">
        <v>228</v>
      </c>
      <c r="D898">
        <v>2</v>
      </c>
      <c r="E898">
        <v>2</v>
      </c>
      <c r="F898">
        <v>2</v>
      </c>
      <c r="G898">
        <v>2</v>
      </c>
      <c r="H898">
        <v>2</v>
      </c>
      <c r="I898">
        <v>2</v>
      </c>
      <c r="J898">
        <v>2</v>
      </c>
      <c r="K898">
        <v>2</v>
      </c>
      <c r="L898">
        <v>2</v>
      </c>
      <c r="M898">
        <v>2</v>
      </c>
      <c r="N898">
        <v>2</v>
      </c>
      <c r="O898">
        <v>2</v>
      </c>
      <c r="P898">
        <v>2</v>
      </c>
      <c r="Q898">
        <v>2</v>
      </c>
      <c r="R898">
        <v>2</v>
      </c>
      <c r="S898">
        <v>2</v>
      </c>
      <c r="T898">
        <v>2</v>
      </c>
      <c r="U898">
        <v>2</v>
      </c>
      <c r="V898">
        <v>2</v>
      </c>
      <c r="W898">
        <v>2</v>
      </c>
      <c r="X898">
        <v>2</v>
      </c>
      <c r="Y898">
        <v>2</v>
      </c>
      <c r="Z898">
        <v>2</v>
      </c>
    </row>
    <row r="899" spans="1:26" x14ac:dyDescent="0.25">
      <c r="A899" t="s">
        <v>229</v>
      </c>
      <c r="B899" t="s">
        <v>230</v>
      </c>
      <c r="C899" t="s">
        <v>231</v>
      </c>
      <c r="D899">
        <v>2</v>
      </c>
      <c r="E899">
        <v>2</v>
      </c>
      <c r="F899">
        <v>2</v>
      </c>
      <c r="G899">
        <v>2</v>
      </c>
      <c r="H899">
        <v>2</v>
      </c>
      <c r="I899">
        <v>2</v>
      </c>
      <c r="J899">
        <v>2</v>
      </c>
      <c r="K899">
        <v>2</v>
      </c>
      <c r="L899">
        <v>2</v>
      </c>
      <c r="M899">
        <v>2</v>
      </c>
      <c r="N899">
        <v>2</v>
      </c>
      <c r="O899">
        <v>2</v>
      </c>
      <c r="P899">
        <v>2</v>
      </c>
      <c r="Q899">
        <v>2</v>
      </c>
      <c r="R899">
        <v>2</v>
      </c>
      <c r="S899">
        <v>2</v>
      </c>
      <c r="T899">
        <v>2</v>
      </c>
      <c r="U899">
        <v>2</v>
      </c>
      <c r="V899">
        <v>2</v>
      </c>
      <c r="W899">
        <v>2</v>
      </c>
      <c r="X899">
        <v>2</v>
      </c>
      <c r="Y899">
        <v>2</v>
      </c>
      <c r="Z899">
        <v>2</v>
      </c>
    </row>
    <row r="900" spans="1:26" x14ac:dyDescent="0.25">
      <c r="A900" t="s">
        <v>232</v>
      </c>
      <c r="B900" t="s">
        <v>233</v>
      </c>
      <c r="C900" t="s">
        <v>234</v>
      </c>
      <c r="D900">
        <v>2</v>
      </c>
      <c r="E900">
        <v>2</v>
      </c>
      <c r="F900">
        <v>2</v>
      </c>
      <c r="G900">
        <v>2</v>
      </c>
      <c r="H900">
        <v>2</v>
      </c>
      <c r="I900">
        <v>2</v>
      </c>
      <c r="J900">
        <v>2</v>
      </c>
      <c r="K900">
        <v>2</v>
      </c>
      <c r="L900">
        <v>2</v>
      </c>
      <c r="M900">
        <v>2</v>
      </c>
      <c r="N900">
        <v>2</v>
      </c>
      <c r="O900">
        <v>2</v>
      </c>
      <c r="P900">
        <v>2</v>
      </c>
      <c r="Q900">
        <v>2</v>
      </c>
      <c r="R900">
        <v>2</v>
      </c>
      <c r="S900">
        <v>2</v>
      </c>
      <c r="T900">
        <v>2</v>
      </c>
      <c r="U900">
        <v>2</v>
      </c>
      <c r="V900">
        <v>2</v>
      </c>
      <c r="W900">
        <v>2</v>
      </c>
      <c r="X900">
        <v>2</v>
      </c>
      <c r="Y900">
        <v>2</v>
      </c>
      <c r="Z900">
        <v>2</v>
      </c>
    </row>
    <row r="901" spans="1:26" x14ac:dyDescent="0.25">
      <c r="A901" t="s">
        <v>235</v>
      </c>
      <c r="B901" t="s">
        <v>236</v>
      </c>
      <c r="C901" t="s">
        <v>237</v>
      </c>
      <c r="D901">
        <v>2</v>
      </c>
      <c r="E901">
        <v>2</v>
      </c>
      <c r="F901">
        <v>2</v>
      </c>
      <c r="G901">
        <v>2</v>
      </c>
      <c r="H901">
        <v>2</v>
      </c>
      <c r="I901">
        <v>2</v>
      </c>
      <c r="J901">
        <v>2</v>
      </c>
      <c r="K901">
        <v>2</v>
      </c>
      <c r="L901">
        <v>2</v>
      </c>
      <c r="M901">
        <v>2</v>
      </c>
      <c r="N901">
        <v>2</v>
      </c>
      <c r="O901">
        <v>2</v>
      </c>
      <c r="P901">
        <v>2</v>
      </c>
      <c r="Q901">
        <v>2</v>
      </c>
      <c r="R901">
        <v>2</v>
      </c>
      <c r="S901">
        <v>2</v>
      </c>
      <c r="T901">
        <v>2</v>
      </c>
      <c r="U901">
        <v>2</v>
      </c>
      <c r="V901">
        <v>2</v>
      </c>
      <c r="W901">
        <v>2</v>
      </c>
      <c r="X901">
        <v>2</v>
      </c>
      <c r="Y901">
        <v>2</v>
      </c>
      <c r="Z901">
        <v>2</v>
      </c>
    </row>
    <row r="902" spans="1:26" x14ac:dyDescent="0.25">
      <c r="A902" t="s">
        <v>238</v>
      </c>
      <c r="B902" t="s">
        <v>239</v>
      </c>
      <c r="C902" t="s">
        <v>240</v>
      </c>
      <c r="D902">
        <v>2</v>
      </c>
      <c r="E902">
        <v>2</v>
      </c>
      <c r="F902">
        <v>2</v>
      </c>
      <c r="G902">
        <v>2</v>
      </c>
      <c r="H902">
        <v>2</v>
      </c>
      <c r="I902">
        <v>2</v>
      </c>
      <c r="J902">
        <v>2</v>
      </c>
      <c r="K902">
        <v>2</v>
      </c>
      <c r="L902">
        <v>2</v>
      </c>
      <c r="M902">
        <v>2</v>
      </c>
      <c r="N902">
        <v>2</v>
      </c>
      <c r="O902">
        <v>2</v>
      </c>
      <c r="P902">
        <v>2</v>
      </c>
      <c r="Q902">
        <v>2</v>
      </c>
      <c r="R902">
        <v>2</v>
      </c>
      <c r="S902">
        <v>2</v>
      </c>
      <c r="T902">
        <v>2</v>
      </c>
      <c r="U902">
        <v>2</v>
      </c>
      <c r="V902">
        <v>2</v>
      </c>
      <c r="W902">
        <v>2</v>
      </c>
      <c r="X902">
        <v>2</v>
      </c>
      <c r="Y902">
        <v>2</v>
      </c>
      <c r="Z902">
        <v>2</v>
      </c>
    </row>
    <row r="903" spans="1:26" x14ac:dyDescent="0.25">
      <c r="A903" t="s">
        <v>241</v>
      </c>
      <c r="B903" t="s">
        <v>242</v>
      </c>
      <c r="C903" t="s">
        <v>243</v>
      </c>
      <c r="D903">
        <v>2</v>
      </c>
      <c r="E903">
        <v>2</v>
      </c>
      <c r="F903">
        <v>2</v>
      </c>
      <c r="G903">
        <v>2</v>
      </c>
      <c r="H903">
        <v>2</v>
      </c>
      <c r="I903">
        <v>2</v>
      </c>
      <c r="J903">
        <v>2</v>
      </c>
      <c r="K903">
        <v>2</v>
      </c>
      <c r="L903">
        <v>2</v>
      </c>
      <c r="M903">
        <v>2</v>
      </c>
      <c r="N903">
        <v>2</v>
      </c>
      <c r="O903">
        <v>2</v>
      </c>
      <c r="P903">
        <v>2</v>
      </c>
      <c r="Q903">
        <v>2</v>
      </c>
      <c r="R903">
        <v>2</v>
      </c>
      <c r="S903">
        <v>2</v>
      </c>
      <c r="T903">
        <v>2</v>
      </c>
      <c r="U903">
        <v>2</v>
      </c>
      <c r="V903">
        <v>2</v>
      </c>
      <c r="W903">
        <v>2</v>
      </c>
      <c r="X903">
        <v>2</v>
      </c>
      <c r="Y903">
        <v>2</v>
      </c>
      <c r="Z903">
        <v>2</v>
      </c>
    </row>
    <row r="904" spans="1:26" x14ac:dyDescent="0.25">
      <c r="A904" t="s">
        <v>244</v>
      </c>
      <c r="B904" t="s">
        <v>245</v>
      </c>
      <c r="C904" t="s">
        <v>246</v>
      </c>
      <c r="D904">
        <v>2</v>
      </c>
      <c r="E904">
        <v>2</v>
      </c>
      <c r="F904">
        <v>2</v>
      </c>
      <c r="G904">
        <v>2</v>
      </c>
      <c r="H904">
        <v>2</v>
      </c>
      <c r="I904">
        <v>2</v>
      </c>
      <c r="J904">
        <v>2</v>
      </c>
      <c r="K904">
        <v>2</v>
      </c>
      <c r="L904">
        <v>2</v>
      </c>
      <c r="M904">
        <v>2</v>
      </c>
      <c r="N904">
        <v>2</v>
      </c>
      <c r="O904">
        <v>2</v>
      </c>
      <c r="P904">
        <v>2</v>
      </c>
      <c r="Q904">
        <v>2</v>
      </c>
      <c r="R904">
        <v>2</v>
      </c>
      <c r="S904">
        <v>2</v>
      </c>
      <c r="T904">
        <v>2</v>
      </c>
      <c r="U904">
        <v>2</v>
      </c>
      <c r="V904">
        <v>2</v>
      </c>
      <c r="W904">
        <v>2</v>
      </c>
      <c r="X904">
        <v>2</v>
      </c>
      <c r="Y904">
        <v>2</v>
      </c>
      <c r="Z904">
        <v>2</v>
      </c>
    </row>
    <row r="905" spans="1:26" x14ac:dyDescent="0.25">
      <c r="A905" t="s">
        <v>247</v>
      </c>
      <c r="B905" t="s">
        <v>248</v>
      </c>
      <c r="C905" t="s">
        <v>249</v>
      </c>
      <c r="D905">
        <v>2</v>
      </c>
      <c r="E905">
        <v>2</v>
      </c>
      <c r="F905">
        <v>2</v>
      </c>
      <c r="G905">
        <v>2</v>
      </c>
      <c r="H905">
        <v>2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2</v>
      </c>
      <c r="O905">
        <v>2</v>
      </c>
      <c r="P905">
        <v>2</v>
      </c>
      <c r="Q905">
        <v>2</v>
      </c>
      <c r="R905">
        <v>2</v>
      </c>
      <c r="S905">
        <v>2</v>
      </c>
      <c r="T905">
        <v>2</v>
      </c>
      <c r="U905">
        <v>2</v>
      </c>
      <c r="V905">
        <v>2</v>
      </c>
      <c r="W905">
        <v>2</v>
      </c>
      <c r="X905">
        <v>2</v>
      </c>
      <c r="Y905">
        <v>2</v>
      </c>
      <c r="Z905">
        <v>2</v>
      </c>
    </row>
    <row r="906" spans="1:26" x14ac:dyDescent="0.25">
      <c r="A906" t="s">
        <v>250</v>
      </c>
      <c r="B906" t="s">
        <v>251</v>
      </c>
      <c r="C906" t="s">
        <v>252</v>
      </c>
      <c r="D906">
        <v>2</v>
      </c>
      <c r="E906">
        <v>2</v>
      </c>
      <c r="F906">
        <v>2</v>
      </c>
      <c r="G906">
        <v>2</v>
      </c>
      <c r="H906">
        <v>2</v>
      </c>
      <c r="I906">
        <v>2</v>
      </c>
      <c r="J906">
        <v>2</v>
      </c>
      <c r="K906">
        <v>2</v>
      </c>
      <c r="L906">
        <v>2</v>
      </c>
      <c r="M906">
        <v>2</v>
      </c>
      <c r="N906">
        <v>2</v>
      </c>
      <c r="O906">
        <v>2</v>
      </c>
      <c r="P906">
        <v>2</v>
      </c>
      <c r="Q906">
        <v>2</v>
      </c>
      <c r="R906">
        <v>2</v>
      </c>
      <c r="S906">
        <v>2</v>
      </c>
      <c r="T906">
        <v>2</v>
      </c>
      <c r="U906">
        <v>2</v>
      </c>
      <c r="V906">
        <v>2</v>
      </c>
      <c r="W906">
        <v>2</v>
      </c>
      <c r="X906">
        <v>2</v>
      </c>
      <c r="Y906">
        <v>2</v>
      </c>
      <c r="Z906">
        <v>2</v>
      </c>
    </row>
    <row r="907" spans="1:26" x14ac:dyDescent="0.25">
      <c r="A907" t="s">
        <v>253</v>
      </c>
      <c r="B907" t="s">
        <v>254</v>
      </c>
      <c r="C907" t="s">
        <v>255</v>
      </c>
      <c r="D907">
        <v>2</v>
      </c>
      <c r="E907">
        <v>2</v>
      </c>
      <c r="F907">
        <v>2</v>
      </c>
      <c r="G907">
        <v>2</v>
      </c>
      <c r="H907">
        <v>2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2</v>
      </c>
      <c r="O907">
        <v>2</v>
      </c>
      <c r="P907">
        <v>2</v>
      </c>
      <c r="Q907">
        <v>2</v>
      </c>
      <c r="R907">
        <v>2</v>
      </c>
      <c r="S907">
        <v>2</v>
      </c>
      <c r="T907">
        <v>2</v>
      </c>
      <c r="U907">
        <v>2</v>
      </c>
      <c r="V907">
        <v>2</v>
      </c>
      <c r="W907">
        <v>2</v>
      </c>
      <c r="X907">
        <v>2</v>
      </c>
      <c r="Y907">
        <v>2</v>
      </c>
      <c r="Z907">
        <v>2</v>
      </c>
    </row>
    <row r="908" spans="1:26" x14ac:dyDescent="0.25">
      <c r="A908" t="s">
        <v>256</v>
      </c>
      <c r="B908" t="s">
        <v>257</v>
      </c>
      <c r="C908" t="s">
        <v>258</v>
      </c>
      <c r="D908">
        <v>2</v>
      </c>
      <c r="E908">
        <v>2</v>
      </c>
      <c r="F908">
        <v>2</v>
      </c>
      <c r="G908">
        <v>2</v>
      </c>
      <c r="H908">
        <v>2</v>
      </c>
      <c r="I908">
        <v>2</v>
      </c>
      <c r="J908">
        <v>2</v>
      </c>
      <c r="K908">
        <v>2</v>
      </c>
      <c r="L908">
        <v>2</v>
      </c>
      <c r="M908">
        <v>2</v>
      </c>
      <c r="N908">
        <v>2</v>
      </c>
      <c r="O908">
        <v>2</v>
      </c>
      <c r="P908">
        <v>2</v>
      </c>
      <c r="Q908">
        <v>2</v>
      </c>
      <c r="R908">
        <v>2</v>
      </c>
      <c r="S908">
        <v>2</v>
      </c>
      <c r="T908">
        <v>2</v>
      </c>
      <c r="U908">
        <v>2</v>
      </c>
      <c r="V908">
        <v>2</v>
      </c>
      <c r="W908">
        <v>2</v>
      </c>
      <c r="X908">
        <v>2</v>
      </c>
      <c r="Y908">
        <v>2</v>
      </c>
      <c r="Z908">
        <v>2</v>
      </c>
    </row>
    <row r="909" spans="1:26" x14ac:dyDescent="0.25">
      <c r="A909" t="s">
        <v>259</v>
      </c>
      <c r="B909" t="s">
        <v>260</v>
      </c>
      <c r="C909" t="s">
        <v>261</v>
      </c>
      <c r="D909">
        <v>2</v>
      </c>
      <c r="E909">
        <v>2</v>
      </c>
      <c r="F909">
        <v>2</v>
      </c>
      <c r="G909">
        <v>2</v>
      </c>
      <c r="H909">
        <v>2</v>
      </c>
      <c r="I909">
        <v>2</v>
      </c>
      <c r="J909">
        <v>2</v>
      </c>
      <c r="K909">
        <v>2</v>
      </c>
      <c r="L909">
        <v>2</v>
      </c>
      <c r="M909">
        <v>2</v>
      </c>
      <c r="N909">
        <v>2</v>
      </c>
      <c r="O909">
        <v>2</v>
      </c>
      <c r="P909">
        <v>2</v>
      </c>
      <c r="Q909">
        <v>2</v>
      </c>
      <c r="R909">
        <v>2</v>
      </c>
      <c r="S909">
        <v>2</v>
      </c>
      <c r="T909">
        <v>2</v>
      </c>
      <c r="U909">
        <v>2</v>
      </c>
      <c r="V909">
        <v>2</v>
      </c>
      <c r="W909">
        <v>2</v>
      </c>
      <c r="X909">
        <v>2</v>
      </c>
      <c r="Y909">
        <v>2</v>
      </c>
      <c r="Z909">
        <v>2</v>
      </c>
    </row>
    <row r="910" spans="1:26" x14ac:dyDescent="0.25">
      <c r="A910" t="s">
        <v>262</v>
      </c>
      <c r="B910" t="s">
        <v>263</v>
      </c>
      <c r="C910" t="s">
        <v>264</v>
      </c>
      <c r="D910">
        <v>2</v>
      </c>
      <c r="E910">
        <v>2</v>
      </c>
      <c r="F910">
        <v>2</v>
      </c>
      <c r="G910">
        <v>2</v>
      </c>
      <c r="H910">
        <v>2</v>
      </c>
      <c r="I910">
        <v>2</v>
      </c>
      <c r="J910">
        <v>2</v>
      </c>
      <c r="K910">
        <v>2</v>
      </c>
      <c r="L910">
        <v>2</v>
      </c>
      <c r="M910">
        <v>2</v>
      </c>
      <c r="N910">
        <v>2</v>
      </c>
      <c r="O910">
        <v>2</v>
      </c>
      <c r="P910">
        <v>2</v>
      </c>
      <c r="Q910">
        <v>2</v>
      </c>
      <c r="R910">
        <v>2</v>
      </c>
      <c r="S910">
        <v>2</v>
      </c>
      <c r="T910">
        <v>2</v>
      </c>
      <c r="U910">
        <v>2</v>
      </c>
      <c r="V910">
        <v>2</v>
      </c>
      <c r="W910">
        <v>2</v>
      </c>
      <c r="X910">
        <v>2</v>
      </c>
      <c r="Y910">
        <v>2</v>
      </c>
      <c r="Z910">
        <v>2</v>
      </c>
    </row>
    <row r="911" spans="1:26" x14ac:dyDescent="0.25">
      <c r="A911" t="s">
        <v>265</v>
      </c>
      <c r="B911" t="s">
        <v>266</v>
      </c>
      <c r="C911" t="s">
        <v>267</v>
      </c>
      <c r="D911">
        <v>2</v>
      </c>
      <c r="E911">
        <v>2</v>
      </c>
      <c r="F911">
        <v>2</v>
      </c>
      <c r="G911">
        <v>2</v>
      </c>
      <c r="H911">
        <v>2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2</v>
      </c>
      <c r="O911">
        <v>2</v>
      </c>
      <c r="P911">
        <v>2</v>
      </c>
      <c r="Q911">
        <v>2</v>
      </c>
      <c r="R911">
        <v>2</v>
      </c>
      <c r="S911">
        <v>2</v>
      </c>
      <c r="T911">
        <v>2</v>
      </c>
      <c r="U911">
        <v>2</v>
      </c>
      <c r="V911">
        <v>2</v>
      </c>
      <c r="W911">
        <v>2</v>
      </c>
      <c r="X911">
        <v>2</v>
      </c>
      <c r="Y911">
        <v>2</v>
      </c>
      <c r="Z911">
        <v>2</v>
      </c>
    </row>
    <row r="912" spans="1:26" x14ac:dyDescent="0.25">
      <c r="A912" t="s">
        <v>268</v>
      </c>
      <c r="B912" t="s">
        <v>269</v>
      </c>
      <c r="C912" t="s">
        <v>270</v>
      </c>
      <c r="D912">
        <v>2</v>
      </c>
      <c r="E912">
        <v>2</v>
      </c>
      <c r="F912">
        <v>2</v>
      </c>
      <c r="G912">
        <v>2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2</v>
      </c>
      <c r="N912">
        <v>2</v>
      </c>
      <c r="O912">
        <v>2</v>
      </c>
      <c r="P912">
        <v>2</v>
      </c>
      <c r="Q912">
        <v>2</v>
      </c>
      <c r="R912">
        <v>2</v>
      </c>
      <c r="S912">
        <v>2</v>
      </c>
      <c r="T912">
        <v>2</v>
      </c>
      <c r="U912">
        <v>2</v>
      </c>
      <c r="V912">
        <v>2</v>
      </c>
      <c r="W912">
        <v>2</v>
      </c>
      <c r="X912">
        <v>2</v>
      </c>
      <c r="Y912">
        <v>2</v>
      </c>
      <c r="Z912">
        <v>2</v>
      </c>
    </row>
    <row r="913" spans="1:26" x14ac:dyDescent="0.25">
      <c r="A913" t="s">
        <v>271</v>
      </c>
      <c r="B913" t="s">
        <v>272</v>
      </c>
      <c r="C913" t="s">
        <v>273</v>
      </c>
      <c r="D913">
        <v>2</v>
      </c>
      <c r="E913">
        <v>2</v>
      </c>
      <c r="F913">
        <v>2</v>
      </c>
      <c r="G913">
        <v>2</v>
      </c>
      <c r="H913">
        <v>2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2</v>
      </c>
      <c r="O913">
        <v>2</v>
      </c>
      <c r="P913">
        <v>2</v>
      </c>
      <c r="Q913">
        <v>2</v>
      </c>
      <c r="R913">
        <v>2</v>
      </c>
      <c r="S913">
        <v>2</v>
      </c>
      <c r="T913">
        <v>2</v>
      </c>
      <c r="U913">
        <v>2</v>
      </c>
      <c r="V913">
        <v>2</v>
      </c>
      <c r="W913">
        <v>2</v>
      </c>
      <c r="X913">
        <v>2</v>
      </c>
      <c r="Y913">
        <v>2</v>
      </c>
      <c r="Z913">
        <v>2</v>
      </c>
    </row>
    <row r="914" spans="1:26" x14ac:dyDescent="0.25">
      <c r="A914" t="s">
        <v>274</v>
      </c>
      <c r="B914" t="s">
        <v>275</v>
      </c>
      <c r="C914" t="s">
        <v>276</v>
      </c>
      <c r="D914">
        <v>2</v>
      </c>
      <c r="E914">
        <v>2</v>
      </c>
      <c r="F914">
        <v>2</v>
      </c>
      <c r="G914">
        <v>2</v>
      </c>
      <c r="H914">
        <v>2</v>
      </c>
      <c r="I914">
        <v>2</v>
      </c>
      <c r="J914">
        <v>2</v>
      </c>
      <c r="K914">
        <v>2</v>
      </c>
      <c r="L914">
        <v>2</v>
      </c>
      <c r="M914">
        <v>2</v>
      </c>
      <c r="N914">
        <v>2</v>
      </c>
      <c r="O914">
        <v>2</v>
      </c>
      <c r="P914">
        <v>2</v>
      </c>
      <c r="Q914">
        <v>2</v>
      </c>
      <c r="R914">
        <v>2</v>
      </c>
      <c r="S914">
        <v>2</v>
      </c>
      <c r="T914">
        <v>2</v>
      </c>
      <c r="U914">
        <v>2</v>
      </c>
      <c r="V914">
        <v>2</v>
      </c>
      <c r="W914">
        <v>2</v>
      </c>
      <c r="X914">
        <v>2</v>
      </c>
      <c r="Y914">
        <v>2</v>
      </c>
      <c r="Z914">
        <v>2</v>
      </c>
    </row>
    <row r="915" spans="1:26" x14ac:dyDescent="0.25">
      <c r="A915" t="s">
        <v>277</v>
      </c>
      <c r="B915" t="s">
        <v>278</v>
      </c>
      <c r="C915" t="s">
        <v>279</v>
      </c>
      <c r="D915">
        <v>2</v>
      </c>
      <c r="E915">
        <v>2</v>
      </c>
      <c r="F915">
        <v>2</v>
      </c>
      <c r="G915">
        <v>2</v>
      </c>
      <c r="H915">
        <v>2</v>
      </c>
      <c r="I915">
        <v>2</v>
      </c>
      <c r="J915">
        <v>2</v>
      </c>
      <c r="K915">
        <v>2</v>
      </c>
      <c r="L915">
        <v>2</v>
      </c>
      <c r="M915">
        <v>2</v>
      </c>
      <c r="N915">
        <v>2</v>
      </c>
      <c r="O915">
        <v>2</v>
      </c>
      <c r="P915">
        <v>2</v>
      </c>
      <c r="Q915">
        <v>2</v>
      </c>
      <c r="R915">
        <v>2</v>
      </c>
      <c r="S915">
        <v>2</v>
      </c>
      <c r="T915">
        <v>2</v>
      </c>
      <c r="U915">
        <v>2</v>
      </c>
      <c r="V915">
        <v>2</v>
      </c>
      <c r="W915">
        <v>2</v>
      </c>
      <c r="X915">
        <v>2</v>
      </c>
      <c r="Y915">
        <v>2</v>
      </c>
      <c r="Z915">
        <v>2</v>
      </c>
    </row>
    <row r="916" spans="1:26" x14ac:dyDescent="0.25">
      <c r="A916" t="s">
        <v>280</v>
      </c>
      <c r="B916" t="s">
        <v>281</v>
      </c>
      <c r="C916" t="s">
        <v>282</v>
      </c>
      <c r="D916">
        <v>2</v>
      </c>
      <c r="E916">
        <v>2</v>
      </c>
      <c r="F916">
        <v>2</v>
      </c>
      <c r="G916">
        <v>2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2</v>
      </c>
      <c r="N916">
        <v>2</v>
      </c>
      <c r="O916">
        <v>2</v>
      </c>
      <c r="P916">
        <v>2</v>
      </c>
      <c r="Q916">
        <v>2</v>
      </c>
      <c r="R916">
        <v>2</v>
      </c>
      <c r="S916">
        <v>2</v>
      </c>
      <c r="T916">
        <v>2</v>
      </c>
      <c r="U916">
        <v>2</v>
      </c>
      <c r="V916">
        <v>2</v>
      </c>
      <c r="W916">
        <v>2</v>
      </c>
      <c r="X916">
        <v>2</v>
      </c>
      <c r="Y916">
        <v>2</v>
      </c>
      <c r="Z916">
        <v>2</v>
      </c>
    </row>
    <row r="917" spans="1:26" x14ac:dyDescent="0.25">
      <c r="A917" t="s">
        <v>283</v>
      </c>
      <c r="B917" t="s">
        <v>284</v>
      </c>
      <c r="C917" t="s">
        <v>285</v>
      </c>
      <c r="D917">
        <v>2</v>
      </c>
      <c r="E917">
        <v>2</v>
      </c>
      <c r="F917">
        <v>2</v>
      </c>
      <c r="G917">
        <v>2</v>
      </c>
      <c r="H917">
        <v>2</v>
      </c>
      <c r="I917">
        <v>2</v>
      </c>
      <c r="J917">
        <v>2</v>
      </c>
      <c r="K917">
        <v>2</v>
      </c>
      <c r="L917">
        <v>2</v>
      </c>
      <c r="M917">
        <v>2</v>
      </c>
      <c r="N917">
        <v>2</v>
      </c>
      <c r="O917">
        <v>2</v>
      </c>
      <c r="P917">
        <v>2</v>
      </c>
      <c r="Q917">
        <v>2</v>
      </c>
      <c r="R917">
        <v>2</v>
      </c>
      <c r="S917">
        <v>2</v>
      </c>
      <c r="T917">
        <v>2</v>
      </c>
      <c r="U917">
        <v>2</v>
      </c>
      <c r="V917">
        <v>2</v>
      </c>
      <c r="W917">
        <v>2</v>
      </c>
      <c r="X917">
        <v>2</v>
      </c>
      <c r="Y917">
        <v>2</v>
      </c>
      <c r="Z917">
        <v>2</v>
      </c>
    </row>
    <row r="918" spans="1:26" x14ac:dyDescent="0.25">
      <c r="A918" t="s">
        <v>286</v>
      </c>
      <c r="B918" t="s">
        <v>287</v>
      </c>
      <c r="C918" t="s">
        <v>288</v>
      </c>
      <c r="D918">
        <v>2</v>
      </c>
      <c r="E918">
        <v>2</v>
      </c>
      <c r="F918">
        <v>2</v>
      </c>
      <c r="G918">
        <v>2</v>
      </c>
      <c r="H918">
        <v>2</v>
      </c>
      <c r="I918">
        <v>2</v>
      </c>
      <c r="J918">
        <v>2</v>
      </c>
      <c r="K918">
        <v>2</v>
      </c>
      <c r="L918">
        <v>2</v>
      </c>
      <c r="M918">
        <v>2</v>
      </c>
      <c r="N918">
        <v>2</v>
      </c>
      <c r="O918">
        <v>2</v>
      </c>
      <c r="P918">
        <v>2</v>
      </c>
      <c r="Q918">
        <v>2</v>
      </c>
      <c r="R918">
        <v>2</v>
      </c>
      <c r="S918">
        <v>2</v>
      </c>
      <c r="T918">
        <v>2</v>
      </c>
      <c r="U918">
        <v>2</v>
      </c>
      <c r="V918">
        <v>2</v>
      </c>
      <c r="W918">
        <v>2</v>
      </c>
      <c r="X918">
        <v>2</v>
      </c>
      <c r="Y918">
        <v>2</v>
      </c>
      <c r="Z918">
        <v>2</v>
      </c>
    </row>
    <row r="919" spans="1:26" x14ac:dyDescent="0.25">
      <c r="A919" t="s">
        <v>289</v>
      </c>
      <c r="B919" t="s">
        <v>290</v>
      </c>
      <c r="C919" t="s">
        <v>291</v>
      </c>
      <c r="D919">
        <v>2</v>
      </c>
      <c r="E919">
        <v>2</v>
      </c>
      <c r="F919">
        <v>2</v>
      </c>
      <c r="G919">
        <v>2</v>
      </c>
      <c r="H919">
        <v>2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2</v>
      </c>
      <c r="O919">
        <v>2</v>
      </c>
      <c r="P919">
        <v>2</v>
      </c>
      <c r="Q919">
        <v>2</v>
      </c>
      <c r="R919">
        <v>2</v>
      </c>
      <c r="S919">
        <v>2</v>
      </c>
      <c r="T919">
        <v>2</v>
      </c>
      <c r="U919">
        <v>2</v>
      </c>
      <c r="V919">
        <v>2</v>
      </c>
      <c r="W919">
        <v>2</v>
      </c>
      <c r="X919">
        <v>2</v>
      </c>
      <c r="Y919">
        <v>2</v>
      </c>
      <c r="Z919">
        <v>2</v>
      </c>
    </row>
    <row r="920" spans="1:26" x14ac:dyDescent="0.25">
      <c r="A920" t="s">
        <v>292</v>
      </c>
      <c r="B920" t="s">
        <v>293</v>
      </c>
      <c r="C920" t="s">
        <v>294</v>
      </c>
      <c r="D920">
        <v>2</v>
      </c>
      <c r="E920">
        <v>2</v>
      </c>
      <c r="F920">
        <v>2</v>
      </c>
      <c r="G920">
        <v>2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2</v>
      </c>
      <c r="O920">
        <v>2</v>
      </c>
      <c r="P920">
        <v>2</v>
      </c>
      <c r="Q920">
        <v>2</v>
      </c>
      <c r="R920">
        <v>2</v>
      </c>
      <c r="S920">
        <v>2</v>
      </c>
      <c r="T920">
        <v>2</v>
      </c>
      <c r="U920">
        <v>2</v>
      </c>
      <c r="V920">
        <v>2</v>
      </c>
      <c r="W920">
        <v>2</v>
      </c>
      <c r="X920">
        <v>2</v>
      </c>
      <c r="Y920">
        <v>2</v>
      </c>
      <c r="Z920">
        <v>2</v>
      </c>
    </row>
    <row r="921" spans="1:26" x14ac:dyDescent="0.25">
      <c r="A921" t="s">
        <v>295</v>
      </c>
      <c r="B921" t="s">
        <v>296</v>
      </c>
      <c r="C921" t="s">
        <v>297</v>
      </c>
      <c r="D921">
        <v>2</v>
      </c>
      <c r="E921">
        <v>2</v>
      </c>
      <c r="F921">
        <v>2</v>
      </c>
      <c r="G921">
        <v>2</v>
      </c>
      <c r="H921">
        <v>2</v>
      </c>
      <c r="I921">
        <v>2</v>
      </c>
      <c r="J921">
        <v>2</v>
      </c>
      <c r="K921">
        <v>2</v>
      </c>
      <c r="L921">
        <v>2</v>
      </c>
      <c r="M921">
        <v>2</v>
      </c>
      <c r="N921">
        <v>2</v>
      </c>
      <c r="O921">
        <v>2</v>
      </c>
      <c r="P921">
        <v>2</v>
      </c>
      <c r="Q921">
        <v>2</v>
      </c>
      <c r="R921">
        <v>2</v>
      </c>
      <c r="S921">
        <v>2</v>
      </c>
      <c r="T921">
        <v>2</v>
      </c>
      <c r="U921">
        <v>2</v>
      </c>
      <c r="V921">
        <v>2</v>
      </c>
      <c r="W921">
        <v>2</v>
      </c>
      <c r="X921">
        <v>2</v>
      </c>
      <c r="Y921">
        <v>2</v>
      </c>
      <c r="Z921">
        <v>2</v>
      </c>
    </row>
    <row r="922" spans="1:26" x14ac:dyDescent="0.25">
      <c r="A922" t="s">
        <v>298</v>
      </c>
      <c r="B922" t="s">
        <v>299</v>
      </c>
      <c r="C922" t="s">
        <v>300</v>
      </c>
      <c r="D922">
        <v>2</v>
      </c>
      <c r="E922">
        <v>2</v>
      </c>
      <c r="F922">
        <v>2</v>
      </c>
      <c r="G922">
        <v>2</v>
      </c>
      <c r="H922">
        <v>2</v>
      </c>
      <c r="I922">
        <v>2</v>
      </c>
      <c r="J922">
        <v>2</v>
      </c>
      <c r="K922">
        <v>2</v>
      </c>
      <c r="L922">
        <v>2</v>
      </c>
      <c r="M922">
        <v>2</v>
      </c>
      <c r="N922">
        <v>2</v>
      </c>
      <c r="O922">
        <v>2</v>
      </c>
      <c r="P922">
        <v>2</v>
      </c>
      <c r="Q922">
        <v>2</v>
      </c>
      <c r="R922">
        <v>2</v>
      </c>
      <c r="S922">
        <v>2</v>
      </c>
      <c r="T922">
        <v>2</v>
      </c>
      <c r="U922">
        <v>2</v>
      </c>
      <c r="V922">
        <v>2</v>
      </c>
      <c r="W922">
        <v>2</v>
      </c>
      <c r="X922">
        <v>2</v>
      </c>
      <c r="Y922">
        <v>2</v>
      </c>
      <c r="Z922">
        <v>2</v>
      </c>
    </row>
    <row r="923" spans="1:26" x14ac:dyDescent="0.25">
      <c r="A923" t="s">
        <v>301</v>
      </c>
      <c r="B923" t="s">
        <v>302</v>
      </c>
      <c r="C923" t="s">
        <v>303</v>
      </c>
      <c r="D923">
        <v>2</v>
      </c>
      <c r="E923">
        <v>2</v>
      </c>
      <c r="F923">
        <v>2</v>
      </c>
      <c r="G923">
        <v>2</v>
      </c>
      <c r="H923">
        <v>2</v>
      </c>
      <c r="I923">
        <v>2</v>
      </c>
      <c r="J923">
        <v>2</v>
      </c>
      <c r="K923">
        <v>2</v>
      </c>
      <c r="L923">
        <v>2</v>
      </c>
      <c r="M923">
        <v>2</v>
      </c>
      <c r="N923">
        <v>2</v>
      </c>
      <c r="O923">
        <v>2</v>
      </c>
      <c r="P923">
        <v>2</v>
      </c>
      <c r="Q923">
        <v>2</v>
      </c>
      <c r="R923">
        <v>2</v>
      </c>
      <c r="S923">
        <v>2</v>
      </c>
      <c r="T923">
        <v>2</v>
      </c>
      <c r="U923">
        <v>2</v>
      </c>
      <c r="V923">
        <v>2</v>
      </c>
      <c r="W923">
        <v>2</v>
      </c>
      <c r="X923">
        <v>2</v>
      </c>
      <c r="Y923">
        <v>2</v>
      </c>
      <c r="Z923">
        <v>2</v>
      </c>
    </row>
    <row r="924" spans="1:26" x14ac:dyDescent="0.25">
      <c r="A924" t="s">
        <v>304</v>
      </c>
      <c r="B924" t="s">
        <v>305</v>
      </c>
      <c r="C924" t="s">
        <v>306</v>
      </c>
      <c r="D924">
        <v>2</v>
      </c>
      <c r="E924">
        <v>2</v>
      </c>
      <c r="F924">
        <v>2</v>
      </c>
      <c r="G924">
        <v>2</v>
      </c>
      <c r="H924">
        <v>2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2</v>
      </c>
      <c r="O924">
        <v>2</v>
      </c>
      <c r="P924">
        <v>2</v>
      </c>
      <c r="Q924">
        <v>2</v>
      </c>
      <c r="R924">
        <v>2</v>
      </c>
      <c r="S924">
        <v>2</v>
      </c>
      <c r="T924">
        <v>2</v>
      </c>
      <c r="U924">
        <v>2</v>
      </c>
      <c r="V924">
        <v>2</v>
      </c>
      <c r="W924">
        <v>2</v>
      </c>
      <c r="X924">
        <v>2</v>
      </c>
      <c r="Y924">
        <v>2</v>
      </c>
      <c r="Z924">
        <v>2</v>
      </c>
    </row>
    <row r="925" spans="1:26" x14ac:dyDescent="0.25">
      <c r="A925" t="s">
        <v>307</v>
      </c>
      <c r="B925" t="s">
        <v>308</v>
      </c>
      <c r="C925" t="s">
        <v>309</v>
      </c>
      <c r="D925">
        <v>2</v>
      </c>
      <c r="E925">
        <v>2</v>
      </c>
      <c r="F925">
        <v>2</v>
      </c>
      <c r="G925">
        <v>2</v>
      </c>
      <c r="H925">
        <v>2</v>
      </c>
      <c r="I925">
        <v>2</v>
      </c>
      <c r="J925">
        <v>2</v>
      </c>
      <c r="K925">
        <v>2</v>
      </c>
      <c r="L925">
        <v>2</v>
      </c>
      <c r="M925">
        <v>2</v>
      </c>
      <c r="N925">
        <v>2</v>
      </c>
      <c r="O925">
        <v>2</v>
      </c>
      <c r="P925">
        <v>2</v>
      </c>
      <c r="Q925">
        <v>2</v>
      </c>
      <c r="R925">
        <v>2</v>
      </c>
      <c r="S925">
        <v>2</v>
      </c>
      <c r="T925">
        <v>2</v>
      </c>
      <c r="U925">
        <v>2</v>
      </c>
      <c r="V925">
        <v>2</v>
      </c>
      <c r="W925">
        <v>2</v>
      </c>
      <c r="X925">
        <v>2</v>
      </c>
      <c r="Y925">
        <v>2</v>
      </c>
      <c r="Z925">
        <v>2</v>
      </c>
    </row>
    <row r="926" spans="1:26" x14ac:dyDescent="0.25">
      <c r="A926" t="s">
        <v>310</v>
      </c>
      <c r="B926" t="s">
        <v>311</v>
      </c>
      <c r="C926" t="s">
        <v>312</v>
      </c>
      <c r="D926">
        <v>2</v>
      </c>
      <c r="E926">
        <v>2</v>
      </c>
      <c r="F926">
        <v>2</v>
      </c>
      <c r="G926">
        <v>2</v>
      </c>
      <c r="H926">
        <v>2</v>
      </c>
      <c r="I926">
        <v>2</v>
      </c>
      <c r="J926">
        <v>2</v>
      </c>
      <c r="K926">
        <v>2</v>
      </c>
      <c r="L926">
        <v>2</v>
      </c>
      <c r="M926">
        <v>2</v>
      </c>
      <c r="N926">
        <v>2</v>
      </c>
      <c r="O926">
        <v>2</v>
      </c>
      <c r="P926">
        <v>2</v>
      </c>
      <c r="Q926">
        <v>2</v>
      </c>
      <c r="R926">
        <v>2</v>
      </c>
      <c r="S926">
        <v>2</v>
      </c>
      <c r="T926">
        <v>2</v>
      </c>
      <c r="U926">
        <v>2</v>
      </c>
      <c r="V926">
        <v>2</v>
      </c>
      <c r="W926">
        <v>2</v>
      </c>
      <c r="X926">
        <v>2</v>
      </c>
      <c r="Y926">
        <v>2</v>
      </c>
      <c r="Z926">
        <v>2</v>
      </c>
    </row>
    <row r="927" spans="1:26" x14ac:dyDescent="0.25">
      <c r="A927" t="s">
        <v>313</v>
      </c>
      <c r="B927" t="s">
        <v>314</v>
      </c>
      <c r="C927" t="s">
        <v>315</v>
      </c>
      <c r="D927">
        <v>2</v>
      </c>
      <c r="E927">
        <v>2</v>
      </c>
      <c r="F927">
        <v>2</v>
      </c>
      <c r="G927">
        <v>2</v>
      </c>
      <c r="H927">
        <v>2</v>
      </c>
      <c r="I927">
        <v>2</v>
      </c>
      <c r="J927">
        <v>2</v>
      </c>
      <c r="K927">
        <v>2</v>
      </c>
      <c r="L927">
        <v>2</v>
      </c>
      <c r="M927">
        <v>2</v>
      </c>
      <c r="N927">
        <v>2</v>
      </c>
      <c r="O927">
        <v>2</v>
      </c>
      <c r="P927">
        <v>2</v>
      </c>
      <c r="Q927">
        <v>2</v>
      </c>
      <c r="R927">
        <v>2</v>
      </c>
      <c r="S927">
        <v>2</v>
      </c>
      <c r="T927">
        <v>2</v>
      </c>
      <c r="U927">
        <v>2</v>
      </c>
      <c r="V927">
        <v>2</v>
      </c>
      <c r="W927">
        <v>2</v>
      </c>
      <c r="X927">
        <v>2</v>
      </c>
      <c r="Y927">
        <v>2</v>
      </c>
      <c r="Z927">
        <v>2</v>
      </c>
    </row>
    <row r="928" spans="1:26" x14ac:dyDescent="0.25">
      <c r="A928" t="s">
        <v>316</v>
      </c>
      <c r="B928" t="s">
        <v>317</v>
      </c>
      <c r="C928" t="s">
        <v>318</v>
      </c>
      <c r="D928">
        <v>2</v>
      </c>
      <c r="E928">
        <v>2</v>
      </c>
      <c r="F928">
        <v>2</v>
      </c>
      <c r="G928">
        <v>2</v>
      </c>
      <c r="H928">
        <v>2</v>
      </c>
      <c r="I928">
        <v>2</v>
      </c>
      <c r="J928">
        <v>2</v>
      </c>
      <c r="K928">
        <v>2</v>
      </c>
      <c r="L928">
        <v>2</v>
      </c>
      <c r="M928">
        <v>2</v>
      </c>
      <c r="N928">
        <v>2</v>
      </c>
      <c r="O928">
        <v>2</v>
      </c>
      <c r="P928">
        <v>2</v>
      </c>
      <c r="Q928">
        <v>2</v>
      </c>
      <c r="R928">
        <v>2</v>
      </c>
      <c r="S928">
        <v>2</v>
      </c>
      <c r="T928">
        <v>2</v>
      </c>
      <c r="U928">
        <v>2</v>
      </c>
      <c r="V928">
        <v>2</v>
      </c>
      <c r="W928">
        <v>2</v>
      </c>
      <c r="X928">
        <v>2</v>
      </c>
      <c r="Y928">
        <v>2</v>
      </c>
      <c r="Z928">
        <v>2</v>
      </c>
    </row>
    <row r="929" spans="1:26" x14ac:dyDescent="0.25">
      <c r="A929" t="s">
        <v>319</v>
      </c>
      <c r="B929" t="s">
        <v>320</v>
      </c>
      <c r="C929" t="s">
        <v>321</v>
      </c>
      <c r="D929">
        <v>2</v>
      </c>
      <c r="E929">
        <v>2</v>
      </c>
      <c r="F929">
        <v>2</v>
      </c>
      <c r="G929">
        <v>2</v>
      </c>
      <c r="H929">
        <v>2</v>
      </c>
      <c r="I929">
        <v>2</v>
      </c>
      <c r="J929">
        <v>2</v>
      </c>
      <c r="K929">
        <v>2</v>
      </c>
      <c r="L929">
        <v>2</v>
      </c>
      <c r="M929">
        <v>2</v>
      </c>
      <c r="N929">
        <v>2</v>
      </c>
      <c r="O929">
        <v>2</v>
      </c>
      <c r="P929">
        <v>2</v>
      </c>
      <c r="Q929">
        <v>2</v>
      </c>
      <c r="R929">
        <v>2</v>
      </c>
      <c r="S929">
        <v>2</v>
      </c>
      <c r="T929">
        <v>2</v>
      </c>
      <c r="U929">
        <v>2</v>
      </c>
      <c r="V929">
        <v>2</v>
      </c>
      <c r="W929">
        <v>2</v>
      </c>
      <c r="X929">
        <v>2</v>
      </c>
      <c r="Y929">
        <v>2</v>
      </c>
      <c r="Z929">
        <v>2</v>
      </c>
    </row>
    <row r="931" spans="1:26" x14ac:dyDescent="0.25">
      <c r="A931" t="s">
        <v>419</v>
      </c>
    </row>
    <row r="932" spans="1:26" x14ac:dyDescent="0.25">
      <c r="A932" t="s">
        <v>420</v>
      </c>
    </row>
    <row r="933" spans="1:26" x14ac:dyDescent="0.25">
      <c r="A933" t="s">
        <v>421</v>
      </c>
    </row>
    <row r="934" spans="1:26" x14ac:dyDescent="0.25">
      <c r="A934" t="s">
        <v>422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CED3-46C8-6C45-BDA6-3ECBF6874BDF}">
  <dimension ref="A3:AC190"/>
  <sheetViews>
    <sheetView zoomScale="69" zoomScaleNormal="69" workbookViewId="0">
      <selection activeCell="A111" sqref="A111"/>
    </sheetView>
  </sheetViews>
  <sheetFormatPr defaultColWidth="11.42578125" defaultRowHeight="15" x14ac:dyDescent="0.25"/>
  <cols>
    <col min="6" max="6" width="30.42578125" bestFit="1" customWidth="1"/>
    <col min="7" max="7" width="15.42578125" bestFit="1" customWidth="1"/>
    <col min="8" max="8" width="15" bestFit="1" customWidth="1"/>
    <col min="9" max="9" width="16.85546875" bestFit="1" customWidth="1"/>
    <col min="10" max="11" width="15" bestFit="1" customWidth="1"/>
    <col min="12" max="13" width="15.7109375" bestFit="1" customWidth="1"/>
    <col min="14" max="20" width="15" bestFit="1" customWidth="1"/>
    <col min="21" max="22" width="15" customWidth="1"/>
    <col min="23" max="24" width="15" bestFit="1" customWidth="1"/>
    <col min="25" max="26" width="15" customWidth="1"/>
    <col min="27" max="27" width="15" bestFit="1" customWidth="1"/>
    <col min="28" max="28" width="15" customWidth="1"/>
    <col min="29" max="29" width="15" bestFit="1" customWidth="1"/>
  </cols>
  <sheetData>
    <row r="3" spans="1:29" x14ac:dyDescent="0.25">
      <c r="D3" s="1"/>
      <c r="E3" s="1"/>
      <c r="F3" s="1"/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</row>
    <row r="4" spans="1:29" x14ac:dyDescent="0.25">
      <c r="D4" s="1" t="s">
        <v>29</v>
      </c>
      <c r="E4" s="1" t="s">
        <v>30</v>
      </c>
      <c r="F4" s="1" t="s">
        <v>31</v>
      </c>
      <c r="G4" s="1" t="s">
        <v>328</v>
      </c>
      <c r="H4" s="1" t="s">
        <v>328</v>
      </c>
      <c r="I4" s="1" t="s">
        <v>328</v>
      </c>
      <c r="J4" s="1" t="s">
        <v>328</v>
      </c>
      <c r="K4" s="1" t="s">
        <v>328</v>
      </c>
      <c r="L4" s="1" t="s">
        <v>328</v>
      </c>
      <c r="M4" s="1" t="s">
        <v>328</v>
      </c>
      <c r="N4" s="1" t="s">
        <v>328</v>
      </c>
      <c r="O4" s="1" t="s">
        <v>328</v>
      </c>
      <c r="P4" s="1" t="s">
        <v>328</v>
      </c>
      <c r="Q4" s="1" t="s">
        <v>328</v>
      </c>
      <c r="R4" s="1" t="s">
        <v>328</v>
      </c>
      <c r="S4" s="1" t="s">
        <v>328</v>
      </c>
      <c r="T4" s="1" t="s">
        <v>328</v>
      </c>
      <c r="U4" s="1" t="s">
        <v>328</v>
      </c>
      <c r="V4" s="1" t="s">
        <v>328</v>
      </c>
      <c r="W4" s="1" t="s">
        <v>328</v>
      </c>
      <c r="X4" s="1" t="s">
        <v>328</v>
      </c>
      <c r="Y4" s="1" t="s">
        <v>328</v>
      </c>
      <c r="Z4" s="1" t="s">
        <v>328</v>
      </c>
      <c r="AA4" s="1" t="s">
        <v>328</v>
      </c>
      <c r="AB4" s="1" t="s">
        <v>328</v>
      </c>
      <c r="AC4" s="1" t="s">
        <v>328</v>
      </c>
    </row>
    <row r="5" spans="1:29" x14ac:dyDescent="0.25">
      <c r="D5" t="s">
        <v>33</v>
      </c>
      <c r="E5" t="s">
        <v>34</v>
      </c>
      <c r="F5" t="s">
        <v>35</v>
      </c>
    </row>
    <row r="6" spans="1:29" x14ac:dyDescent="0.25">
      <c r="D6" t="s">
        <v>36</v>
      </c>
      <c r="E6" t="s">
        <v>37</v>
      </c>
      <c r="F6" t="s">
        <v>38</v>
      </c>
      <c r="J6">
        <v>11854.13</v>
      </c>
      <c r="M6">
        <v>31924.85</v>
      </c>
      <c r="O6">
        <v>8088.35</v>
      </c>
      <c r="R6">
        <v>6625.75</v>
      </c>
      <c r="S6">
        <v>5253.08</v>
      </c>
      <c r="U6">
        <v>6722.01</v>
      </c>
      <c r="V6">
        <v>40134.51</v>
      </c>
      <c r="AC6">
        <v>59945.99</v>
      </c>
    </row>
    <row r="7" spans="1:29" x14ac:dyDescent="0.25">
      <c r="D7" t="s">
        <v>40</v>
      </c>
      <c r="E7" t="s">
        <v>41</v>
      </c>
      <c r="F7" t="s">
        <v>42</v>
      </c>
      <c r="G7">
        <v>7749.99</v>
      </c>
      <c r="H7">
        <v>25888.82</v>
      </c>
      <c r="I7">
        <v>19531.18</v>
      </c>
      <c r="J7">
        <v>2866.47</v>
      </c>
      <c r="K7">
        <v>14286.02</v>
      </c>
      <c r="L7">
        <v>28322.02</v>
      </c>
      <c r="M7">
        <v>8241.41</v>
      </c>
      <c r="N7">
        <v>63650.12</v>
      </c>
      <c r="O7">
        <v>1917.11</v>
      </c>
      <c r="P7">
        <v>6919.17</v>
      </c>
      <c r="Q7">
        <v>5250.13</v>
      </c>
      <c r="R7">
        <v>1656.61</v>
      </c>
      <c r="S7">
        <v>1550.4</v>
      </c>
      <c r="T7">
        <v>3838.65</v>
      </c>
      <c r="U7">
        <v>1491.56</v>
      </c>
      <c r="V7">
        <v>16085.69</v>
      </c>
      <c r="W7">
        <v>2300.44</v>
      </c>
      <c r="X7">
        <v>6528.44</v>
      </c>
      <c r="Z7">
        <v>19677.8</v>
      </c>
      <c r="AA7">
        <v>1984.71</v>
      </c>
      <c r="AB7">
        <v>11776.19</v>
      </c>
      <c r="AC7">
        <v>14906.35</v>
      </c>
    </row>
    <row r="8" spans="1:29" x14ac:dyDescent="0.25">
      <c r="D8" t="s">
        <v>43</v>
      </c>
      <c r="E8" t="s">
        <v>44</v>
      </c>
      <c r="F8" t="s">
        <v>45</v>
      </c>
      <c r="G8">
        <v>1903.47</v>
      </c>
      <c r="H8">
        <v>5968.41</v>
      </c>
      <c r="I8">
        <v>6098.42</v>
      </c>
      <c r="J8">
        <v>737.54</v>
      </c>
      <c r="K8">
        <v>3604.04</v>
      </c>
      <c r="L8">
        <v>6974.74</v>
      </c>
      <c r="M8">
        <v>2004.65</v>
      </c>
      <c r="N8">
        <v>16157.57</v>
      </c>
      <c r="O8">
        <v>484.55</v>
      </c>
      <c r="P8">
        <v>1576.12</v>
      </c>
      <c r="Q8">
        <v>1355.99</v>
      </c>
      <c r="R8">
        <v>415.54</v>
      </c>
      <c r="S8">
        <v>342.88</v>
      </c>
      <c r="T8">
        <v>1101.96</v>
      </c>
      <c r="U8">
        <v>404.26</v>
      </c>
      <c r="V8">
        <v>4300.22</v>
      </c>
      <c r="W8">
        <v>577.05999999999995</v>
      </c>
      <c r="X8">
        <v>1652.14</v>
      </c>
      <c r="Y8">
        <v>17287.46</v>
      </c>
      <c r="Z8">
        <v>4435.8500000000004</v>
      </c>
      <c r="AA8">
        <v>507.07</v>
      </c>
      <c r="AB8">
        <v>2879.92</v>
      </c>
      <c r="AC8">
        <v>3790.03</v>
      </c>
    </row>
    <row r="9" spans="1:29" x14ac:dyDescent="0.25">
      <c r="D9" t="s">
        <v>46</v>
      </c>
      <c r="E9" t="s">
        <v>47</v>
      </c>
      <c r="F9" t="s">
        <v>48</v>
      </c>
      <c r="G9">
        <v>484.17</v>
      </c>
      <c r="H9">
        <v>1601.01</v>
      </c>
      <c r="I9">
        <v>1417.82</v>
      </c>
      <c r="J9">
        <v>171.43</v>
      </c>
      <c r="K9">
        <v>874.45</v>
      </c>
      <c r="L9">
        <v>1752.01</v>
      </c>
      <c r="M9">
        <v>481.53</v>
      </c>
      <c r="N9">
        <v>3965.84</v>
      </c>
      <c r="O9">
        <v>115.43</v>
      </c>
      <c r="P9">
        <v>451.68</v>
      </c>
      <c r="Q9">
        <v>316.05</v>
      </c>
      <c r="R9">
        <v>100.52</v>
      </c>
      <c r="S9">
        <v>90.76</v>
      </c>
      <c r="T9">
        <v>193.51</v>
      </c>
      <c r="U9">
        <v>87.99</v>
      </c>
      <c r="V9">
        <v>927.24</v>
      </c>
      <c r="W9">
        <v>140.6</v>
      </c>
      <c r="X9">
        <v>397.15</v>
      </c>
      <c r="Y9">
        <v>4295.32</v>
      </c>
      <c r="Z9">
        <v>1152.18</v>
      </c>
      <c r="AA9">
        <v>123.65</v>
      </c>
      <c r="AB9">
        <v>717.13</v>
      </c>
      <c r="AC9">
        <v>905.71</v>
      </c>
    </row>
    <row r="10" spans="1:29" x14ac:dyDescent="0.25">
      <c r="D10" t="s">
        <v>49</v>
      </c>
      <c r="E10" t="s">
        <v>50</v>
      </c>
      <c r="F10" t="s">
        <v>51</v>
      </c>
      <c r="G10">
        <v>119.69</v>
      </c>
      <c r="H10">
        <v>415.58</v>
      </c>
      <c r="I10">
        <v>370.94</v>
      </c>
      <c r="J10">
        <v>48.8</v>
      </c>
      <c r="K10">
        <v>241.39</v>
      </c>
      <c r="L10">
        <v>463.2</v>
      </c>
      <c r="M10">
        <v>152.57</v>
      </c>
      <c r="N10">
        <v>1010.04</v>
      </c>
      <c r="O10">
        <v>32.909999999999997</v>
      </c>
      <c r="P10">
        <v>98.67</v>
      </c>
      <c r="Q10">
        <v>90.25</v>
      </c>
      <c r="R10">
        <v>27.47</v>
      </c>
      <c r="S10">
        <v>23.36</v>
      </c>
      <c r="T10">
        <v>71.989999999999995</v>
      </c>
      <c r="U10">
        <v>26.61</v>
      </c>
      <c r="V10">
        <v>259.67</v>
      </c>
      <c r="W10">
        <v>38.9</v>
      </c>
      <c r="X10">
        <v>111.91</v>
      </c>
      <c r="Y10">
        <v>1096.81</v>
      </c>
      <c r="Z10">
        <v>282.24</v>
      </c>
      <c r="AA10">
        <v>31.82</v>
      </c>
      <c r="AB10">
        <v>183.76</v>
      </c>
      <c r="AC10">
        <v>230.73</v>
      </c>
    </row>
    <row r="11" spans="1:29" x14ac:dyDescent="0.25">
      <c r="D11" t="s">
        <v>52</v>
      </c>
      <c r="E11" t="s">
        <v>53</v>
      </c>
      <c r="F11" t="s">
        <v>54</v>
      </c>
      <c r="G11">
        <v>29.17</v>
      </c>
      <c r="H11">
        <v>87.65</v>
      </c>
      <c r="I11">
        <v>85.65</v>
      </c>
      <c r="J11">
        <v>11.32</v>
      </c>
      <c r="K11">
        <v>50.36</v>
      </c>
      <c r="L11">
        <v>101.53</v>
      </c>
      <c r="M11">
        <v>23.76</v>
      </c>
      <c r="N11">
        <v>253.63</v>
      </c>
      <c r="O11">
        <v>7.42</v>
      </c>
      <c r="Q11">
        <v>19.079999999999998</v>
      </c>
      <c r="S11">
        <v>5.43</v>
      </c>
      <c r="T11">
        <v>15.99</v>
      </c>
      <c r="U11">
        <v>5.88</v>
      </c>
      <c r="W11">
        <v>8.2100000000000009</v>
      </c>
      <c r="X11">
        <v>23.89</v>
      </c>
      <c r="Y11">
        <v>258.08</v>
      </c>
      <c r="Z11">
        <v>73.2</v>
      </c>
      <c r="AA11">
        <v>7.81</v>
      </c>
      <c r="AB11">
        <v>44.79</v>
      </c>
      <c r="AC11">
        <v>69.61</v>
      </c>
    </row>
    <row r="12" spans="1:29" x14ac:dyDescent="0.25">
      <c r="D12" t="s">
        <v>55</v>
      </c>
      <c r="E12" t="s">
        <v>56</v>
      </c>
      <c r="F12" t="s">
        <v>57</v>
      </c>
      <c r="G12">
        <v>8.06</v>
      </c>
      <c r="H12">
        <v>30.22</v>
      </c>
      <c r="I12">
        <v>25.3</v>
      </c>
      <c r="J12">
        <v>2.42</v>
      </c>
      <c r="K12">
        <v>16.79</v>
      </c>
      <c r="L12">
        <v>30.45</v>
      </c>
      <c r="M12">
        <v>10.25</v>
      </c>
      <c r="N12">
        <v>60.99</v>
      </c>
      <c r="O12">
        <v>1.72</v>
      </c>
      <c r="P12">
        <v>6.73</v>
      </c>
      <c r="Q12">
        <v>5.62</v>
      </c>
      <c r="R12">
        <v>1.47</v>
      </c>
      <c r="S12">
        <v>1.36</v>
      </c>
      <c r="T12">
        <v>3.89</v>
      </c>
      <c r="U12">
        <v>1.41</v>
      </c>
      <c r="V12">
        <v>14.69</v>
      </c>
      <c r="W12">
        <v>2.48</v>
      </c>
      <c r="X12">
        <v>6.63</v>
      </c>
      <c r="Y12">
        <v>73.599999999999994</v>
      </c>
      <c r="Z12">
        <v>15.95</v>
      </c>
      <c r="AA12">
        <v>1.95</v>
      </c>
      <c r="AB12">
        <v>11.8</v>
      </c>
      <c r="AC12">
        <v>12.1</v>
      </c>
    </row>
    <row r="13" spans="1:29" x14ac:dyDescent="0.25">
      <c r="B13" t="s">
        <v>423</v>
      </c>
      <c r="D13" t="s">
        <v>58</v>
      </c>
      <c r="E13" t="s">
        <v>59</v>
      </c>
      <c r="F13" t="s">
        <v>60</v>
      </c>
      <c r="G13">
        <v>1.71</v>
      </c>
      <c r="H13">
        <v>4.8499999999999996</v>
      </c>
      <c r="I13">
        <v>4.3600000000000003</v>
      </c>
      <c r="J13">
        <v>0.88</v>
      </c>
      <c r="K13">
        <v>2.85</v>
      </c>
      <c r="L13">
        <v>6.44</v>
      </c>
      <c r="M13">
        <v>2.58</v>
      </c>
      <c r="N13">
        <v>16.010000000000002</v>
      </c>
      <c r="O13">
        <v>0.52</v>
      </c>
      <c r="P13">
        <v>1.6</v>
      </c>
      <c r="Q13">
        <v>1.22</v>
      </c>
      <c r="R13">
        <v>0.45</v>
      </c>
      <c r="S13">
        <v>0.37</v>
      </c>
      <c r="T13">
        <v>0.81</v>
      </c>
      <c r="U13">
        <v>0.41</v>
      </c>
      <c r="V13">
        <v>4.04</v>
      </c>
      <c r="W13">
        <v>0.52</v>
      </c>
      <c r="X13">
        <v>1.59</v>
      </c>
      <c r="Y13">
        <v>14.68</v>
      </c>
      <c r="AA13">
        <v>0.49</v>
      </c>
      <c r="AC13">
        <v>4.1900000000000004</v>
      </c>
    </row>
    <row r="14" spans="1:29" x14ac:dyDescent="0.25">
      <c r="A14">
        <v>3.0700000000000002E-2</v>
      </c>
      <c r="B14">
        <f>A14*100</f>
        <v>3.0700000000000003</v>
      </c>
      <c r="C14">
        <v>1</v>
      </c>
      <c r="D14" t="s">
        <v>61</v>
      </c>
      <c r="E14" t="s">
        <v>62</v>
      </c>
      <c r="F14" t="s">
        <v>63</v>
      </c>
      <c r="G14">
        <v>584.49</v>
      </c>
      <c r="H14">
        <v>0</v>
      </c>
      <c r="I14">
        <v>8.7200000000000006</v>
      </c>
      <c r="J14">
        <v>7.47</v>
      </c>
      <c r="K14">
        <v>1.49</v>
      </c>
      <c r="L14">
        <v>29.12</v>
      </c>
      <c r="M14">
        <v>40.64</v>
      </c>
      <c r="N14">
        <v>40.21</v>
      </c>
      <c r="O14">
        <v>4.3600000000000003</v>
      </c>
      <c r="P14">
        <v>1.07</v>
      </c>
      <c r="Q14">
        <v>2.92</v>
      </c>
      <c r="R14">
        <v>2.2799999999999998</v>
      </c>
      <c r="S14">
        <v>1.1399999999999999</v>
      </c>
      <c r="T14">
        <v>1.22</v>
      </c>
      <c r="U14">
        <v>1.68</v>
      </c>
      <c r="V14">
        <v>10.82</v>
      </c>
      <c r="W14">
        <v>9.4</v>
      </c>
      <c r="X14">
        <v>24.19</v>
      </c>
      <c r="Y14">
        <v>211.94</v>
      </c>
      <c r="Z14">
        <v>82.18</v>
      </c>
      <c r="AA14">
        <v>9.61</v>
      </c>
      <c r="AB14">
        <v>373.95</v>
      </c>
      <c r="AC14">
        <v>11.64</v>
      </c>
    </row>
    <row r="15" spans="1:29" x14ac:dyDescent="0.25">
      <c r="A15">
        <v>2.6700000000000002E-2</v>
      </c>
      <c r="B15">
        <f t="shared" ref="B15:B78" si="0">A15*100</f>
        <v>2.67</v>
      </c>
      <c r="C15">
        <v>2</v>
      </c>
      <c r="D15" t="s">
        <v>64</v>
      </c>
      <c r="E15" t="s">
        <v>65</v>
      </c>
      <c r="F15" t="s">
        <v>66</v>
      </c>
      <c r="G15">
        <v>626.45000000000005</v>
      </c>
      <c r="H15">
        <v>0</v>
      </c>
      <c r="I15">
        <v>6.4</v>
      </c>
      <c r="J15">
        <v>5.79</v>
      </c>
      <c r="K15">
        <v>0</v>
      </c>
      <c r="L15">
        <v>28.1</v>
      </c>
      <c r="M15">
        <v>33.1</v>
      </c>
      <c r="N15">
        <v>32.020000000000003</v>
      </c>
      <c r="O15">
        <v>5.54</v>
      </c>
      <c r="P15">
        <v>1.07</v>
      </c>
      <c r="Q15">
        <v>1.21</v>
      </c>
      <c r="R15">
        <v>1.9</v>
      </c>
      <c r="S15">
        <v>0.75</v>
      </c>
      <c r="T15">
        <v>0.41</v>
      </c>
      <c r="U15">
        <v>1.82</v>
      </c>
      <c r="V15">
        <v>7.41</v>
      </c>
      <c r="W15">
        <v>8.98</v>
      </c>
      <c r="X15">
        <v>19.760000000000002</v>
      </c>
      <c r="Y15">
        <v>106.93</v>
      </c>
      <c r="Z15">
        <v>0</v>
      </c>
      <c r="AA15">
        <v>5.58</v>
      </c>
      <c r="AB15">
        <v>225.4</v>
      </c>
      <c r="AC15">
        <v>11.64</v>
      </c>
    </row>
    <row r="16" spans="1:29" x14ac:dyDescent="0.25">
      <c r="A16">
        <v>2.9899999999999999E-2</v>
      </c>
      <c r="B16">
        <f t="shared" si="0"/>
        <v>2.9899999999999998</v>
      </c>
      <c r="C16">
        <v>3</v>
      </c>
      <c r="D16" t="s">
        <v>67</v>
      </c>
      <c r="E16" t="s">
        <v>68</v>
      </c>
      <c r="F16" t="s">
        <v>69</v>
      </c>
      <c r="G16">
        <v>604</v>
      </c>
      <c r="H16">
        <v>0</v>
      </c>
      <c r="I16">
        <v>10.73</v>
      </c>
      <c r="J16">
        <v>11.49</v>
      </c>
      <c r="K16">
        <v>0.99</v>
      </c>
      <c r="L16">
        <v>69.62</v>
      </c>
      <c r="M16">
        <v>45.65</v>
      </c>
      <c r="N16">
        <v>59.52</v>
      </c>
      <c r="O16">
        <v>6.85</v>
      </c>
      <c r="P16">
        <v>1.38</v>
      </c>
      <c r="Q16">
        <v>5.43</v>
      </c>
      <c r="R16">
        <v>2.81</v>
      </c>
      <c r="S16">
        <v>0.82</v>
      </c>
      <c r="T16">
        <v>2.39</v>
      </c>
      <c r="U16">
        <v>2.63</v>
      </c>
      <c r="V16">
        <v>13.1</v>
      </c>
      <c r="W16">
        <v>13.53</v>
      </c>
      <c r="X16">
        <v>24.92</v>
      </c>
      <c r="Y16">
        <v>154.01</v>
      </c>
      <c r="Z16">
        <v>44.11</v>
      </c>
      <c r="AA16">
        <v>8.58</v>
      </c>
      <c r="AB16">
        <v>268.51</v>
      </c>
      <c r="AC16">
        <v>18.399999999999999</v>
      </c>
    </row>
    <row r="17" spans="1:29" x14ac:dyDescent="0.25">
      <c r="A17">
        <v>2.9399999999999999E-2</v>
      </c>
      <c r="B17">
        <f t="shared" si="0"/>
        <v>2.94</v>
      </c>
      <c r="C17">
        <v>4</v>
      </c>
      <c r="D17" t="s">
        <v>70</v>
      </c>
      <c r="E17" t="s">
        <v>71</v>
      </c>
      <c r="F17" t="s">
        <v>72</v>
      </c>
      <c r="G17">
        <v>469.9</v>
      </c>
      <c r="H17">
        <v>0</v>
      </c>
      <c r="I17">
        <v>8.7200000000000006</v>
      </c>
      <c r="J17">
        <v>9.1999999999999993</v>
      </c>
      <c r="K17">
        <v>1.97</v>
      </c>
      <c r="L17">
        <v>20.34</v>
      </c>
      <c r="M17">
        <v>47.53</v>
      </c>
      <c r="N17">
        <v>36.15</v>
      </c>
      <c r="O17">
        <v>6.33</v>
      </c>
      <c r="P17">
        <v>1.07</v>
      </c>
      <c r="Q17">
        <v>3.38</v>
      </c>
      <c r="R17">
        <v>2.15</v>
      </c>
      <c r="S17">
        <v>0.9</v>
      </c>
      <c r="T17">
        <v>1.22</v>
      </c>
      <c r="U17">
        <v>1.94</v>
      </c>
      <c r="V17">
        <v>9.4499999999999993</v>
      </c>
      <c r="W17">
        <v>14.36</v>
      </c>
      <c r="X17">
        <v>71.650000000000006</v>
      </c>
      <c r="Y17">
        <v>186.29</v>
      </c>
      <c r="Z17">
        <v>34.56</v>
      </c>
      <c r="AA17">
        <v>6.31</v>
      </c>
      <c r="AB17">
        <v>163.78</v>
      </c>
      <c r="AC17">
        <v>12.75</v>
      </c>
    </row>
    <row r="18" spans="1:29" x14ac:dyDescent="0.25">
      <c r="A18">
        <v>4.8399999999999999E-2</v>
      </c>
      <c r="B18">
        <f t="shared" si="0"/>
        <v>4.84</v>
      </c>
      <c r="C18">
        <v>5</v>
      </c>
      <c r="D18" t="s">
        <v>73</v>
      </c>
      <c r="E18" t="s">
        <v>74</v>
      </c>
      <c r="F18" t="s">
        <v>75</v>
      </c>
      <c r="G18">
        <v>996.74</v>
      </c>
      <c r="H18">
        <v>0</v>
      </c>
      <c r="I18">
        <v>14.22</v>
      </c>
      <c r="J18">
        <v>11.36</v>
      </c>
      <c r="K18">
        <v>1.97</v>
      </c>
      <c r="L18">
        <v>59.92</v>
      </c>
      <c r="M18">
        <v>46.9</v>
      </c>
      <c r="N18">
        <v>44.18</v>
      </c>
      <c r="O18">
        <v>6.33</v>
      </c>
      <c r="P18">
        <v>1.22</v>
      </c>
      <c r="Q18">
        <v>6.75</v>
      </c>
      <c r="R18">
        <v>2.94</v>
      </c>
      <c r="S18">
        <v>1.06</v>
      </c>
      <c r="T18">
        <v>2.39</v>
      </c>
      <c r="U18">
        <v>3.07</v>
      </c>
      <c r="V18">
        <v>14.02</v>
      </c>
      <c r="W18">
        <v>13.39</v>
      </c>
      <c r="X18">
        <v>23</v>
      </c>
      <c r="Y18">
        <v>317.61</v>
      </c>
      <c r="Z18">
        <v>92.95</v>
      </c>
      <c r="AA18">
        <v>15.14</v>
      </c>
      <c r="AB18">
        <v>524.92999999999995</v>
      </c>
      <c r="AC18">
        <v>24.21</v>
      </c>
    </row>
    <row r="19" spans="1:29" x14ac:dyDescent="0.25">
      <c r="A19">
        <v>0.04</v>
      </c>
      <c r="B19">
        <f t="shared" si="0"/>
        <v>4</v>
      </c>
      <c r="C19">
        <v>6</v>
      </c>
      <c r="D19" t="s">
        <v>76</v>
      </c>
      <c r="E19" t="s">
        <v>77</v>
      </c>
      <c r="F19" t="s">
        <v>78</v>
      </c>
      <c r="G19">
        <v>547.9</v>
      </c>
      <c r="H19">
        <v>0</v>
      </c>
      <c r="I19">
        <v>3.44</v>
      </c>
      <c r="J19">
        <v>6.5</v>
      </c>
      <c r="K19">
        <v>0</v>
      </c>
      <c r="L19">
        <v>35.200000000000003</v>
      </c>
      <c r="M19">
        <v>38.130000000000003</v>
      </c>
      <c r="N19">
        <v>23.42</v>
      </c>
      <c r="O19">
        <v>4.97</v>
      </c>
      <c r="P19">
        <v>0.76</v>
      </c>
      <c r="Q19">
        <v>0</v>
      </c>
      <c r="R19">
        <v>2.15</v>
      </c>
      <c r="S19">
        <v>0.44</v>
      </c>
      <c r="T19">
        <v>0.41</v>
      </c>
      <c r="U19">
        <v>2.48</v>
      </c>
      <c r="V19">
        <v>8.32</v>
      </c>
      <c r="W19">
        <v>12.64</v>
      </c>
      <c r="X19">
        <v>28.91</v>
      </c>
      <c r="Y19">
        <v>178.46</v>
      </c>
      <c r="Z19">
        <v>26.11</v>
      </c>
      <c r="AA19">
        <v>8.4499999999999993</v>
      </c>
      <c r="AB19">
        <v>338.16</v>
      </c>
      <c r="AC19">
        <v>14.98</v>
      </c>
    </row>
    <row r="20" spans="1:29" x14ac:dyDescent="0.25">
      <c r="A20">
        <v>2.9100000000000001E-2</v>
      </c>
      <c r="B20">
        <f t="shared" si="0"/>
        <v>2.91</v>
      </c>
      <c r="C20">
        <v>7</v>
      </c>
      <c r="D20" t="s">
        <v>79</v>
      </c>
      <c r="E20" t="s">
        <v>80</v>
      </c>
      <c r="F20" t="s">
        <v>81</v>
      </c>
      <c r="G20">
        <v>597.29999999999995</v>
      </c>
      <c r="H20">
        <v>0</v>
      </c>
      <c r="I20">
        <v>6.4</v>
      </c>
      <c r="J20">
        <v>6.02</v>
      </c>
      <c r="K20">
        <v>0</v>
      </c>
      <c r="L20">
        <v>49.14</v>
      </c>
      <c r="M20">
        <v>28.07</v>
      </c>
      <c r="N20">
        <v>32.020000000000003</v>
      </c>
      <c r="O20">
        <v>5.28</v>
      </c>
      <c r="P20">
        <v>1.07</v>
      </c>
      <c r="Q20">
        <v>0.95</v>
      </c>
      <c r="R20">
        <v>2.94</v>
      </c>
      <c r="S20">
        <v>0.22</v>
      </c>
      <c r="T20">
        <v>1.22</v>
      </c>
      <c r="U20">
        <v>1.17</v>
      </c>
      <c r="V20">
        <v>6.27</v>
      </c>
      <c r="W20">
        <v>10.91</v>
      </c>
      <c r="X20">
        <v>20.94</v>
      </c>
      <c r="Y20">
        <v>234.92</v>
      </c>
      <c r="Z20">
        <v>15.27</v>
      </c>
      <c r="AA20">
        <v>11.87</v>
      </c>
      <c r="AB20">
        <v>448.31</v>
      </c>
      <c r="AC20">
        <v>14.98</v>
      </c>
    </row>
    <row r="21" spans="1:29" x14ac:dyDescent="0.25">
      <c r="A21">
        <v>3.15E-2</v>
      </c>
      <c r="B21">
        <f t="shared" si="0"/>
        <v>3.15</v>
      </c>
      <c r="C21">
        <v>8</v>
      </c>
      <c r="D21" t="s">
        <v>82</v>
      </c>
      <c r="E21" t="s">
        <v>83</v>
      </c>
      <c r="F21" t="s">
        <v>84</v>
      </c>
      <c r="G21">
        <v>638.57000000000005</v>
      </c>
      <c r="H21">
        <v>0</v>
      </c>
      <c r="I21">
        <v>3.44</v>
      </c>
      <c r="J21">
        <v>11.23</v>
      </c>
      <c r="K21">
        <v>1.97</v>
      </c>
      <c r="L21">
        <v>34.700000000000003</v>
      </c>
      <c r="M21">
        <v>35.619999999999997</v>
      </c>
      <c r="N21">
        <v>48.1</v>
      </c>
      <c r="O21">
        <v>6.49</v>
      </c>
      <c r="P21">
        <v>1.22</v>
      </c>
      <c r="Q21">
        <v>8.92</v>
      </c>
      <c r="R21">
        <v>2.94</v>
      </c>
      <c r="S21">
        <v>0.48</v>
      </c>
      <c r="T21">
        <v>2</v>
      </c>
      <c r="U21">
        <v>1.59</v>
      </c>
      <c r="V21">
        <v>11.73</v>
      </c>
      <c r="W21">
        <v>15.11</v>
      </c>
      <c r="X21">
        <v>13.55</v>
      </c>
      <c r="Y21">
        <v>147.21</v>
      </c>
      <c r="Z21">
        <v>0</v>
      </c>
      <c r="AA21">
        <v>6.43</v>
      </c>
      <c r="AB21">
        <v>315.42</v>
      </c>
      <c r="AC21">
        <v>14.98</v>
      </c>
    </row>
    <row r="22" spans="1:29" x14ac:dyDescent="0.25">
      <c r="A22">
        <v>2.98E-2</v>
      </c>
      <c r="B22">
        <f t="shared" si="0"/>
        <v>2.98</v>
      </c>
      <c r="C22">
        <v>9</v>
      </c>
      <c r="D22" t="s">
        <v>85</v>
      </c>
      <c r="E22" t="s">
        <v>86</v>
      </c>
      <c r="F22" t="s">
        <v>87</v>
      </c>
      <c r="G22">
        <v>789.18</v>
      </c>
      <c r="H22">
        <v>0</v>
      </c>
      <c r="I22">
        <v>5.05</v>
      </c>
      <c r="J22">
        <v>10.72</v>
      </c>
      <c r="K22">
        <v>0</v>
      </c>
      <c r="L22">
        <v>17.18</v>
      </c>
      <c r="M22">
        <v>41.89</v>
      </c>
      <c r="N22">
        <v>40.21</v>
      </c>
      <c r="O22">
        <v>6.64</v>
      </c>
      <c r="P22">
        <v>0.92</v>
      </c>
      <c r="Q22">
        <v>6.2</v>
      </c>
      <c r="R22">
        <v>2.15</v>
      </c>
      <c r="S22">
        <v>0.15</v>
      </c>
      <c r="T22">
        <v>2.78</v>
      </c>
      <c r="U22">
        <v>1.77</v>
      </c>
      <c r="V22">
        <v>10.14</v>
      </c>
      <c r="W22">
        <v>12.84</v>
      </c>
      <c r="X22">
        <v>18.13</v>
      </c>
      <c r="Y22">
        <v>210.47</v>
      </c>
      <c r="Z22">
        <v>15.27</v>
      </c>
      <c r="AA22">
        <v>7.72</v>
      </c>
      <c r="AB22">
        <v>239.27</v>
      </c>
      <c r="AC22">
        <v>14.98</v>
      </c>
    </row>
    <row r="23" spans="1:29" x14ac:dyDescent="0.25">
      <c r="A23">
        <v>3.9199999999999999E-2</v>
      </c>
      <c r="B23">
        <f t="shared" si="0"/>
        <v>3.92</v>
      </c>
      <c r="C23">
        <v>10</v>
      </c>
      <c r="D23" t="s">
        <v>88</v>
      </c>
      <c r="E23" t="s">
        <v>89</v>
      </c>
      <c r="F23" t="s">
        <v>90</v>
      </c>
      <c r="G23">
        <v>811.4</v>
      </c>
      <c r="H23">
        <v>0</v>
      </c>
      <c r="I23">
        <v>12.54</v>
      </c>
      <c r="J23">
        <v>18.920000000000002</v>
      </c>
      <c r="K23">
        <v>3.4</v>
      </c>
      <c r="L23">
        <v>42.21</v>
      </c>
      <c r="M23">
        <v>71.89</v>
      </c>
      <c r="N23">
        <v>70.55</v>
      </c>
      <c r="O23">
        <v>7.49</v>
      </c>
      <c r="P23">
        <v>1.61</v>
      </c>
      <c r="Q23">
        <v>19.66</v>
      </c>
      <c r="R23">
        <v>2.68</v>
      </c>
      <c r="S23">
        <v>1.06</v>
      </c>
      <c r="T23">
        <v>4.72</v>
      </c>
      <c r="U23">
        <v>5.16</v>
      </c>
      <c r="V23">
        <v>27.77</v>
      </c>
      <c r="W23">
        <v>19.02</v>
      </c>
      <c r="X23">
        <v>22.71</v>
      </c>
      <c r="Y23">
        <v>213.41</v>
      </c>
      <c r="Z23">
        <v>62.76</v>
      </c>
      <c r="AA23">
        <v>9.7799999999999994</v>
      </c>
      <c r="AB23">
        <v>296.45</v>
      </c>
      <c r="AC23">
        <v>28.95</v>
      </c>
    </row>
    <row r="24" spans="1:29" x14ac:dyDescent="0.25">
      <c r="A24">
        <v>2.8400000000000002E-2</v>
      </c>
      <c r="B24">
        <f t="shared" si="0"/>
        <v>2.8400000000000003</v>
      </c>
      <c r="C24">
        <v>11</v>
      </c>
      <c r="D24" t="s">
        <v>91</v>
      </c>
      <c r="E24" t="s">
        <v>92</v>
      </c>
      <c r="F24" t="s">
        <v>93</v>
      </c>
      <c r="G24">
        <v>777.72</v>
      </c>
      <c r="H24">
        <v>0</v>
      </c>
      <c r="I24">
        <v>10.73</v>
      </c>
      <c r="J24">
        <v>15.15</v>
      </c>
      <c r="K24">
        <v>6.6</v>
      </c>
      <c r="L24">
        <v>27.08</v>
      </c>
      <c r="M24">
        <v>50.03</v>
      </c>
      <c r="N24">
        <v>91.74</v>
      </c>
      <c r="O24">
        <v>8.7799999999999994</v>
      </c>
      <c r="P24">
        <v>1.84</v>
      </c>
      <c r="Q24">
        <v>12.08</v>
      </c>
      <c r="R24">
        <v>3.75</v>
      </c>
      <c r="S24">
        <v>0.98</v>
      </c>
      <c r="T24">
        <v>5.0999999999999996</v>
      </c>
      <c r="U24">
        <v>3.53</v>
      </c>
      <c r="V24">
        <v>19.28</v>
      </c>
      <c r="W24">
        <v>13.12</v>
      </c>
      <c r="X24">
        <v>27.29</v>
      </c>
      <c r="Y24">
        <v>150.62</v>
      </c>
      <c r="Z24">
        <v>76.06</v>
      </c>
      <c r="AA24">
        <v>8.9700000000000006</v>
      </c>
      <c r="AB24">
        <v>243.04</v>
      </c>
      <c r="AC24">
        <v>26.57</v>
      </c>
    </row>
    <row r="25" spans="1:29" x14ac:dyDescent="0.25">
      <c r="A25">
        <v>2.5399999999999999E-2</v>
      </c>
      <c r="B25">
        <f t="shared" si="0"/>
        <v>2.54</v>
      </c>
      <c r="C25">
        <v>12</v>
      </c>
      <c r="D25" t="s">
        <v>94</v>
      </c>
      <c r="E25" t="s">
        <v>95</v>
      </c>
      <c r="F25" t="s">
        <v>96</v>
      </c>
      <c r="G25">
        <v>431.38</v>
      </c>
      <c r="H25">
        <v>0</v>
      </c>
      <c r="I25">
        <v>6.4</v>
      </c>
      <c r="J25">
        <v>5.08</v>
      </c>
      <c r="K25">
        <v>0</v>
      </c>
      <c r="L25">
        <v>23.99</v>
      </c>
      <c r="M25">
        <v>28.07</v>
      </c>
      <c r="N25">
        <v>32.020000000000003</v>
      </c>
      <c r="O25">
        <v>5.91</v>
      </c>
      <c r="P25">
        <v>0.92</v>
      </c>
      <c r="Q25">
        <v>2.2000000000000002</v>
      </c>
      <c r="R25">
        <v>2.15</v>
      </c>
      <c r="S25">
        <v>0.59</v>
      </c>
      <c r="T25">
        <v>0.82</v>
      </c>
      <c r="U25">
        <v>1.59</v>
      </c>
      <c r="V25">
        <v>6.72</v>
      </c>
      <c r="W25">
        <v>11.88</v>
      </c>
      <c r="X25">
        <v>8.52</v>
      </c>
      <c r="Y25">
        <v>155.69</v>
      </c>
      <c r="Z25">
        <v>0</v>
      </c>
      <c r="AA25">
        <v>5.0199999999999996</v>
      </c>
      <c r="AB25">
        <v>175.78</v>
      </c>
      <c r="AC25">
        <v>11.64</v>
      </c>
    </row>
    <row r="26" spans="1:29" x14ac:dyDescent="0.25">
      <c r="A26">
        <v>2.0400000000000001E-2</v>
      </c>
      <c r="B26">
        <f t="shared" si="0"/>
        <v>2.04</v>
      </c>
      <c r="C26">
        <v>13</v>
      </c>
      <c r="D26" t="s">
        <v>97</v>
      </c>
      <c r="E26" t="s">
        <v>98</v>
      </c>
      <c r="F26" t="s">
        <v>99</v>
      </c>
      <c r="G26">
        <v>424.14</v>
      </c>
      <c r="H26">
        <v>0</v>
      </c>
      <c r="I26">
        <v>3.44</v>
      </c>
      <c r="J26">
        <v>4.16</v>
      </c>
      <c r="K26">
        <v>0</v>
      </c>
      <c r="L26">
        <v>29.12</v>
      </c>
      <c r="M26">
        <v>21.76</v>
      </c>
      <c r="N26">
        <v>23.42</v>
      </c>
      <c r="O26">
        <v>5.18</v>
      </c>
      <c r="P26">
        <v>0.76</v>
      </c>
      <c r="Q26">
        <v>0</v>
      </c>
      <c r="R26">
        <v>1.9</v>
      </c>
      <c r="S26">
        <v>0.9</v>
      </c>
      <c r="T26">
        <v>0</v>
      </c>
      <c r="U26">
        <v>0.82</v>
      </c>
      <c r="V26">
        <v>4.91</v>
      </c>
      <c r="W26">
        <v>11.19</v>
      </c>
      <c r="X26">
        <v>15.77</v>
      </c>
      <c r="Y26">
        <v>90.62</v>
      </c>
      <c r="Z26">
        <v>0</v>
      </c>
      <c r="AA26">
        <v>7.59</v>
      </c>
      <c r="AB26">
        <v>271.81</v>
      </c>
      <c r="AC26">
        <v>9.4600000000000009</v>
      </c>
    </row>
    <row r="27" spans="1:29" x14ac:dyDescent="0.25">
      <c r="A27">
        <v>3.0499999999999999E-2</v>
      </c>
      <c r="B27">
        <f t="shared" si="0"/>
        <v>3.05</v>
      </c>
      <c r="C27">
        <v>14</v>
      </c>
      <c r="D27" t="s">
        <v>100</v>
      </c>
      <c r="E27" t="s">
        <v>101</v>
      </c>
      <c r="F27" t="s">
        <v>102</v>
      </c>
      <c r="G27">
        <v>364.59</v>
      </c>
      <c r="H27">
        <v>0</v>
      </c>
      <c r="I27">
        <v>9.75</v>
      </c>
      <c r="J27">
        <v>4.3899999999999997</v>
      </c>
      <c r="K27">
        <v>0</v>
      </c>
      <c r="L27">
        <v>17.71</v>
      </c>
      <c r="M27">
        <v>30.59</v>
      </c>
      <c r="N27">
        <v>27.78</v>
      </c>
      <c r="O27">
        <v>6.33</v>
      </c>
      <c r="P27">
        <v>1.07</v>
      </c>
      <c r="Q27">
        <v>0.95</v>
      </c>
      <c r="R27">
        <v>2.41</v>
      </c>
      <c r="S27">
        <v>0.28999999999999998</v>
      </c>
      <c r="T27">
        <v>0.41</v>
      </c>
      <c r="U27">
        <v>1.41</v>
      </c>
      <c r="V27">
        <v>5.82</v>
      </c>
      <c r="W27">
        <v>11.47</v>
      </c>
      <c r="X27">
        <v>14.44</v>
      </c>
      <c r="Y27">
        <v>100.95</v>
      </c>
      <c r="Z27">
        <v>0</v>
      </c>
      <c r="AA27">
        <v>7.29</v>
      </c>
      <c r="AB27">
        <v>191.09</v>
      </c>
      <c r="AC27">
        <v>12.75</v>
      </c>
    </row>
    <row r="28" spans="1:29" x14ac:dyDescent="0.25">
      <c r="A28">
        <v>3.0499999999999999E-2</v>
      </c>
      <c r="B28">
        <f t="shared" si="0"/>
        <v>3.05</v>
      </c>
      <c r="C28">
        <v>15</v>
      </c>
      <c r="D28" t="s">
        <v>103</v>
      </c>
      <c r="E28" t="s">
        <v>104</v>
      </c>
      <c r="F28" t="s">
        <v>105</v>
      </c>
      <c r="G28">
        <v>254.15</v>
      </c>
      <c r="H28">
        <v>0</v>
      </c>
      <c r="I28">
        <v>3.44</v>
      </c>
      <c r="J28">
        <v>3.71</v>
      </c>
      <c r="K28">
        <v>0</v>
      </c>
      <c r="L28">
        <v>35.71</v>
      </c>
      <c r="M28">
        <v>33.729999999999997</v>
      </c>
      <c r="N28">
        <v>27.78</v>
      </c>
      <c r="O28">
        <v>5.6</v>
      </c>
      <c r="P28">
        <v>0.92</v>
      </c>
      <c r="Q28">
        <v>0.12</v>
      </c>
      <c r="R28">
        <v>1.9</v>
      </c>
      <c r="S28">
        <v>0.15</v>
      </c>
      <c r="T28">
        <v>0.41</v>
      </c>
      <c r="U28">
        <v>1.84</v>
      </c>
      <c r="V28">
        <v>4.91</v>
      </c>
      <c r="W28">
        <v>9.1199999999999992</v>
      </c>
      <c r="X28">
        <v>16.8</v>
      </c>
      <c r="Y28">
        <v>143.76</v>
      </c>
      <c r="Z28">
        <v>0</v>
      </c>
      <c r="AA28">
        <v>4.7699999999999996</v>
      </c>
      <c r="AB28">
        <v>145.04</v>
      </c>
      <c r="AC28">
        <v>10.54</v>
      </c>
    </row>
    <row r="29" spans="1:29" x14ac:dyDescent="0.25">
      <c r="A29">
        <v>2.1899999999999999E-2</v>
      </c>
      <c r="B29">
        <f t="shared" si="0"/>
        <v>2.19</v>
      </c>
      <c r="C29">
        <v>16</v>
      </c>
      <c r="D29" t="s">
        <v>106</v>
      </c>
      <c r="E29" t="s">
        <v>107</v>
      </c>
      <c r="F29" t="s">
        <v>108</v>
      </c>
      <c r="G29">
        <v>577.42999999999995</v>
      </c>
      <c r="H29">
        <v>0</v>
      </c>
      <c r="I29">
        <v>15.8</v>
      </c>
      <c r="J29">
        <v>7.72</v>
      </c>
      <c r="K29">
        <v>2.93</v>
      </c>
      <c r="L29">
        <v>22.95</v>
      </c>
      <c r="M29">
        <v>35.619999999999997</v>
      </c>
      <c r="N29">
        <v>36.15</v>
      </c>
      <c r="O29">
        <v>6.33</v>
      </c>
      <c r="P29">
        <v>0.92</v>
      </c>
      <c r="Q29">
        <v>0.42</v>
      </c>
      <c r="R29">
        <v>1.9</v>
      </c>
      <c r="S29">
        <v>1.06</v>
      </c>
      <c r="T29">
        <v>2.59</v>
      </c>
      <c r="U29">
        <v>4.2</v>
      </c>
      <c r="V29">
        <v>9</v>
      </c>
      <c r="W29">
        <v>9.81</v>
      </c>
      <c r="X29">
        <v>19.309999999999999</v>
      </c>
      <c r="Y29">
        <v>222.12</v>
      </c>
      <c r="Z29">
        <v>26.11</v>
      </c>
      <c r="AA29">
        <v>4.5999999999999996</v>
      </c>
      <c r="AB29">
        <v>366.49</v>
      </c>
      <c r="AC29">
        <v>16.11</v>
      </c>
    </row>
    <row r="30" spans="1:29" x14ac:dyDescent="0.25">
      <c r="A30">
        <v>2.18E-2</v>
      </c>
      <c r="B30">
        <f t="shared" si="0"/>
        <v>2.1800000000000002</v>
      </c>
      <c r="C30">
        <v>17</v>
      </c>
      <c r="D30" t="s">
        <v>109</v>
      </c>
      <c r="E30" t="s">
        <v>110</v>
      </c>
      <c r="F30" t="s">
        <v>111</v>
      </c>
      <c r="G30">
        <v>146.88</v>
      </c>
      <c r="H30">
        <v>2.5299999999999998</v>
      </c>
      <c r="I30">
        <v>0</v>
      </c>
      <c r="J30">
        <v>0</v>
      </c>
      <c r="K30">
        <v>0</v>
      </c>
      <c r="L30">
        <v>20.34</v>
      </c>
      <c r="M30">
        <v>0</v>
      </c>
      <c r="N30">
        <v>0</v>
      </c>
      <c r="O30">
        <v>0.5</v>
      </c>
      <c r="P30">
        <v>1.22</v>
      </c>
      <c r="Q30">
        <v>0</v>
      </c>
      <c r="R30">
        <v>1.39</v>
      </c>
      <c r="S30">
        <v>0</v>
      </c>
      <c r="T30">
        <v>0.41</v>
      </c>
      <c r="U30">
        <v>6.79</v>
      </c>
      <c r="V30">
        <v>1.07</v>
      </c>
      <c r="W30">
        <v>2.59</v>
      </c>
      <c r="X30">
        <v>19.16</v>
      </c>
      <c r="Y30">
        <v>420.82</v>
      </c>
      <c r="Z30">
        <v>0</v>
      </c>
      <c r="AA30">
        <v>2.5099999999999998</v>
      </c>
      <c r="AB30">
        <v>88.28</v>
      </c>
      <c r="AC30">
        <v>1.79</v>
      </c>
    </row>
    <row r="31" spans="1:29" x14ac:dyDescent="0.25">
      <c r="A31">
        <v>3.0499999999999999E-2</v>
      </c>
      <c r="B31">
        <f t="shared" si="0"/>
        <v>3.05</v>
      </c>
      <c r="C31">
        <v>18</v>
      </c>
      <c r="D31" t="s">
        <v>112</v>
      </c>
      <c r="E31" t="s">
        <v>113</v>
      </c>
      <c r="F31" t="s">
        <v>114</v>
      </c>
      <c r="G31">
        <v>868.7</v>
      </c>
      <c r="H31">
        <v>8.39</v>
      </c>
      <c r="I31">
        <v>12.54</v>
      </c>
      <c r="J31">
        <v>14.62</v>
      </c>
      <c r="K31">
        <v>14.47</v>
      </c>
      <c r="L31">
        <v>268.70999999999998</v>
      </c>
      <c r="M31">
        <v>66.28</v>
      </c>
      <c r="N31">
        <v>51.96</v>
      </c>
      <c r="O31">
        <v>7.92</v>
      </c>
      <c r="P31">
        <v>2.75</v>
      </c>
      <c r="Q31">
        <v>3.73</v>
      </c>
      <c r="R31">
        <v>2.68</v>
      </c>
      <c r="S31">
        <v>1.94</v>
      </c>
      <c r="T31">
        <v>7.39</v>
      </c>
      <c r="U31">
        <v>16.309999999999999</v>
      </c>
      <c r="V31">
        <v>12.65</v>
      </c>
      <c r="W31">
        <v>15.87</v>
      </c>
      <c r="X31">
        <v>118.45</v>
      </c>
      <c r="Y31">
        <v>2062.56</v>
      </c>
      <c r="Z31">
        <v>367.66</v>
      </c>
      <c r="AA31">
        <v>103.32</v>
      </c>
      <c r="AB31">
        <v>1291.31</v>
      </c>
      <c r="AC31">
        <v>27.76</v>
      </c>
    </row>
    <row r="32" spans="1:29" x14ac:dyDescent="0.25">
      <c r="A32">
        <v>2.0199999999999999E-2</v>
      </c>
      <c r="B32">
        <f t="shared" si="0"/>
        <v>2.02</v>
      </c>
      <c r="C32">
        <v>19</v>
      </c>
      <c r="D32" t="s">
        <v>115</v>
      </c>
      <c r="E32" t="s">
        <v>116</v>
      </c>
      <c r="F32" t="s">
        <v>117</v>
      </c>
      <c r="G32">
        <v>760.08</v>
      </c>
      <c r="H32">
        <v>5.14</v>
      </c>
      <c r="I32">
        <v>14.22</v>
      </c>
      <c r="J32">
        <v>10.97</v>
      </c>
      <c r="K32">
        <v>6.6</v>
      </c>
      <c r="L32">
        <v>88.84</v>
      </c>
      <c r="M32">
        <v>60.66</v>
      </c>
      <c r="N32">
        <v>48.1</v>
      </c>
      <c r="O32">
        <v>9.32</v>
      </c>
      <c r="P32">
        <v>1.53</v>
      </c>
      <c r="Q32">
        <v>4.9800000000000004</v>
      </c>
      <c r="R32">
        <v>3.75</v>
      </c>
      <c r="S32">
        <v>1.37</v>
      </c>
      <c r="T32">
        <v>3.17</v>
      </c>
      <c r="U32">
        <v>9.25</v>
      </c>
      <c r="V32">
        <v>13.56</v>
      </c>
      <c r="W32">
        <v>15.73</v>
      </c>
      <c r="X32">
        <v>46.6</v>
      </c>
      <c r="Y32">
        <v>772.96</v>
      </c>
      <c r="Z32">
        <v>153.63</v>
      </c>
      <c r="AA32">
        <v>25.74</v>
      </c>
      <c r="AB32">
        <v>880.88</v>
      </c>
      <c r="AC32">
        <v>31.35</v>
      </c>
    </row>
    <row r="33" spans="1:29" x14ac:dyDescent="0.25">
      <c r="A33">
        <v>3.39E-2</v>
      </c>
      <c r="B33">
        <f t="shared" si="0"/>
        <v>3.39</v>
      </c>
      <c r="C33">
        <v>20</v>
      </c>
      <c r="D33" t="s">
        <v>118</v>
      </c>
      <c r="E33" t="s">
        <v>119</v>
      </c>
      <c r="F33" t="s">
        <v>120</v>
      </c>
      <c r="G33">
        <v>1195.83</v>
      </c>
      <c r="H33">
        <v>0</v>
      </c>
      <c r="I33">
        <v>15.8</v>
      </c>
      <c r="J33">
        <v>17.559999999999999</v>
      </c>
      <c r="K33">
        <v>10.14</v>
      </c>
      <c r="L33">
        <v>63.81</v>
      </c>
      <c r="M33">
        <v>80</v>
      </c>
      <c r="N33">
        <v>68.73</v>
      </c>
      <c r="O33">
        <v>7.17</v>
      </c>
      <c r="P33">
        <v>1.84</v>
      </c>
      <c r="Q33">
        <v>14.36</v>
      </c>
      <c r="R33">
        <v>3.48</v>
      </c>
      <c r="S33">
        <v>1.37</v>
      </c>
      <c r="T33">
        <v>3.95</v>
      </c>
      <c r="U33">
        <v>10.45</v>
      </c>
      <c r="V33">
        <v>27.08</v>
      </c>
      <c r="W33">
        <v>18.61</v>
      </c>
      <c r="X33">
        <v>81.95</v>
      </c>
      <c r="Y33">
        <v>316.37</v>
      </c>
      <c r="Z33">
        <v>117.34</v>
      </c>
      <c r="AA33">
        <v>8.7899999999999991</v>
      </c>
      <c r="AB33">
        <v>1038.1500000000001</v>
      </c>
      <c r="AC33">
        <v>38.65</v>
      </c>
    </row>
    <row r="34" spans="1:29" x14ac:dyDescent="0.25">
      <c r="A34">
        <v>3.0599999999999999E-2</v>
      </c>
      <c r="B34">
        <f t="shared" si="0"/>
        <v>3.06</v>
      </c>
      <c r="C34">
        <v>21</v>
      </c>
      <c r="D34" t="s">
        <v>121</v>
      </c>
      <c r="E34" t="s">
        <v>122</v>
      </c>
      <c r="F34" t="s">
        <v>123</v>
      </c>
      <c r="G34">
        <v>647.44000000000005</v>
      </c>
      <c r="H34">
        <v>0</v>
      </c>
      <c r="I34">
        <v>10.73</v>
      </c>
      <c r="J34">
        <v>10.97</v>
      </c>
      <c r="K34">
        <v>0</v>
      </c>
      <c r="L34">
        <v>76.37</v>
      </c>
      <c r="M34">
        <v>44.4</v>
      </c>
      <c r="N34">
        <v>55.76</v>
      </c>
      <c r="O34">
        <v>9.32</v>
      </c>
      <c r="P34">
        <v>1.38</v>
      </c>
      <c r="Q34">
        <v>2.44</v>
      </c>
      <c r="R34">
        <v>3.07</v>
      </c>
      <c r="S34">
        <v>0.98</v>
      </c>
      <c r="T34">
        <v>1.22</v>
      </c>
      <c r="U34">
        <v>4.2</v>
      </c>
      <c r="V34">
        <v>12.19</v>
      </c>
      <c r="W34">
        <v>14.08</v>
      </c>
      <c r="X34">
        <v>29.35</v>
      </c>
      <c r="Y34">
        <v>213.41</v>
      </c>
      <c r="Z34">
        <v>73.680000000000007</v>
      </c>
      <c r="AA34">
        <v>11.72</v>
      </c>
      <c r="AB34">
        <v>627.76</v>
      </c>
      <c r="AC34">
        <v>23.04</v>
      </c>
    </row>
    <row r="35" spans="1:29" x14ac:dyDescent="0.25">
      <c r="A35">
        <v>2.9499999999999998E-2</v>
      </c>
      <c r="B35">
        <f t="shared" si="0"/>
        <v>2.9499999999999997</v>
      </c>
      <c r="C35">
        <v>22</v>
      </c>
      <c r="D35" t="s">
        <v>124</v>
      </c>
      <c r="E35" t="s">
        <v>125</v>
      </c>
      <c r="F35" t="s">
        <v>126</v>
      </c>
      <c r="G35">
        <v>548.85</v>
      </c>
      <c r="H35">
        <v>0</v>
      </c>
      <c r="I35">
        <v>6.4</v>
      </c>
      <c r="J35">
        <v>7.35</v>
      </c>
      <c r="K35">
        <v>0</v>
      </c>
      <c r="L35">
        <v>40.22</v>
      </c>
      <c r="M35">
        <v>43.14</v>
      </c>
      <c r="N35">
        <v>27.78</v>
      </c>
      <c r="O35">
        <v>6.01</v>
      </c>
      <c r="P35">
        <v>0.92</v>
      </c>
      <c r="Q35">
        <v>0.42</v>
      </c>
      <c r="R35">
        <v>2.15</v>
      </c>
      <c r="S35">
        <v>0.37</v>
      </c>
      <c r="T35">
        <v>1.61</v>
      </c>
      <c r="U35">
        <v>3.78</v>
      </c>
      <c r="V35">
        <v>7.86</v>
      </c>
      <c r="W35">
        <v>11.19</v>
      </c>
      <c r="X35">
        <v>24.19</v>
      </c>
      <c r="Y35">
        <v>204.54</v>
      </c>
      <c r="Z35">
        <v>54.43</v>
      </c>
      <c r="AA35">
        <v>6.78</v>
      </c>
      <c r="AB35">
        <v>254.97</v>
      </c>
      <c r="AC35">
        <v>13.86</v>
      </c>
    </row>
    <row r="36" spans="1:29" x14ac:dyDescent="0.25">
      <c r="A36">
        <v>2.1100000000000001E-2</v>
      </c>
      <c r="B36">
        <f t="shared" si="0"/>
        <v>2.11</v>
      </c>
      <c r="C36">
        <v>23</v>
      </c>
      <c r="D36" t="s">
        <v>127</v>
      </c>
      <c r="E36" t="s">
        <v>128</v>
      </c>
      <c r="F36" t="s">
        <v>129</v>
      </c>
      <c r="G36">
        <v>350.51</v>
      </c>
      <c r="H36">
        <v>0</v>
      </c>
      <c r="I36">
        <v>8.7200000000000006</v>
      </c>
      <c r="J36">
        <v>8.6999999999999993</v>
      </c>
      <c r="K36">
        <v>2.93</v>
      </c>
      <c r="L36">
        <v>73.48</v>
      </c>
      <c r="M36">
        <v>41.89</v>
      </c>
      <c r="N36">
        <v>27.78</v>
      </c>
      <c r="O36">
        <v>7.81</v>
      </c>
      <c r="P36">
        <v>1.3</v>
      </c>
      <c r="Q36">
        <v>1.21</v>
      </c>
      <c r="R36">
        <v>2.41</v>
      </c>
      <c r="S36">
        <v>0.28999999999999998</v>
      </c>
      <c r="T36">
        <v>2.39</v>
      </c>
      <c r="U36">
        <v>4.3600000000000003</v>
      </c>
      <c r="V36">
        <v>8.32</v>
      </c>
      <c r="W36">
        <v>12.15</v>
      </c>
      <c r="X36">
        <v>48.08</v>
      </c>
      <c r="Y36">
        <v>562.54999999999995</v>
      </c>
      <c r="Z36">
        <v>68.77</v>
      </c>
      <c r="AA36">
        <v>17.66</v>
      </c>
      <c r="AB36">
        <v>464.12</v>
      </c>
      <c r="AC36">
        <v>14.98</v>
      </c>
    </row>
    <row r="37" spans="1:29" x14ac:dyDescent="0.25">
      <c r="A37">
        <v>2.7699999999999999E-2</v>
      </c>
      <c r="B37">
        <f t="shared" si="0"/>
        <v>2.77</v>
      </c>
      <c r="C37">
        <v>24</v>
      </c>
      <c r="D37" t="s">
        <v>130</v>
      </c>
      <c r="E37" t="s">
        <v>131</v>
      </c>
      <c r="F37" t="s">
        <v>132</v>
      </c>
      <c r="G37">
        <v>888.77</v>
      </c>
      <c r="H37">
        <v>7.03</v>
      </c>
      <c r="I37">
        <v>12.54</v>
      </c>
      <c r="J37">
        <v>16.75</v>
      </c>
      <c r="K37">
        <v>3.87</v>
      </c>
      <c r="L37">
        <v>109.75</v>
      </c>
      <c r="M37">
        <v>66.900000000000006</v>
      </c>
      <c r="N37">
        <v>63.23</v>
      </c>
      <c r="O37">
        <v>9.1</v>
      </c>
      <c r="P37">
        <v>1.91</v>
      </c>
      <c r="Q37">
        <v>8.27</v>
      </c>
      <c r="R37">
        <v>2.94</v>
      </c>
      <c r="S37">
        <v>1.37</v>
      </c>
      <c r="T37">
        <v>3.75</v>
      </c>
      <c r="U37">
        <v>13.03</v>
      </c>
      <c r="V37">
        <v>19.28</v>
      </c>
      <c r="W37">
        <v>14.49</v>
      </c>
      <c r="X37">
        <v>65.459999999999994</v>
      </c>
      <c r="Y37">
        <v>557.69000000000005</v>
      </c>
      <c r="Z37">
        <v>185.37</v>
      </c>
      <c r="AA37">
        <v>29.39</v>
      </c>
      <c r="AB37">
        <v>560.69000000000005</v>
      </c>
      <c r="AC37">
        <v>26.57</v>
      </c>
    </row>
    <row r="38" spans="1:29" x14ac:dyDescent="0.25">
      <c r="A38">
        <v>3.0099999999999998E-2</v>
      </c>
      <c r="B38">
        <f t="shared" si="0"/>
        <v>3.01</v>
      </c>
      <c r="C38">
        <v>25</v>
      </c>
      <c r="D38" t="s">
        <v>133</v>
      </c>
      <c r="E38" t="s">
        <v>134</v>
      </c>
      <c r="F38" t="s">
        <v>135</v>
      </c>
      <c r="G38">
        <v>1589.06</v>
      </c>
      <c r="H38">
        <v>5.14</v>
      </c>
      <c r="I38">
        <v>20.079999999999998</v>
      </c>
      <c r="J38">
        <v>22.92</v>
      </c>
      <c r="K38">
        <v>14.04</v>
      </c>
      <c r="L38">
        <v>82.14</v>
      </c>
      <c r="M38">
        <v>85.61</v>
      </c>
      <c r="N38">
        <v>120.34</v>
      </c>
      <c r="O38">
        <v>12.05</v>
      </c>
      <c r="P38">
        <v>3.06</v>
      </c>
      <c r="Q38">
        <v>20.86</v>
      </c>
      <c r="R38">
        <v>6.57</v>
      </c>
      <c r="S38">
        <v>0.9</v>
      </c>
      <c r="T38">
        <v>7.96</v>
      </c>
      <c r="U38">
        <v>10.27</v>
      </c>
      <c r="V38">
        <v>34.68</v>
      </c>
      <c r="W38">
        <v>23.82</v>
      </c>
      <c r="X38">
        <v>63.69</v>
      </c>
      <c r="Y38">
        <v>378.24</v>
      </c>
      <c r="Z38">
        <v>149</v>
      </c>
      <c r="AA38">
        <v>16.309999999999999</v>
      </c>
      <c r="AB38">
        <v>1574.17</v>
      </c>
      <c r="AC38">
        <v>59.95</v>
      </c>
    </row>
    <row r="39" spans="1:29" x14ac:dyDescent="0.25">
      <c r="A39">
        <v>4.1300000000000003E-2</v>
      </c>
      <c r="B39">
        <f t="shared" si="0"/>
        <v>4.1300000000000008</v>
      </c>
      <c r="C39">
        <v>26</v>
      </c>
      <c r="D39" t="s">
        <v>136</v>
      </c>
      <c r="E39" t="s">
        <v>137</v>
      </c>
      <c r="F39" t="s">
        <v>138</v>
      </c>
      <c r="G39">
        <v>1576.14</v>
      </c>
      <c r="H39">
        <v>69.180000000000007</v>
      </c>
      <c r="I39">
        <v>20.74</v>
      </c>
      <c r="J39">
        <v>19.059999999999999</v>
      </c>
      <c r="K39">
        <v>12.75</v>
      </c>
      <c r="L39">
        <v>295.72000000000003</v>
      </c>
      <c r="M39">
        <v>85.61</v>
      </c>
      <c r="N39">
        <v>55.76</v>
      </c>
      <c r="O39">
        <v>7.49</v>
      </c>
      <c r="P39">
        <v>3.36</v>
      </c>
      <c r="Q39">
        <v>12.81</v>
      </c>
      <c r="R39">
        <v>3.48</v>
      </c>
      <c r="S39">
        <v>1.61</v>
      </c>
      <c r="T39">
        <v>5.49</v>
      </c>
      <c r="U39">
        <v>39.14</v>
      </c>
      <c r="V39">
        <v>23.64</v>
      </c>
      <c r="W39">
        <v>19.98</v>
      </c>
      <c r="X39">
        <v>514.94000000000005</v>
      </c>
      <c r="Y39">
        <v>2302.58</v>
      </c>
      <c r="Z39">
        <v>335.74</v>
      </c>
      <c r="AA39">
        <v>74.040000000000006</v>
      </c>
      <c r="AB39">
        <v>1293.44</v>
      </c>
      <c r="AC39">
        <v>44.82</v>
      </c>
    </row>
    <row r="40" spans="1:29" x14ac:dyDescent="0.25">
      <c r="A40">
        <v>2.5399999999999999E-2</v>
      </c>
      <c r="B40">
        <f t="shared" si="0"/>
        <v>2.54</v>
      </c>
      <c r="C40">
        <v>27</v>
      </c>
      <c r="D40" t="s">
        <v>139</v>
      </c>
      <c r="E40" t="s">
        <v>140</v>
      </c>
      <c r="F40" t="s">
        <v>141</v>
      </c>
      <c r="G40">
        <v>1029.6300000000001</v>
      </c>
      <c r="H40">
        <v>0</v>
      </c>
      <c r="I40">
        <v>11.65</v>
      </c>
      <c r="J40">
        <v>15.41</v>
      </c>
      <c r="K40">
        <v>1.97</v>
      </c>
      <c r="L40">
        <v>39.22</v>
      </c>
      <c r="M40">
        <v>56.91</v>
      </c>
      <c r="N40">
        <v>81.27</v>
      </c>
      <c r="O40">
        <v>7.92</v>
      </c>
      <c r="P40">
        <v>1.53</v>
      </c>
      <c r="Q40">
        <v>11.98</v>
      </c>
      <c r="R40">
        <v>2.68</v>
      </c>
      <c r="S40">
        <v>1.3</v>
      </c>
      <c r="T40">
        <v>6.25</v>
      </c>
      <c r="U40">
        <v>5.32</v>
      </c>
      <c r="V40">
        <v>19.97</v>
      </c>
      <c r="W40">
        <v>15.66</v>
      </c>
      <c r="X40">
        <v>26.84</v>
      </c>
      <c r="Y40">
        <v>381.67</v>
      </c>
      <c r="Z40">
        <v>58.23</v>
      </c>
      <c r="AA40">
        <v>7.05</v>
      </c>
      <c r="AB40">
        <v>276.68</v>
      </c>
      <c r="AC40">
        <v>27.76</v>
      </c>
    </row>
    <row r="41" spans="1:29" x14ac:dyDescent="0.25">
      <c r="A41">
        <v>2.81E-2</v>
      </c>
      <c r="B41">
        <f t="shared" si="0"/>
        <v>2.81</v>
      </c>
      <c r="C41">
        <v>28</v>
      </c>
      <c r="D41" t="s">
        <v>142</v>
      </c>
      <c r="E41" t="s">
        <v>143</v>
      </c>
      <c r="F41" t="s">
        <v>144</v>
      </c>
      <c r="G41">
        <v>1186.02</v>
      </c>
      <c r="H41">
        <v>5.14</v>
      </c>
      <c r="I41">
        <v>12.54</v>
      </c>
      <c r="J41">
        <v>14.35</v>
      </c>
      <c r="K41">
        <v>6.6</v>
      </c>
      <c r="L41">
        <v>72.52</v>
      </c>
      <c r="M41">
        <v>56.91</v>
      </c>
      <c r="N41">
        <v>44.18</v>
      </c>
      <c r="O41">
        <v>9.2100000000000009</v>
      </c>
      <c r="P41">
        <v>1.68</v>
      </c>
      <c r="Q41">
        <v>6.09</v>
      </c>
      <c r="R41">
        <v>3.75</v>
      </c>
      <c r="S41">
        <v>1.3</v>
      </c>
      <c r="T41">
        <v>3.17</v>
      </c>
      <c r="U41">
        <v>6.45</v>
      </c>
      <c r="V41">
        <v>15.39</v>
      </c>
      <c r="W41">
        <v>15.32</v>
      </c>
      <c r="X41">
        <v>130.51</v>
      </c>
      <c r="Y41">
        <v>778.05</v>
      </c>
      <c r="Z41">
        <v>180.31</v>
      </c>
      <c r="AA41">
        <v>33.28</v>
      </c>
      <c r="AB41">
        <v>837.21</v>
      </c>
      <c r="AC41">
        <v>25.39</v>
      </c>
    </row>
    <row r="42" spans="1:29" x14ac:dyDescent="0.25">
      <c r="A42">
        <v>3.1E-2</v>
      </c>
      <c r="B42">
        <f t="shared" si="0"/>
        <v>3.1</v>
      </c>
      <c r="C42">
        <v>29</v>
      </c>
      <c r="D42" t="s">
        <v>145</v>
      </c>
      <c r="E42" t="s">
        <v>146</v>
      </c>
      <c r="F42" t="s">
        <v>147</v>
      </c>
      <c r="G42">
        <v>799.98</v>
      </c>
      <c r="H42">
        <v>0</v>
      </c>
      <c r="I42">
        <v>9.75</v>
      </c>
      <c r="J42">
        <v>18.38</v>
      </c>
      <c r="K42">
        <v>2.93</v>
      </c>
      <c r="L42">
        <v>56.01</v>
      </c>
      <c r="M42">
        <v>56.91</v>
      </c>
      <c r="N42">
        <v>70.55</v>
      </c>
      <c r="O42">
        <v>9.86</v>
      </c>
      <c r="P42">
        <v>1.84</v>
      </c>
      <c r="Q42">
        <v>11.87</v>
      </c>
      <c r="R42">
        <v>3.48</v>
      </c>
      <c r="S42">
        <v>0.9</v>
      </c>
      <c r="T42">
        <v>4.33</v>
      </c>
      <c r="U42">
        <v>5.48</v>
      </c>
      <c r="V42">
        <v>18.36</v>
      </c>
      <c r="W42">
        <v>16.420000000000002</v>
      </c>
      <c r="X42">
        <v>23</v>
      </c>
      <c r="Y42">
        <v>399.77</v>
      </c>
      <c r="Z42">
        <v>92.95</v>
      </c>
      <c r="AA42">
        <v>14.06</v>
      </c>
      <c r="AB42">
        <v>281.93</v>
      </c>
      <c r="AC42">
        <v>25.39</v>
      </c>
    </row>
    <row r="43" spans="1:29" x14ac:dyDescent="0.25">
      <c r="A43">
        <v>2.9000000000000001E-2</v>
      </c>
      <c r="B43">
        <f t="shared" si="0"/>
        <v>2.9000000000000004</v>
      </c>
      <c r="C43">
        <v>31</v>
      </c>
      <c r="D43" t="s">
        <v>148</v>
      </c>
      <c r="E43" t="s">
        <v>149</v>
      </c>
      <c r="F43" t="s">
        <v>150</v>
      </c>
      <c r="G43">
        <v>837.31</v>
      </c>
      <c r="H43">
        <v>0</v>
      </c>
      <c r="I43">
        <v>17.29</v>
      </c>
      <c r="J43">
        <v>25.03</v>
      </c>
      <c r="K43">
        <v>16.170000000000002</v>
      </c>
      <c r="L43">
        <v>71.56</v>
      </c>
      <c r="M43">
        <v>88.1</v>
      </c>
      <c r="N43">
        <v>150.88999999999999</v>
      </c>
      <c r="O43">
        <v>10.29</v>
      </c>
      <c r="P43">
        <v>2.98</v>
      </c>
      <c r="Q43">
        <v>22.07</v>
      </c>
      <c r="R43">
        <v>6.28</v>
      </c>
      <c r="S43">
        <v>1.86</v>
      </c>
      <c r="T43">
        <v>10.050000000000001</v>
      </c>
      <c r="U43">
        <v>11.09</v>
      </c>
      <c r="V43">
        <v>36.53</v>
      </c>
      <c r="W43">
        <v>25.32</v>
      </c>
      <c r="X43">
        <v>43.36</v>
      </c>
      <c r="Y43">
        <v>279.55</v>
      </c>
      <c r="Z43">
        <v>109.37</v>
      </c>
      <c r="AA43">
        <v>15.38</v>
      </c>
      <c r="AB43">
        <v>672.67</v>
      </c>
      <c r="AC43">
        <v>59.95</v>
      </c>
    </row>
    <row r="44" spans="1:29" x14ac:dyDescent="0.25">
      <c r="A44">
        <v>3.6499999999999998E-2</v>
      </c>
      <c r="B44">
        <f t="shared" si="0"/>
        <v>3.65</v>
      </c>
      <c r="C44">
        <v>32</v>
      </c>
      <c r="D44" t="s">
        <v>151</v>
      </c>
      <c r="E44" t="s">
        <v>152</v>
      </c>
      <c r="F44" t="s">
        <v>153</v>
      </c>
      <c r="G44">
        <v>1654.9</v>
      </c>
      <c r="H44">
        <v>3.09</v>
      </c>
      <c r="I44">
        <v>27.96</v>
      </c>
      <c r="J44">
        <v>27.02</v>
      </c>
      <c r="K44">
        <v>12.32</v>
      </c>
      <c r="L44">
        <v>166.17</v>
      </c>
      <c r="M44">
        <v>98.07</v>
      </c>
      <c r="N44">
        <v>128.5</v>
      </c>
      <c r="O44">
        <v>8.7799999999999994</v>
      </c>
      <c r="P44">
        <v>2.75</v>
      </c>
      <c r="Q44">
        <v>20.260000000000002</v>
      </c>
      <c r="R44">
        <v>5.14</v>
      </c>
      <c r="S44">
        <v>2.2599999999999998</v>
      </c>
      <c r="T44">
        <v>17.920000000000002</v>
      </c>
      <c r="U44">
        <v>14.33</v>
      </c>
      <c r="V44">
        <v>32.380000000000003</v>
      </c>
      <c r="W44">
        <v>38.549999999999997</v>
      </c>
      <c r="X44">
        <v>92.25</v>
      </c>
      <c r="Y44">
        <v>772.96</v>
      </c>
      <c r="Z44">
        <v>256.47000000000003</v>
      </c>
      <c r="AA44">
        <v>45.55</v>
      </c>
      <c r="AB44">
        <v>1144.27</v>
      </c>
      <c r="AC44">
        <v>51.08</v>
      </c>
    </row>
    <row r="45" spans="1:29" x14ac:dyDescent="0.25">
      <c r="A45">
        <v>3.0599999999999999E-2</v>
      </c>
      <c r="B45">
        <f t="shared" si="0"/>
        <v>3.06</v>
      </c>
      <c r="C45">
        <v>33</v>
      </c>
      <c r="D45" t="s">
        <v>154</v>
      </c>
      <c r="E45" t="s">
        <v>155</v>
      </c>
      <c r="F45" t="s">
        <v>156</v>
      </c>
      <c r="G45">
        <v>1377.14</v>
      </c>
      <c r="H45">
        <v>3.62</v>
      </c>
      <c r="I45">
        <v>15.8</v>
      </c>
      <c r="J45">
        <v>18.100000000000001</v>
      </c>
      <c r="K45">
        <v>10.58</v>
      </c>
      <c r="L45">
        <v>120.15</v>
      </c>
      <c r="M45">
        <v>78.75</v>
      </c>
      <c r="N45">
        <v>88.28</v>
      </c>
      <c r="O45">
        <v>6.64</v>
      </c>
      <c r="P45">
        <v>2.6</v>
      </c>
      <c r="Q45">
        <v>11.46</v>
      </c>
      <c r="R45">
        <v>5</v>
      </c>
      <c r="S45">
        <v>1.22</v>
      </c>
      <c r="T45">
        <v>4.72</v>
      </c>
      <c r="U45">
        <v>12.23</v>
      </c>
      <c r="V45">
        <v>22.72</v>
      </c>
      <c r="W45">
        <v>16.55</v>
      </c>
      <c r="X45">
        <v>457.65</v>
      </c>
      <c r="Y45">
        <v>876.28</v>
      </c>
      <c r="Z45">
        <v>151.58000000000001</v>
      </c>
      <c r="AA45">
        <v>23.85</v>
      </c>
      <c r="AB45">
        <v>1280.7</v>
      </c>
      <c r="AC45">
        <v>43.58</v>
      </c>
    </row>
    <row r="46" spans="1:29" x14ac:dyDescent="0.25">
      <c r="A46">
        <v>4.4400000000000002E-2</v>
      </c>
      <c r="B46">
        <f t="shared" si="0"/>
        <v>4.4400000000000004</v>
      </c>
      <c r="C46">
        <v>34</v>
      </c>
      <c r="D46" t="s">
        <v>157</v>
      </c>
      <c r="E46" t="s">
        <v>158</v>
      </c>
      <c r="F46" t="s">
        <v>159</v>
      </c>
      <c r="G46">
        <v>886.24</v>
      </c>
      <c r="H46">
        <v>0</v>
      </c>
      <c r="I46">
        <v>11.65</v>
      </c>
      <c r="J46">
        <v>14.88</v>
      </c>
      <c r="K46">
        <v>4.79</v>
      </c>
      <c r="L46">
        <v>89.79</v>
      </c>
      <c r="M46">
        <v>74.39</v>
      </c>
      <c r="N46">
        <v>44.18</v>
      </c>
      <c r="O46">
        <v>6.85</v>
      </c>
      <c r="P46">
        <v>1.38</v>
      </c>
      <c r="Q46">
        <v>5.87</v>
      </c>
      <c r="R46">
        <v>3.21</v>
      </c>
      <c r="S46">
        <v>1.37</v>
      </c>
      <c r="T46">
        <v>2.78</v>
      </c>
      <c r="U46">
        <v>12.85</v>
      </c>
      <c r="V46">
        <v>16.989999999999998</v>
      </c>
      <c r="W46">
        <v>15.18</v>
      </c>
      <c r="X46">
        <v>51.32</v>
      </c>
      <c r="Y46">
        <v>344.32</v>
      </c>
      <c r="Z46">
        <v>91.56</v>
      </c>
      <c r="AA46">
        <v>6.75</v>
      </c>
      <c r="AB46">
        <v>376.26</v>
      </c>
      <c r="AC46">
        <v>36.200000000000003</v>
      </c>
    </row>
    <row r="47" spans="1:29" x14ac:dyDescent="0.25">
      <c r="A47">
        <v>4.9700000000000001E-2</v>
      </c>
      <c r="B47">
        <f t="shared" si="0"/>
        <v>4.97</v>
      </c>
      <c r="C47">
        <v>35</v>
      </c>
      <c r="D47" t="s">
        <v>160</v>
      </c>
      <c r="E47" t="s">
        <v>161</v>
      </c>
      <c r="F47" t="s">
        <v>162</v>
      </c>
      <c r="G47">
        <v>582.77</v>
      </c>
      <c r="H47">
        <v>364.52</v>
      </c>
      <c r="I47">
        <v>61.19</v>
      </c>
      <c r="J47">
        <v>32.340000000000003</v>
      </c>
      <c r="K47">
        <v>44.05</v>
      </c>
      <c r="L47">
        <v>1145.5999999999999</v>
      </c>
      <c r="M47">
        <v>196.59</v>
      </c>
      <c r="N47">
        <v>91.74</v>
      </c>
      <c r="O47">
        <v>7.6</v>
      </c>
      <c r="P47">
        <v>12.11</v>
      </c>
      <c r="Q47">
        <v>9.34</v>
      </c>
      <c r="R47">
        <v>8.32</v>
      </c>
      <c r="S47">
        <v>3.17</v>
      </c>
      <c r="T47">
        <v>28.12</v>
      </c>
      <c r="U47">
        <v>780.94</v>
      </c>
      <c r="V47">
        <v>29.62</v>
      </c>
      <c r="W47">
        <v>39.43</v>
      </c>
      <c r="X47">
        <v>780</v>
      </c>
      <c r="Y47">
        <v>16864.419999999998</v>
      </c>
      <c r="Z47">
        <v>4549.9399999999996</v>
      </c>
      <c r="AA47">
        <v>696.21</v>
      </c>
      <c r="AB47">
        <v>8372.24</v>
      </c>
      <c r="AC47">
        <v>83.94</v>
      </c>
    </row>
    <row r="48" spans="1:29" x14ac:dyDescent="0.25">
      <c r="A48">
        <v>4.24E-2</v>
      </c>
      <c r="B48">
        <f t="shared" si="0"/>
        <v>4.24</v>
      </c>
      <c r="C48">
        <v>36</v>
      </c>
      <c r="D48" t="s">
        <v>163</v>
      </c>
      <c r="E48" t="s">
        <v>164</v>
      </c>
      <c r="F48" t="s">
        <v>165</v>
      </c>
      <c r="G48">
        <v>1228.26</v>
      </c>
      <c r="H48">
        <v>176.15</v>
      </c>
      <c r="I48">
        <v>28.52</v>
      </c>
      <c r="J48">
        <v>30.46</v>
      </c>
      <c r="K48">
        <v>26.21</v>
      </c>
      <c r="L48">
        <v>425.63</v>
      </c>
      <c r="M48">
        <v>151.65</v>
      </c>
      <c r="N48">
        <v>123.61</v>
      </c>
      <c r="O48">
        <v>8.35</v>
      </c>
      <c r="P48">
        <v>4.87</v>
      </c>
      <c r="Q48">
        <v>25.74</v>
      </c>
      <c r="R48">
        <v>7.88</v>
      </c>
      <c r="S48">
        <v>2.1800000000000002</v>
      </c>
      <c r="T48">
        <v>13.81</v>
      </c>
      <c r="U48">
        <v>84.04</v>
      </c>
      <c r="V48">
        <v>38.840000000000003</v>
      </c>
      <c r="W48">
        <v>18.13</v>
      </c>
      <c r="X48">
        <v>332.5</v>
      </c>
      <c r="Y48">
        <v>2556.63</v>
      </c>
      <c r="Z48">
        <v>427.85</v>
      </c>
      <c r="AA48">
        <v>94.34</v>
      </c>
      <c r="AB48">
        <v>2126.1799999999998</v>
      </c>
      <c r="AC48">
        <v>94.52</v>
      </c>
    </row>
    <row r="49" spans="1:29" x14ac:dyDescent="0.25">
      <c r="A49">
        <v>3.2500000000000001E-2</v>
      </c>
      <c r="B49">
        <f t="shared" si="0"/>
        <v>3.25</v>
      </c>
      <c r="C49">
        <v>37</v>
      </c>
      <c r="D49" t="s">
        <v>166</v>
      </c>
      <c r="E49" t="s">
        <v>167</v>
      </c>
      <c r="F49" t="s">
        <v>168</v>
      </c>
      <c r="G49">
        <v>3055.95</v>
      </c>
      <c r="H49">
        <v>265.89</v>
      </c>
      <c r="I49">
        <v>39.5</v>
      </c>
      <c r="J49">
        <v>30.89</v>
      </c>
      <c r="K49">
        <v>55.94</v>
      </c>
      <c r="L49">
        <v>1915.28</v>
      </c>
      <c r="M49">
        <v>179.73</v>
      </c>
      <c r="N49">
        <v>118.69</v>
      </c>
      <c r="O49">
        <v>7.28</v>
      </c>
      <c r="P49">
        <v>9.25</v>
      </c>
      <c r="Q49">
        <v>14.57</v>
      </c>
      <c r="R49">
        <v>6.28</v>
      </c>
      <c r="S49">
        <v>3.17</v>
      </c>
      <c r="T49">
        <v>27.94</v>
      </c>
      <c r="U49">
        <v>94.09</v>
      </c>
      <c r="V49">
        <v>46.7</v>
      </c>
      <c r="W49">
        <v>51.66</v>
      </c>
      <c r="X49">
        <v>508.23</v>
      </c>
      <c r="Y49">
        <v>7114.26</v>
      </c>
      <c r="Z49">
        <v>1586.21</v>
      </c>
      <c r="AA49">
        <v>542.53</v>
      </c>
      <c r="AB49">
        <v>4091.72</v>
      </c>
      <c r="AC49">
        <v>63.79</v>
      </c>
    </row>
    <row r="50" spans="1:29" x14ac:dyDescent="0.25">
      <c r="A50">
        <v>2.3099999999999999E-2</v>
      </c>
      <c r="B50">
        <f t="shared" si="0"/>
        <v>2.31</v>
      </c>
      <c r="C50">
        <v>38</v>
      </c>
      <c r="D50" t="s">
        <v>169</v>
      </c>
      <c r="E50" t="s">
        <v>170</v>
      </c>
      <c r="F50" t="s">
        <v>171</v>
      </c>
      <c r="G50">
        <v>1192.77</v>
      </c>
      <c r="H50">
        <v>0</v>
      </c>
      <c r="I50">
        <v>17.29</v>
      </c>
      <c r="J50">
        <v>24.19</v>
      </c>
      <c r="K50">
        <v>9.27</v>
      </c>
      <c r="L50">
        <v>93.13</v>
      </c>
      <c r="M50">
        <v>76.88</v>
      </c>
      <c r="N50">
        <v>115.39</v>
      </c>
      <c r="O50">
        <v>10.19</v>
      </c>
      <c r="P50">
        <v>2.75</v>
      </c>
      <c r="Q50">
        <v>16.420000000000002</v>
      </c>
      <c r="R50">
        <v>4.8600000000000003</v>
      </c>
      <c r="S50">
        <v>1.37</v>
      </c>
      <c r="T50">
        <v>7.39</v>
      </c>
      <c r="U50">
        <v>10.69</v>
      </c>
      <c r="V50">
        <v>35.61</v>
      </c>
      <c r="W50">
        <v>20.53</v>
      </c>
      <c r="X50">
        <v>37.76</v>
      </c>
      <c r="Y50">
        <v>353.81</v>
      </c>
      <c r="Z50">
        <v>137.85</v>
      </c>
      <c r="AA50">
        <v>14.4</v>
      </c>
      <c r="AB50">
        <v>770.6</v>
      </c>
      <c r="AC50">
        <v>47.32</v>
      </c>
    </row>
    <row r="51" spans="1:29" x14ac:dyDescent="0.25">
      <c r="A51">
        <v>4.1500000000000002E-2</v>
      </c>
      <c r="B51">
        <f t="shared" si="0"/>
        <v>4.1500000000000004</v>
      </c>
      <c r="C51">
        <v>39</v>
      </c>
      <c r="D51" t="s">
        <v>172</v>
      </c>
      <c r="E51" t="s">
        <v>173</v>
      </c>
      <c r="F51" t="s">
        <v>174</v>
      </c>
      <c r="G51">
        <v>1003.07</v>
      </c>
      <c r="H51">
        <v>0</v>
      </c>
      <c r="I51">
        <v>18.72</v>
      </c>
      <c r="J51">
        <v>23.62</v>
      </c>
      <c r="K51">
        <v>14.04</v>
      </c>
      <c r="L51">
        <v>53.08</v>
      </c>
      <c r="M51">
        <v>72.52</v>
      </c>
      <c r="N51">
        <v>134.97</v>
      </c>
      <c r="O51">
        <v>8.35</v>
      </c>
      <c r="P51">
        <v>2.75</v>
      </c>
      <c r="Q51">
        <v>25.84</v>
      </c>
      <c r="R51">
        <v>5</v>
      </c>
      <c r="S51">
        <v>0.9</v>
      </c>
      <c r="T51">
        <v>7.77</v>
      </c>
      <c r="U51">
        <v>10</v>
      </c>
      <c r="V51">
        <v>33.76</v>
      </c>
      <c r="W51">
        <v>29.55</v>
      </c>
      <c r="X51">
        <v>27.73</v>
      </c>
      <c r="Y51">
        <v>220.68</v>
      </c>
      <c r="Z51">
        <v>103.65</v>
      </c>
      <c r="AA51">
        <v>5.92</v>
      </c>
      <c r="AB51">
        <v>476.08</v>
      </c>
      <c r="AC51">
        <v>51.08</v>
      </c>
    </row>
    <row r="52" spans="1:29" x14ac:dyDescent="0.25">
      <c r="A52">
        <v>2.9399999999999999E-2</v>
      </c>
      <c r="B52">
        <f t="shared" si="0"/>
        <v>2.94</v>
      </c>
      <c r="C52">
        <v>40</v>
      </c>
      <c r="D52" t="s">
        <v>175</v>
      </c>
      <c r="E52" t="s">
        <v>176</v>
      </c>
      <c r="F52" t="s">
        <v>177</v>
      </c>
      <c r="G52">
        <v>946.77</v>
      </c>
      <c r="H52">
        <v>76.55</v>
      </c>
      <c r="I52">
        <v>20.079999999999998</v>
      </c>
      <c r="J52">
        <v>25.45</v>
      </c>
      <c r="K52">
        <v>15.32</v>
      </c>
      <c r="L52">
        <v>418.13</v>
      </c>
      <c r="M52">
        <v>101.18</v>
      </c>
      <c r="N52">
        <v>98.6</v>
      </c>
      <c r="O52">
        <v>9.2100000000000009</v>
      </c>
      <c r="P52">
        <v>3.36</v>
      </c>
      <c r="Q52">
        <v>26.04</v>
      </c>
      <c r="R52">
        <v>5.42</v>
      </c>
      <c r="S52">
        <v>0.75</v>
      </c>
      <c r="T52">
        <v>10.8</v>
      </c>
      <c r="U52">
        <v>26.88</v>
      </c>
      <c r="V52">
        <v>35.61</v>
      </c>
      <c r="W52">
        <v>33.85</v>
      </c>
      <c r="X52">
        <v>162.59</v>
      </c>
      <c r="Y52">
        <v>2830.4</v>
      </c>
      <c r="Z52">
        <v>503.19</v>
      </c>
      <c r="AA52">
        <v>253.9</v>
      </c>
      <c r="AB52">
        <v>2902.86</v>
      </c>
      <c r="AC52">
        <v>48.57</v>
      </c>
    </row>
    <row r="53" spans="1:29" x14ac:dyDescent="0.25">
      <c r="A53">
        <v>3.5799999999999998E-2</v>
      </c>
      <c r="B53">
        <f t="shared" si="0"/>
        <v>3.58</v>
      </c>
      <c r="C53">
        <v>41</v>
      </c>
      <c r="D53" t="s">
        <v>178</v>
      </c>
      <c r="E53" t="s">
        <v>179</v>
      </c>
      <c r="F53" t="s">
        <v>180</v>
      </c>
      <c r="G53">
        <v>102.41</v>
      </c>
      <c r="H53">
        <v>0</v>
      </c>
      <c r="I53">
        <v>0</v>
      </c>
      <c r="J53">
        <v>0</v>
      </c>
      <c r="K53">
        <v>0</v>
      </c>
      <c r="L53">
        <v>39.22</v>
      </c>
      <c r="M53">
        <v>0</v>
      </c>
      <c r="N53">
        <v>0</v>
      </c>
      <c r="O53">
        <v>0.42</v>
      </c>
      <c r="P53">
        <v>1.53</v>
      </c>
      <c r="Q53">
        <v>9.1300000000000008</v>
      </c>
      <c r="R53">
        <v>0</v>
      </c>
      <c r="S53">
        <v>0</v>
      </c>
      <c r="T53">
        <v>4.33</v>
      </c>
      <c r="U53">
        <v>0</v>
      </c>
      <c r="V53">
        <v>0</v>
      </c>
      <c r="W53">
        <v>3.01</v>
      </c>
      <c r="X53">
        <v>0.8</v>
      </c>
      <c r="Y53">
        <v>114.69</v>
      </c>
      <c r="Z53">
        <v>0</v>
      </c>
      <c r="AA53">
        <v>2.17</v>
      </c>
      <c r="AB53">
        <v>31.2</v>
      </c>
      <c r="AC53">
        <v>0</v>
      </c>
    </row>
    <row r="54" spans="1:29" x14ac:dyDescent="0.25">
      <c r="A54">
        <v>2.7799999999999998E-2</v>
      </c>
      <c r="B54">
        <f t="shared" si="0"/>
        <v>2.78</v>
      </c>
      <c r="C54">
        <v>42</v>
      </c>
      <c r="D54" t="s">
        <v>181</v>
      </c>
      <c r="E54" t="s">
        <v>182</v>
      </c>
      <c r="F54" t="s">
        <v>183</v>
      </c>
      <c r="G54">
        <v>894.64</v>
      </c>
      <c r="H54">
        <v>0</v>
      </c>
      <c r="I54">
        <v>26.27</v>
      </c>
      <c r="J54">
        <v>26.73</v>
      </c>
      <c r="K54">
        <v>20.39</v>
      </c>
      <c r="L54">
        <v>115.9</v>
      </c>
      <c r="M54">
        <v>115.51</v>
      </c>
      <c r="N54">
        <v>169.61</v>
      </c>
      <c r="O54">
        <v>14.22</v>
      </c>
      <c r="P54">
        <v>4.5</v>
      </c>
      <c r="Q54">
        <v>28.41</v>
      </c>
      <c r="R54">
        <v>12.24</v>
      </c>
      <c r="S54">
        <v>1.1399999999999999</v>
      </c>
      <c r="T54">
        <v>9.2899999999999991</v>
      </c>
      <c r="U54">
        <v>14.1</v>
      </c>
      <c r="V54">
        <v>35.14</v>
      </c>
      <c r="W54">
        <v>36.85</v>
      </c>
      <c r="X54">
        <v>36.28</v>
      </c>
      <c r="Y54">
        <v>216.33</v>
      </c>
      <c r="Z54">
        <v>94.33</v>
      </c>
      <c r="AA54">
        <v>8.11</v>
      </c>
      <c r="AB54">
        <v>663.96</v>
      </c>
      <c r="AC54">
        <v>91.86</v>
      </c>
    </row>
    <row r="55" spans="1:29" x14ac:dyDescent="0.25">
      <c r="A55">
        <v>1.6899999999999998E-2</v>
      </c>
      <c r="B55">
        <f t="shared" si="0"/>
        <v>1.69</v>
      </c>
      <c r="C55">
        <v>43</v>
      </c>
      <c r="D55" t="s">
        <v>184</v>
      </c>
      <c r="E55" t="s">
        <v>185</v>
      </c>
      <c r="F55" t="s">
        <v>186</v>
      </c>
      <c r="G55">
        <v>3677.15</v>
      </c>
      <c r="H55">
        <v>1315.84</v>
      </c>
      <c r="I55">
        <v>71.510000000000005</v>
      </c>
      <c r="J55">
        <v>34.24</v>
      </c>
      <c r="K55">
        <v>62.22</v>
      </c>
      <c r="L55">
        <v>1222.22</v>
      </c>
      <c r="M55">
        <v>278.7</v>
      </c>
      <c r="N55">
        <v>150.88999999999999</v>
      </c>
      <c r="O55">
        <v>9.32</v>
      </c>
      <c r="P55">
        <v>20.22</v>
      </c>
      <c r="Q55">
        <v>9.56</v>
      </c>
      <c r="R55">
        <v>9.06</v>
      </c>
      <c r="S55">
        <v>5.96</v>
      </c>
      <c r="T55">
        <v>61.9</v>
      </c>
      <c r="U55">
        <v>333.05</v>
      </c>
      <c r="V55">
        <v>46.23</v>
      </c>
      <c r="W55">
        <v>82.34</v>
      </c>
      <c r="X55">
        <v>2463.5100000000002</v>
      </c>
      <c r="Y55">
        <v>21214.86</v>
      </c>
      <c r="Z55">
        <v>7201.29</v>
      </c>
      <c r="AA55">
        <v>1285.8399999999999</v>
      </c>
      <c r="AB55">
        <v>4390.58</v>
      </c>
      <c r="AC55">
        <v>120.75</v>
      </c>
    </row>
    <row r="56" spans="1:29" x14ac:dyDescent="0.25">
      <c r="A56">
        <v>2.2800000000000001E-2</v>
      </c>
      <c r="B56">
        <f t="shared" si="0"/>
        <v>2.2800000000000002</v>
      </c>
      <c r="C56">
        <v>44</v>
      </c>
      <c r="D56" t="s">
        <v>187</v>
      </c>
      <c r="E56" t="s">
        <v>188</v>
      </c>
      <c r="F56" t="s">
        <v>189</v>
      </c>
      <c r="G56">
        <v>1304.57</v>
      </c>
      <c r="H56">
        <v>0</v>
      </c>
      <c r="I56">
        <v>20.079999999999998</v>
      </c>
      <c r="J56">
        <v>19.88</v>
      </c>
      <c r="K56">
        <v>9.27</v>
      </c>
      <c r="L56">
        <v>48.65</v>
      </c>
      <c r="M56">
        <v>89.35</v>
      </c>
      <c r="N56">
        <v>91.74</v>
      </c>
      <c r="O56">
        <v>9.75</v>
      </c>
      <c r="P56">
        <v>2.52</v>
      </c>
      <c r="Q56">
        <v>27.42</v>
      </c>
      <c r="R56">
        <v>4.3</v>
      </c>
      <c r="S56">
        <v>1.1399999999999999</v>
      </c>
      <c r="T56">
        <v>7.96</v>
      </c>
      <c r="U56">
        <v>5.81</v>
      </c>
      <c r="V56">
        <v>35.61</v>
      </c>
      <c r="W56">
        <v>24.98</v>
      </c>
      <c r="X56">
        <v>30.38</v>
      </c>
      <c r="Y56">
        <v>275.62</v>
      </c>
      <c r="Z56">
        <v>114.92</v>
      </c>
      <c r="AA56">
        <v>10.82</v>
      </c>
      <c r="AB56">
        <v>589.05999999999995</v>
      </c>
      <c r="AC56">
        <v>51.08</v>
      </c>
    </row>
    <row r="57" spans="1:29" x14ac:dyDescent="0.25">
      <c r="A57">
        <v>2.8899999999999999E-2</v>
      </c>
      <c r="B57">
        <f t="shared" si="0"/>
        <v>2.8899999999999997</v>
      </c>
      <c r="C57">
        <v>45</v>
      </c>
      <c r="D57" t="s">
        <v>190</v>
      </c>
      <c r="E57" t="s">
        <v>191</v>
      </c>
      <c r="F57" t="s">
        <v>192</v>
      </c>
      <c r="G57">
        <v>1100.17</v>
      </c>
      <c r="H57">
        <v>0</v>
      </c>
      <c r="I57">
        <v>6.4</v>
      </c>
      <c r="J57">
        <v>20.57</v>
      </c>
      <c r="K57">
        <v>2.93</v>
      </c>
      <c r="L57">
        <v>75.41</v>
      </c>
      <c r="M57">
        <v>56.28</v>
      </c>
      <c r="N57">
        <v>88.28</v>
      </c>
      <c r="O57">
        <v>7.97</v>
      </c>
      <c r="P57">
        <v>1.68</v>
      </c>
      <c r="Q57">
        <v>15.39</v>
      </c>
      <c r="R57">
        <v>4.72</v>
      </c>
      <c r="S57">
        <v>0.15</v>
      </c>
      <c r="T57">
        <v>4.33</v>
      </c>
      <c r="U57">
        <v>5.21</v>
      </c>
      <c r="V57">
        <v>25.02</v>
      </c>
      <c r="W57">
        <v>23.47</v>
      </c>
      <c r="X57">
        <v>31.27</v>
      </c>
      <c r="Y57">
        <v>223.56</v>
      </c>
      <c r="Z57">
        <v>75.27</v>
      </c>
      <c r="AA57">
        <v>9.9600000000000009</v>
      </c>
      <c r="AB57">
        <v>506.78</v>
      </c>
      <c r="AC57">
        <v>37.42</v>
      </c>
    </row>
    <row r="58" spans="1:29" x14ac:dyDescent="0.25">
      <c r="A58">
        <v>3.73E-2</v>
      </c>
      <c r="B58">
        <f t="shared" si="0"/>
        <v>3.73</v>
      </c>
      <c r="C58">
        <v>46</v>
      </c>
      <c r="D58" t="s">
        <v>193</v>
      </c>
      <c r="E58" t="s">
        <v>194</v>
      </c>
      <c r="F58" t="s">
        <v>195</v>
      </c>
      <c r="G58">
        <v>1374.05</v>
      </c>
      <c r="H58">
        <v>86.24</v>
      </c>
      <c r="I58">
        <v>30.14</v>
      </c>
      <c r="J58">
        <v>18.649999999999999</v>
      </c>
      <c r="K58">
        <v>21.23</v>
      </c>
      <c r="L58">
        <v>449.12</v>
      </c>
      <c r="M58">
        <v>104.3</v>
      </c>
      <c r="N58">
        <v>57.65</v>
      </c>
      <c r="O58">
        <v>7.97</v>
      </c>
      <c r="P58">
        <v>3.51</v>
      </c>
      <c r="Q58">
        <v>6.53</v>
      </c>
      <c r="R58">
        <v>4.4400000000000004</v>
      </c>
      <c r="S58">
        <v>1.3</v>
      </c>
      <c r="T58">
        <v>7.77</v>
      </c>
      <c r="U58">
        <v>36.630000000000003</v>
      </c>
      <c r="V58">
        <v>19.05</v>
      </c>
      <c r="W58">
        <v>30.1</v>
      </c>
      <c r="X58">
        <v>178.77</v>
      </c>
      <c r="Y58">
        <v>2259.31</v>
      </c>
      <c r="Z58">
        <v>1037.9100000000001</v>
      </c>
      <c r="AA58">
        <v>261.62</v>
      </c>
      <c r="AB58">
        <v>5372.07</v>
      </c>
      <c r="AC58">
        <v>34.979999999999997</v>
      </c>
    </row>
    <row r="59" spans="1:29" x14ac:dyDescent="0.25">
      <c r="A59">
        <v>3.3399999999999999E-2</v>
      </c>
      <c r="B59">
        <f t="shared" si="0"/>
        <v>3.34</v>
      </c>
      <c r="C59">
        <v>47</v>
      </c>
      <c r="D59" t="s">
        <v>196</v>
      </c>
      <c r="E59" t="s">
        <v>197</v>
      </c>
      <c r="F59" t="s">
        <v>198</v>
      </c>
      <c r="G59">
        <v>1025.8699999999999</v>
      </c>
      <c r="H59">
        <v>0</v>
      </c>
      <c r="I59">
        <v>17.29</v>
      </c>
      <c r="J59">
        <v>30.02</v>
      </c>
      <c r="K59">
        <v>10.14</v>
      </c>
      <c r="L59">
        <v>58.46</v>
      </c>
      <c r="M59">
        <v>100.56</v>
      </c>
      <c r="N59">
        <v>131.74</v>
      </c>
      <c r="O59">
        <v>9.1</v>
      </c>
      <c r="P59">
        <v>2.83</v>
      </c>
      <c r="Q59">
        <v>32.909999999999997</v>
      </c>
      <c r="R59">
        <v>4.3</v>
      </c>
      <c r="S59">
        <v>0.59</v>
      </c>
      <c r="T59">
        <v>10.050000000000001</v>
      </c>
      <c r="U59">
        <v>8.9</v>
      </c>
      <c r="V59">
        <v>42.99</v>
      </c>
      <c r="W59">
        <v>39.159999999999997</v>
      </c>
      <c r="X59">
        <v>35.69</v>
      </c>
      <c r="Y59">
        <v>198.54</v>
      </c>
      <c r="Z59">
        <v>103.65</v>
      </c>
      <c r="AA59">
        <v>13.65</v>
      </c>
      <c r="AB59">
        <v>1228.98</v>
      </c>
      <c r="AC59">
        <v>53.6</v>
      </c>
    </row>
    <row r="60" spans="1:29" x14ac:dyDescent="0.25">
      <c r="A60">
        <v>3.9699999999999999E-2</v>
      </c>
      <c r="B60">
        <f t="shared" si="0"/>
        <v>3.9699999999999998</v>
      </c>
      <c r="C60">
        <v>48</v>
      </c>
      <c r="D60" t="s">
        <v>199</v>
      </c>
      <c r="E60" t="s">
        <v>200</v>
      </c>
      <c r="F60" t="s">
        <v>201</v>
      </c>
      <c r="G60">
        <v>721.85</v>
      </c>
      <c r="H60">
        <v>0</v>
      </c>
      <c r="I60">
        <v>17.29</v>
      </c>
      <c r="J60">
        <v>26.45</v>
      </c>
      <c r="K60">
        <v>10.58</v>
      </c>
      <c r="L60">
        <v>63.81</v>
      </c>
      <c r="M60">
        <v>86.86</v>
      </c>
      <c r="N60">
        <v>108.73</v>
      </c>
      <c r="O60">
        <v>8.56</v>
      </c>
      <c r="P60">
        <v>2.4500000000000002</v>
      </c>
      <c r="Q60">
        <v>25.25</v>
      </c>
      <c r="R60">
        <v>5.42</v>
      </c>
      <c r="S60">
        <v>0.82</v>
      </c>
      <c r="T60">
        <v>7.39</v>
      </c>
      <c r="U60">
        <v>11.27</v>
      </c>
      <c r="V60">
        <v>37.68</v>
      </c>
      <c r="W60">
        <v>31.8</v>
      </c>
      <c r="X60">
        <v>33.630000000000003</v>
      </c>
      <c r="Y60">
        <v>248.8</v>
      </c>
      <c r="Z60">
        <v>167.53</v>
      </c>
      <c r="AA60">
        <v>25.96</v>
      </c>
      <c r="AB60">
        <v>2094.85</v>
      </c>
      <c r="AC60">
        <v>46.07</v>
      </c>
    </row>
    <row r="61" spans="1:29" x14ac:dyDescent="0.25">
      <c r="A61">
        <v>3.44E-2</v>
      </c>
      <c r="B61">
        <f t="shared" si="0"/>
        <v>3.44</v>
      </c>
      <c r="C61">
        <v>49</v>
      </c>
      <c r="D61" t="s">
        <v>202</v>
      </c>
      <c r="E61" t="s">
        <v>203</v>
      </c>
      <c r="F61" t="s">
        <v>204</v>
      </c>
      <c r="G61">
        <v>1074.08</v>
      </c>
      <c r="H61">
        <v>184.87</v>
      </c>
      <c r="I61">
        <v>41.31</v>
      </c>
      <c r="J61">
        <v>52</v>
      </c>
      <c r="K61">
        <v>336.22</v>
      </c>
      <c r="L61">
        <v>1579.45</v>
      </c>
      <c r="M61">
        <v>196.59</v>
      </c>
      <c r="N61">
        <v>118.69</v>
      </c>
      <c r="O61">
        <v>8.67</v>
      </c>
      <c r="P61">
        <v>13.16</v>
      </c>
      <c r="Q61">
        <v>18.75</v>
      </c>
      <c r="R61">
        <v>9.81</v>
      </c>
      <c r="S61">
        <v>3.59</v>
      </c>
      <c r="T61">
        <v>25.72</v>
      </c>
      <c r="U61">
        <v>224.05</v>
      </c>
      <c r="V61">
        <v>36.99</v>
      </c>
      <c r="W61">
        <v>33.1</v>
      </c>
      <c r="X61">
        <v>391.07</v>
      </c>
      <c r="Y61">
        <v>25333.87</v>
      </c>
      <c r="Z61">
        <v>10890.76</v>
      </c>
      <c r="AA61">
        <v>3643.53</v>
      </c>
      <c r="AB61">
        <v>27920.27</v>
      </c>
      <c r="AC61">
        <v>100.52</v>
      </c>
    </row>
    <row r="62" spans="1:29" x14ac:dyDescent="0.25">
      <c r="A62">
        <v>2.4899999999999999E-2</v>
      </c>
      <c r="B62">
        <f t="shared" si="0"/>
        <v>2.4899999999999998</v>
      </c>
      <c r="C62">
        <v>50</v>
      </c>
      <c r="D62" t="s">
        <v>205</v>
      </c>
      <c r="E62" t="s">
        <v>206</v>
      </c>
      <c r="F62" t="s">
        <v>207</v>
      </c>
      <c r="G62">
        <v>635.4</v>
      </c>
      <c r="H62">
        <v>0</v>
      </c>
      <c r="I62">
        <v>3.44</v>
      </c>
      <c r="J62">
        <v>22.79</v>
      </c>
      <c r="K62">
        <v>1.49</v>
      </c>
      <c r="L62">
        <v>60.89</v>
      </c>
      <c r="M62">
        <v>65.03</v>
      </c>
      <c r="N62">
        <v>96.89</v>
      </c>
      <c r="O62">
        <v>1.04</v>
      </c>
      <c r="P62">
        <v>1.84</v>
      </c>
      <c r="Q62">
        <v>10.09</v>
      </c>
      <c r="R62">
        <v>2.41</v>
      </c>
      <c r="S62">
        <v>0.9</v>
      </c>
      <c r="T62">
        <v>11.56</v>
      </c>
      <c r="U62">
        <v>7.1</v>
      </c>
      <c r="V62">
        <v>27.77</v>
      </c>
      <c r="W62">
        <v>19.43</v>
      </c>
      <c r="X62">
        <v>69.88</v>
      </c>
      <c r="Y62">
        <v>349.08</v>
      </c>
      <c r="Z62">
        <v>141.09</v>
      </c>
      <c r="AA62">
        <v>40.47</v>
      </c>
      <c r="AB62">
        <v>842.83</v>
      </c>
      <c r="AC62">
        <v>24.8</v>
      </c>
    </row>
    <row r="63" spans="1:29" x14ac:dyDescent="0.25">
      <c r="A63">
        <v>4.0800000000000003E-2</v>
      </c>
      <c r="B63">
        <f t="shared" si="0"/>
        <v>4.08</v>
      </c>
      <c r="C63">
        <v>51</v>
      </c>
      <c r="D63" t="s">
        <v>208</v>
      </c>
      <c r="E63" t="s">
        <v>209</v>
      </c>
      <c r="F63" t="s">
        <v>210</v>
      </c>
      <c r="G63">
        <v>1962.63</v>
      </c>
      <c r="H63">
        <v>248.16</v>
      </c>
      <c r="I63">
        <v>32.75</v>
      </c>
      <c r="J63">
        <v>31.33</v>
      </c>
      <c r="K63">
        <v>27.03</v>
      </c>
      <c r="L63">
        <v>466.05</v>
      </c>
      <c r="M63">
        <v>129.22</v>
      </c>
      <c r="N63">
        <v>125.25</v>
      </c>
      <c r="O63">
        <v>9.15</v>
      </c>
      <c r="P63">
        <v>5.63</v>
      </c>
      <c r="Q63">
        <v>19.05</v>
      </c>
      <c r="R63">
        <v>6.85</v>
      </c>
      <c r="S63">
        <v>2.67</v>
      </c>
      <c r="T63">
        <v>19.04</v>
      </c>
      <c r="U63">
        <v>73.930000000000007</v>
      </c>
      <c r="V63">
        <v>49.94</v>
      </c>
      <c r="W63">
        <v>28.19</v>
      </c>
      <c r="X63">
        <v>292.5</v>
      </c>
      <c r="Y63">
        <v>3687.78</v>
      </c>
      <c r="Z63">
        <v>884.45</v>
      </c>
      <c r="AA63">
        <v>290.95</v>
      </c>
      <c r="AB63">
        <v>4621.37</v>
      </c>
      <c r="AC63">
        <v>63.79</v>
      </c>
    </row>
    <row r="64" spans="1:29" x14ac:dyDescent="0.25">
      <c r="A64">
        <v>3.6299999999999999E-2</v>
      </c>
      <c r="B64">
        <f t="shared" si="0"/>
        <v>3.63</v>
      </c>
      <c r="C64">
        <v>52</v>
      </c>
      <c r="D64" t="s">
        <v>211</v>
      </c>
      <c r="E64" t="s">
        <v>212</v>
      </c>
      <c r="F64" t="s">
        <v>213</v>
      </c>
      <c r="G64">
        <v>1411.85</v>
      </c>
      <c r="H64">
        <v>0</v>
      </c>
      <c r="I64">
        <v>10.73</v>
      </c>
      <c r="J64">
        <v>22.23</v>
      </c>
      <c r="K64">
        <v>8.83</v>
      </c>
      <c r="L64">
        <v>98.37</v>
      </c>
      <c r="M64">
        <v>88.72</v>
      </c>
      <c r="N64">
        <v>77.73</v>
      </c>
      <c r="O64">
        <v>7.6</v>
      </c>
      <c r="P64">
        <v>2.29</v>
      </c>
      <c r="Q64">
        <v>25.45</v>
      </c>
      <c r="R64">
        <v>3.21</v>
      </c>
      <c r="S64">
        <v>1.22</v>
      </c>
      <c r="T64">
        <v>3.56</v>
      </c>
      <c r="U64">
        <v>7.33</v>
      </c>
      <c r="V64">
        <v>35.369999999999997</v>
      </c>
      <c r="W64">
        <v>30.37</v>
      </c>
      <c r="X64">
        <v>32.450000000000003</v>
      </c>
      <c r="Y64">
        <v>230.69</v>
      </c>
      <c r="Z64">
        <v>101.7</v>
      </c>
      <c r="AA64">
        <v>9.76</v>
      </c>
      <c r="AB64">
        <v>581.14</v>
      </c>
      <c r="AC64">
        <v>38.65</v>
      </c>
    </row>
    <row r="65" spans="1:29" x14ac:dyDescent="0.25">
      <c r="A65">
        <v>2.58E-2</v>
      </c>
      <c r="B65">
        <f t="shared" si="0"/>
        <v>2.58</v>
      </c>
      <c r="C65">
        <v>53</v>
      </c>
      <c r="D65" t="s">
        <v>214</v>
      </c>
      <c r="E65" t="s">
        <v>215</v>
      </c>
      <c r="F65" t="s">
        <v>216</v>
      </c>
      <c r="G65">
        <v>23.71</v>
      </c>
      <c r="H65">
        <v>0</v>
      </c>
      <c r="I65">
        <v>0</v>
      </c>
      <c r="J65">
        <v>1.97</v>
      </c>
      <c r="K65">
        <v>0</v>
      </c>
      <c r="L65">
        <v>0.64</v>
      </c>
      <c r="M65">
        <v>0</v>
      </c>
      <c r="N65">
        <v>23.42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2.87</v>
      </c>
      <c r="W65">
        <v>0</v>
      </c>
      <c r="X65">
        <v>4.07</v>
      </c>
      <c r="Y65">
        <v>0</v>
      </c>
      <c r="Z65">
        <v>0</v>
      </c>
      <c r="AA65">
        <v>0.86</v>
      </c>
      <c r="AB65">
        <v>65.44</v>
      </c>
      <c r="AC65">
        <v>0</v>
      </c>
    </row>
    <row r="66" spans="1:29" x14ac:dyDescent="0.25">
      <c r="A66">
        <v>2.5899999999999999E-2</v>
      </c>
      <c r="B66">
        <f>A66*100</f>
        <v>2.59</v>
      </c>
      <c r="C66">
        <v>54</v>
      </c>
      <c r="D66" t="s">
        <v>217</v>
      </c>
      <c r="E66" t="s">
        <v>218</v>
      </c>
      <c r="F66" t="s">
        <v>219</v>
      </c>
      <c r="G66">
        <v>1137.8</v>
      </c>
      <c r="H66">
        <v>0</v>
      </c>
      <c r="I66">
        <v>17.29</v>
      </c>
      <c r="J66">
        <v>22.51</v>
      </c>
      <c r="K66">
        <v>17.02</v>
      </c>
      <c r="L66">
        <v>163.36000000000001</v>
      </c>
      <c r="M66">
        <v>88.1</v>
      </c>
      <c r="N66">
        <v>115.39</v>
      </c>
      <c r="O66">
        <v>11.28</v>
      </c>
      <c r="P66">
        <v>2.83</v>
      </c>
      <c r="Q66">
        <v>13.75</v>
      </c>
      <c r="R66">
        <v>5.14</v>
      </c>
      <c r="S66">
        <v>1.53</v>
      </c>
      <c r="T66">
        <v>6.63</v>
      </c>
      <c r="U66">
        <v>10.69</v>
      </c>
      <c r="V66">
        <v>27.77</v>
      </c>
      <c r="W66">
        <v>16.55</v>
      </c>
      <c r="X66">
        <v>110.21</v>
      </c>
      <c r="Y66">
        <v>498.95</v>
      </c>
      <c r="Z66">
        <v>214.22</v>
      </c>
      <c r="AA66">
        <v>32.75</v>
      </c>
      <c r="AB66">
        <v>2680.23</v>
      </c>
      <c r="AC66">
        <v>51.08</v>
      </c>
    </row>
    <row r="67" spans="1:29" x14ac:dyDescent="0.25">
      <c r="A67">
        <v>2.4199999999999999E-2</v>
      </c>
      <c r="B67">
        <f t="shared" si="0"/>
        <v>2.42</v>
      </c>
      <c r="C67">
        <v>55</v>
      </c>
      <c r="D67" t="s">
        <v>220</v>
      </c>
      <c r="E67" t="s">
        <v>221</v>
      </c>
      <c r="F67" t="s">
        <v>222</v>
      </c>
      <c r="G67">
        <v>839.51</v>
      </c>
      <c r="H67">
        <v>0</v>
      </c>
      <c r="I67">
        <v>12.54</v>
      </c>
      <c r="J67">
        <v>19.739999999999998</v>
      </c>
      <c r="K67">
        <v>8.83</v>
      </c>
      <c r="L67">
        <v>62.84</v>
      </c>
      <c r="M67">
        <v>70.02</v>
      </c>
      <c r="N67">
        <v>95.18</v>
      </c>
      <c r="O67">
        <v>9.9700000000000006</v>
      </c>
      <c r="P67">
        <v>2.52</v>
      </c>
      <c r="Q67">
        <v>14.88</v>
      </c>
      <c r="R67">
        <v>4.8600000000000003</v>
      </c>
      <c r="S67">
        <v>1.3</v>
      </c>
      <c r="T67">
        <v>6.63</v>
      </c>
      <c r="U67">
        <v>5.21</v>
      </c>
      <c r="V67">
        <v>25.02</v>
      </c>
      <c r="W67">
        <v>18.47</v>
      </c>
      <c r="X67">
        <v>33.92</v>
      </c>
      <c r="Y67">
        <v>307.66000000000003</v>
      </c>
      <c r="Z67">
        <v>154.13999999999999</v>
      </c>
      <c r="AA67">
        <v>25.21</v>
      </c>
      <c r="AB67">
        <v>2478.65</v>
      </c>
      <c r="AC67">
        <v>38.65</v>
      </c>
    </row>
    <row r="68" spans="1:29" x14ac:dyDescent="0.25">
      <c r="A68">
        <v>3.8300000000000001E-2</v>
      </c>
      <c r="B68">
        <f t="shared" si="0"/>
        <v>3.83</v>
      </c>
      <c r="C68">
        <v>56</v>
      </c>
      <c r="D68" t="s">
        <v>223</v>
      </c>
      <c r="E68" t="s">
        <v>224</v>
      </c>
      <c r="F68" t="s">
        <v>225</v>
      </c>
      <c r="G68">
        <v>1602.76</v>
      </c>
      <c r="H68">
        <v>178.68</v>
      </c>
      <c r="I68">
        <v>18.72</v>
      </c>
      <c r="J68">
        <v>17.29</v>
      </c>
      <c r="K68">
        <v>6.6</v>
      </c>
      <c r="L68">
        <v>178.32</v>
      </c>
      <c r="M68">
        <v>94.33</v>
      </c>
      <c r="N68">
        <v>84.79</v>
      </c>
      <c r="O68">
        <v>6.27</v>
      </c>
      <c r="P68">
        <v>2.98</v>
      </c>
      <c r="Q68">
        <v>9.77</v>
      </c>
      <c r="R68">
        <v>4.03</v>
      </c>
      <c r="S68">
        <v>0.75</v>
      </c>
      <c r="T68">
        <v>8.5299999999999994</v>
      </c>
      <c r="U68">
        <v>56.97</v>
      </c>
      <c r="V68">
        <v>25.48</v>
      </c>
      <c r="W68">
        <v>21.97</v>
      </c>
      <c r="X68">
        <v>267.87</v>
      </c>
      <c r="Y68">
        <v>1565.24</v>
      </c>
      <c r="Z68">
        <v>416.32</v>
      </c>
      <c r="AA68">
        <v>84.96</v>
      </c>
      <c r="AB68">
        <v>2313.6799999999998</v>
      </c>
      <c r="AC68">
        <v>39.880000000000003</v>
      </c>
    </row>
    <row r="69" spans="1:29" x14ac:dyDescent="0.25">
      <c r="A69">
        <v>3.4500000000000003E-2</v>
      </c>
      <c r="B69">
        <f t="shared" si="0"/>
        <v>3.45</v>
      </c>
      <c r="C69">
        <v>57</v>
      </c>
      <c r="D69" t="s">
        <v>226</v>
      </c>
      <c r="E69" t="s">
        <v>227</v>
      </c>
      <c r="F69" t="s">
        <v>228</v>
      </c>
      <c r="G69">
        <v>418.59</v>
      </c>
      <c r="H69">
        <v>8.83</v>
      </c>
      <c r="I69">
        <v>6.4</v>
      </c>
      <c r="J69">
        <v>20.29</v>
      </c>
      <c r="K69">
        <v>0</v>
      </c>
      <c r="L69">
        <v>40.71</v>
      </c>
      <c r="M69">
        <v>0</v>
      </c>
      <c r="N69">
        <v>81.27</v>
      </c>
      <c r="O69">
        <v>2.17</v>
      </c>
      <c r="P69">
        <v>1.84</v>
      </c>
      <c r="Q69">
        <v>10.09</v>
      </c>
      <c r="R69">
        <v>4.58</v>
      </c>
      <c r="S69">
        <v>0.28999999999999998</v>
      </c>
      <c r="T69">
        <v>5.87</v>
      </c>
      <c r="U69">
        <v>0</v>
      </c>
      <c r="V69">
        <v>12.65</v>
      </c>
      <c r="W69">
        <v>6.08</v>
      </c>
      <c r="X69">
        <v>180.69</v>
      </c>
      <c r="Y69">
        <v>2073.58</v>
      </c>
      <c r="Z69">
        <v>334.09</v>
      </c>
      <c r="AA69">
        <v>27.89</v>
      </c>
      <c r="AB69">
        <v>3424.35</v>
      </c>
      <c r="AC69">
        <v>25.39</v>
      </c>
    </row>
    <row r="70" spans="1:29" x14ac:dyDescent="0.25">
      <c r="A70">
        <v>5.1499999999999997E-2</v>
      </c>
      <c r="B70">
        <f t="shared" si="0"/>
        <v>5.1499999999999995</v>
      </c>
      <c r="C70">
        <v>58</v>
      </c>
      <c r="D70" t="s">
        <v>229</v>
      </c>
      <c r="E70" t="s">
        <v>230</v>
      </c>
      <c r="F70" t="s">
        <v>231</v>
      </c>
      <c r="G70">
        <v>1978</v>
      </c>
      <c r="H70">
        <v>0</v>
      </c>
      <c r="I70">
        <v>14.22</v>
      </c>
      <c r="J70">
        <v>14.22</v>
      </c>
      <c r="K70">
        <v>0</v>
      </c>
      <c r="L70">
        <v>90.74</v>
      </c>
      <c r="M70">
        <v>56.91</v>
      </c>
      <c r="N70">
        <v>50.03</v>
      </c>
      <c r="O70">
        <v>6.43</v>
      </c>
      <c r="P70">
        <v>1.68</v>
      </c>
      <c r="Q70">
        <v>6.75</v>
      </c>
      <c r="R70">
        <v>2.41</v>
      </c>
      <c r="S70">
        <v>1.53</v>
      </c>
      <c r="T70">
        <v>1.61</v>
      </c>
      <c r="U70">
        <v>6.17</v>
      </c>
      <c r="V70">
        <v>15.39</v>
      </c>
      <c r="W70">
        <v>15.59</v>
      </c>
      <c r="X70">
        <v>37.909999999999997</v>
      </c>
      <c r="Y70">
        <v>311.41000000000003</v>
      </c>
      <c r="Z70">
        <v>131.22999999999999</v>
      </c>
      <c r="AA70">
        <v>21.14</v>
      </c>
      <c r="AB70">
        <v>1695.88</v>
      </c>
      <c r="AC70">
        <v>28.95</v>
      </c>
    </row>
    <row r="71" spans="1:29" x14ac:dyDescent="0.25">
      <c r="A71">
        <v>2.8500000000000001E-2</v>
      </c>
      <c r="B71">
        <f t="shared" si="0"/>
        <v>2.85</v>
      </c>
      <c r="C71">
        <v>59</v>
      </c>
      <c r="D71" t="s">
        <v>232</v>
      </c>
      <c r="E71" t="s">
        <v>233</v>
      </c>
      <c r="F71" t="s">
        <v>234</v>
      </c>
      <c r="G71">
        <v>916.15</v>
      </c>
      <c r="H71">
        <v>0</v>
      </c>
      <c r="I71">
        <v>26.27</v>
      </c>
      <c r="J71">
        <v>17.29</v>
      </c>
      <c r="K71">
        <v>2.46</v>
      </c>
      <c r="L71">
        <v>78.3</v>
      </c>
      <c r="M71">
        <v>59.41</v>
      </c>
      <c r="N71">
        <v>81.27</v>
      </c>
      <c r="O71">
        <v>6.75</v>
      </c>
      <c r="P71">
        <v>1.84</v>
      </c>
      <c r="Q71">
        <v>5.21</v>
      </c>
      <c r="R71">
        <v>5.99</v>
      </c>
      <c r="S71">
        <v>1.3</v>
      </c>
      <c r="T71">
        <v>3.75</v>
      </c>
      <c r="U71">
        <v>7.1</v>
      </c>
      <c r="V71">
        <v>19.28</v>
      </c>
      <c r="W71">
        <v>18.34</v>
      </c>
      <c r="X71">
        <v>32.450000000000003</v>
      </c>
      <c r="Y71">
        <v>335.92</v>
      </c>
      <c r="Z71">
        <v>112.48</v>
      </c>
      <c r="AA71">
        <v>22.78</v>
      </c>
      <c r="AB71">
        <v>2224.4499999999998</v>
      </c>
      <c r="AC71">
        <v>34.979999999999997</v>
      </c>
    </row>
    <row r="72" spans="1:29" x14ac:dyDescent="0.25">
      <c r="A72">
        <v>2.86E-2</v>
      </c>
      <c r="B72">
        <f t="shared" si="0"/>
        <v>2.86</v>
      </c>
      <c r="C72">
        <v>60</v>
      </c>
      <c r="D72" t="s">
        <v>235</v>
      </c>
      <c r="E72" t="s">
        <v>236</v>
      </c>
      <c r="F72" t="s">
        <v>237</v>
      </c>
      <c r="G72">
        <v>1339.36</v>
      </c>
      <c r="H72">
        <v>68.56</v>
      </c>
      <c r="I72">
        <v>28.52</v>
      </c>
      <c r="J72">
        <v>21.67</v>
      </c>
      <c r="K72">
        <v>36.01</v>
      </c>
      <c r="L72">
        <v>169.91</v>
      </c>
      <c r="M72">
        <v>127.97</v>
      </c>
      <c r="N72">
        <v>105.37</v>
      </c>
      <c r="O72">
        <v>8.4499999999999993</v>
      </c>
      <c r="P72">
        <v>3.13</v>
      </c>
      <c r="Q72">
        <v>16.920000000000002</v>
      </c>
      <c r="R72">
        <v>4.58</v>
      </c>
      <c r="S72">
        <v>1.61</v>
      </c>
      <c r="T72">
        <v>13.25</v>
      </c>
      <c r="U72">
        <v>42.32</v>
      </c>
      <c r="V72">
        <v>26.85</v>
      </c>
      <c r="W72">
        <v>22.65</v>
      </c>
      <c r="X72">
        <v>267.43</v>
      </c>
      <c r="Y72">
        <v>2728.64</v>
      </c>
      <c r="Z72">
        <v>955.37</v>
      </c>
      <c r="AA72">
        <v>285.23</v>
      </c>
      <c r="AB72">
        <v>3947.68</v>
      </c>
      <c r="AC72">
        <v>54.86</v>
      </c>
    </row>
    <row r="73" spans="1:29" x14ac:dyDescent="0.25">
      <c r="A73">
        <v>4.7100000000000003E-2</v>
      </c>
      <c r="B73">
        <f t="shared" si="0"/>
        <v>4.71</v>
      </c>
      <c r="C73">
        <v>61</v>
      </c>
      <c r="D73" t="s">
        <v>238</v>
      </c>
      <c r="E73" t="s">
        <v>239</v>
      </c>
      <c r="F73" t="s">
        <v>240</v>
      </c>
      <c r="G73">
        <v>1611.11</v>
      </c>
      <c r="H73">
        <v>332.48</v>
      </c>
      <c r="I73">
        <v>38.58</v>
      </c>
      <c r="J73">
        <v>58.67</v>
      </c>
      <c r="K73">
        <v>115.1</v>
      </c>
      <c r="L73">
        <v>278.02</v>
      </c>
      <c r="M73">
        <v>132.94999999999999</v>
      </c>
      <c r="N73">
        <v>141.37</v>
      </c>
      <c r="O73">
        <v>8.67</v>
      </c>
      <c r="P73">
        <v>11.2</v>
      </c>
      <c r="Q73">
        <v>15.19</v>
      </c>
      <c r="R73">
        <v>8.61</v>
      </c>
      <c r="S73">
        <v>3.25</v>
      </c>
      <c r="T73">
        <v>20.53</v>
      </c>
      <c r="U73">
        <v>184.09</v>
      </c>
      <c r="V73">
        <v>32.15</v>
      </c>
      <c r="W73">
        <v>31.46</v>
      </c>
      <c r="X73">
        <v>937.93</v>
      </c>
      <c r="Y73">
        <v>6631.04</v>
      </c>
      <c r="Z73">
        <v>3174.71</v>
      </c>
      <c r="AA73">
        <v>617.42999999999995</v>
      </c>
      <c r="AB73">
        <v>12980.54</v>
      </c>
      <c r="AC73">
        <v>103.2</v>
      </c>
    </row>
    <row r="74" spans="1:29" x14ac:dyDescent="0.25">
      <c r="A74">
        <v>5.9200000000000003E-2</v>
      </c>
      <c r="B74">
        <f t="shared" si="0"/>
        <v>5.92</v>
      </c>
      <c r="C74">
        <v>62</v>
      </c>
      <c r="D74" t="s">
        <v>241</v>
      </c>
      <c r="E74" t="s">
        <v>242</v>
      </c>
      <c r="F74" t="s">
        <v>243</v>
      </c>
      <c r="G74">
        <v>573.52</v>
      </c>
      <c r="H74">
        <v>500.24</v>
      </c>
      <c r="I74">
        <v>38.58</v>
      </c>
      <c r="J74">
        <v>120.68</v>
      </c>
      <c r="K74">
        <v>2198.6</v>
      </c>
      <c r="L74">
        <v>1057.5999999999999</v>
      </c>
      <c r="M74">
        <v>266.13</v>
      </c>
      <c r="N74">
        <v>102</v>
      </c>
      <c r="O74">
        <v>7.17</v>
      </c>
      <c r="P74">
        <v>16.16</v>
      </c>
      <c r="Q74">
        <v>30.76</v>
      </c>
      <c r="R74">
        <v>11.62</v>
      </c>
      <c r="S74">
        <v>3.34</v>
      </c>
      <c r="T74">
        <v>18.11</v>
      </c>
      <c r="U74">
        <v>192.16</v>
      </c>
      <c r="V74">
        <v>34.909999999999997</v>
      </c>
      <c r="W74">
        <v>63.46</v>
      </c>
      <c r="X74">
        <v>487.39</v>
      </c>
      <c r="Y74">
        <v>0</v>
      </c>
      <c r="Z74">
        <v>24240.62</v>
      </c>
      <c r="AA74">
        <v>0</v>
      </c>
      <c r="AB74">
        <v>32425.3</v>
      </c>
      <c r="AC74">
        <v>136.47</v>
      </c>
    </row>
    <row r="75" spans="1:29" x14ac:dyDescent="0.25">
      <c r="A75">
        <v>4.8399999999999999E-2</v>
      </c>
      <c r="B75">
        <f t="shared" si="0"/>
        <v>4.84</v>
      </c>
      <c r="C75">
        <v>63</v>
      </c>
      <c r="D75" t="s">
        <v>244</v>
      </c>
      <c r="E75" t="s">
        <v>245</v>
      </c>
      <c r="F75" t="s">
        <v>246</v>
      </c>
      <c r="G75">
        <v>847.12</v>
      </c>
      <c r="H75">
        <v>5.14</v>
      </c>
      <c r="I75">
        <v>10.73</v>
      </c>
      <c r="J75">
        <v>9.4499999999999993</v>
      </c>
      <c r="K75">
        <v>3.87</v>
      </c>
      <c r="L75">
        <v>158.22</v>
      </c>
      <c r="M75">
        <v>70.64</v>
      </c>
      <c r="N75">
        <v>27.78</v>
      </c>
      <c r="O75">
        <v>5.13</v>
      </c>
      <c r="P75">
        <v>1.22</v>
      </c>
      <c r="Q75">
        <v>0.95</v>
      </c>
      <c r="R75">
        <v>2.81</v>
      </c>
      <c r="S75">
        <v>1.37</v>
      </c>
      <c r="T75">
        <v>1.22</v>
      </c>
      <c r="U75">
        <v>8.26</v>
      </c>
      <c r="V75">
        <v>11.73</v>
      </c>
      <c r="W75">
        <v>26.41</v>
      </c>
      <c r="X75">
        <v>64.28</v>
      </c>
      <c r="Y75">
        <v>236.32</v>
      </c>
      <c r="Z75">
        <v>207.44</v>
      </c>
      <c r="AA75">
        <v>29.61</v>
      </c>
      <c r="AB75">
        <v>3897.64</v>
      </c>
      <c r="AC75">
        <v>20.7</v>
      </c>
    </row>
    <row r="76" spans="1:29" x14ac:dyDescent="0.25">
      <c r="A76">
        <v>1.77E-2</v>
      </c>
      <c r="B76">
        <f t="shared" si="0"/>
        <v>1.77</v>
      </c>
      <c r="C76">
        <v>64</v>
      </c>
      <c r="D76" t="s">
        <v>247</v>
      </c>
      <c r="E76" t="s">
        <v>248</v>
      </c>
      <c r="F76" t="s">
        <v>249</v>
      </c>
      <c r="G76">
        <v>398.95</v>
      </c>
      <c r="H76">
        <v>0</v>
      </c>
      <c r="I76">
        <v>0</v>
      </c>
      <c r="J76">
        <v>9.83</v>
      </c>
      <c r="K76">
        <v>0.47</v>
      </c>
      <c r="L76">
        <v>167.11</v>
      </c>
      <c r="M76">
        <v>48.15</v>
      </c>
      <c r="N76">
        <v>63.23</v>
      </c>
      <c r="O76">
        <v>7.49</v>
      </c>
      <c r="P76">
        <v>1.22</v>
      </c>
      <c r="Q76">
        <v>3.15</v>
      </c>
      <c r="R76">
        <v>3.21</v>
      </c>
      <c r="S76">
        <v>0.28999999999999998</v>
      </c>
      <c r="T76">
        <v>4.72</v>
      </c>
      <c r="U76">
        <v>8.26</v>
      </c>
      <c r="V76">
        <v>9.23</v>
      </c>
      <c r="W76">
        <v>12.15</v>
      </c>
      <c r="X76">
        <v>26.25</v>
      </c>
      <c r="Y76">
        <v>229.27</v>
      </c>
      <c r="Z76">
        <v>142.16</v>
      </c>
      <c r="AA76">
        <v>21.67</v>
      </c>
      <c r="AB76">
        <v>710.19</v>
      </c>
      <c r="AC76">
        <v>25.39</v>
      </c>
    </row>
    <row r="77" spans="1:29" x14ac:dyDescent="0.25">
      <c r="A77">
        <v>3.5499999999999997E-2</v>
      </c>
      <c r="B77">
        <f t="shared" si="0"/>
        <v>3.55</v>
      </c>
      <c r="C77">
        <v>65</v>
      </c>
      <c r="D77" t="s">
        <v>250</v>
      </c>
      <c r="E77" t="s">
        <v>251</v>
      </c>
      <c r="F77" t="s">
        <v>252</v>
      </c>
      <c r="G77">
        <v>839.71</v>
      </c>
      <c r="H77">
        <v>0</v>
      </c>
      <c r="I77">
        <v>15.8</v>
      </c>
      <c r="J77">
        <v>12.39</v>
      </c>
      <c r="K77">
        <v>1.97</v>
      </c>
      <c r="L77">
        <v>122.99</v>
      </c>
      <c r="M77">
        <v>51.91</v>
      </c>
      <c r="N77">
        <v>44.18</v>
      </c>
      <c r="O77">
        <v>5.49</v>
      </c>
      <c r="P77">
        <v>1.22</v>
      </c>
      <c r="Q77">
        <v>3.85</v>
      </c>
      <c r="R77">
        <v>3.48</v>
      </c>
      <c r="S77">
        <v>0.82</v>
      </c>
      <c r="T77">
        <v>2</v>
      </c>
      <c r="U77">
        <v>8.7200000000000006</v>
      </c>
      <c r="V77">
        <v>12.19</v>
      </c>
      <c r="W77">
        <v>14.77</v>
      </c>
      <c r="X77">
        <v>38.049999999999997</v>
      </c>
      <c r="Y77">
        <v>216.33</v>
      </c>
      <c r="Z77">
        <v>209.15</v>
      </c>
      <c r="AA77">
        <v>35.1</v>
      </c>
      <c r="AB77">
        <v>5240.79</v>
      </c>
      <c r="AC77">
        <v>21.87</v>
      </c>
    </row>
    <row r="78" spans="1:29" x14ac:dyDescent="0.25">
      <c r="A78">
        <v>4.2099999999999999E-2</v>
      </c>
      <c r="B78">
        <f t="shared" si="0"/>
        <v>4.21</v>
      </c>
      <c r="C78">
        <v>66</v>
      </c>
      <c r="D78" t="s">
        <v>253</v>
      </c>
      <c r="E78" t="s">
        <v>254</v>
      </c>
      <c r="F78" t="s">
        <v>255</v>
      </c>
      <c r="G78">
        <v>1651.92</v>
      </c>
      <c r="H78">
        <v>48.96</v>
      </c>
      <c r="I78">
        <v>24.5</v>
      </c>
      <c r="J78">
        <v>13.04</v>
      </c>
      <c r="K78">
        <v>23.73</v>
      </c>
      <c r="L78">
        <v>635.91999999999996</v>
      </c>
      <c r="M78">
        <v>43.14</v>
      </c>
      <c r="N78">
        <v>51.96</v>
      </c>
      <c r="O78">
        <v>2.12</v>
      </c>
      <c r="P78">
        <v>6.39</v>
      </c>
      <c r="Q78">
        <v>3.5</v>
      </c>
      <c r="R78">
        <v>5.28</v>
      </c>
      <c r="S78">
        <v>2.1800000000000002</v>
      </c>
      <c r="T78">
        <v>9.67</v>
      </c>
      <c r="U78">
        <v>68.88</v>
      </c>
      <c r="V78">
        <v>9</v>
      </c>
      <c r="W78">
        <v>13.12</v>
      </c>
      <c r="X78">
        <v>185.25</v>
      </c>
      <c r="Y78">
        <v>1554.33</v>
      </c>
      <c r="Z78">
        <v>611.97</v>
      </c>
      <c r="AA78">
        <v>92.77</v>
      </c>
      <c r="AB78">
        <v>4315.6000000000004</v>
      </c>
      <c r="AC78">
        <v>26.57</v>
      </c>
    </row>
    <row r="79" spans="1:29" x14ac:dyDescent="0.25">
      <c r="A79">
        <v>4.1500000000000002E-2</v>
      </c>
      <c r="B79">
        <f t="shared" ref="B79:B100" si="1">A79*100</f>
        <v>4.1500000000000004</v>
      </c>
      <c r="C79">
        <v>67</v>
      </c>
      <c r="D79" t="s">
        <v>256</v>
      </c>
      <c r="E79" t="s">
        <v>257</v>
      </c>
      <c r="F79" t="s">
        <v>258</v>
      </c>
      <c r="G79">
        <v>472.07</v>
      </c>
      <c r="H79">
        <v>0</v>
      </c>
      <c r="I79">
        <v>6.4</v>
      </c>
      <c r="J79">
        <v>6.14</v>
      </c>
      <c r="K79">
        <v>0.99</v>
      </c>
      <c r="L79">
        <v>190.46</v>
      </c>
      <c r="M79">
        <v>61.91</v>
      </c>
      <c r="N79">
        <v>27.78</v>
      </c>
      <c r="O79">
        <v>4.67</v>
      </c>
      <c r="P79">
        <v>1.3</v>
      </c>
      <c r="Q79">
        <v>0.42</v>
      </c>
      <c r="R79">
        <v>2.41</v>
      </c>
      <c r="S79">
        <v>0.9</v>
      </c>
      <c r="T79">
        <v>0.82</v>
      </c>
      <c r="U79">
        <v>8.9600000000000009</v>
      </c>
      <c r="V79">
        <v>9.4499999999999993</v>
      </c>
      <c r="W79">
        <v>12.02</v>
      </c>
      <c r="X79">
        <v>59.86</v>
      </c>
      <c r="Y79">
        <v>129.57</v>
      </c>
      <c r="Z79">
        <v>83.66</v>
      </c>
      <c r="AA79">
        <v>10.69</v>
      </c>
      <c r="AB79">
        <v>1966.47</v>
      </c>
      <c r="AC79">
        <v>19.55</v>
      </c>
    </row>
    <row r="80" spans="1:29" x14ac:dyDescent="0.25">
      <c r="A80">
        <v>3.27E-2</v>
      </c>
      <c r="B80">
        <f t="shared" si="1"/>
        <v>3.27</v>
      </c>
      <c r="C80">
        <v>68</v>
      </c>
      <c r="D80" t="s">
        <v>259</v>
      </c>
      <c r="E80" t="s">
        <v>260</v>
      </c>
      <c r="F80" t="s">
        <v>261</v>
      </c>
      <c r="G80">
        <v>784.24</v>
      </c>
      <c r="H80">
        <v>0</v>
      </c>
      <c r="I80">
        <v>3.44</v>
      </c>
      <c r="J80">
        <v>6.5</v>
      </c>
      <c r="K80">
        <v>0</v>
      </c>
      <c r="L80">
        <v>56.01</v>
      </c>
      <c r="M80">
        <v>38.130000000000003</v>
      </c>
      <c r="N80">
        <v>23.42</v>
      </c>
      <c r="O80">
        <v>5.8</v>
      </c>
      <c r="P80">
        <v>0.76</v>
      </c>
      <c r="Q80">
        <v>0.95</v>
      </c>
      <c r="R80">
        <v>1.9</v>
      </c>
      <c r="S80">
        <v>1.22</v>
      </c>
      <c r="T80">
        <v>0.82</v>
      </c>
      <c r="U80">
        <v>3.99</v>
      </c>
      <c r="V80">
        <v>7.63</v>
      </c>
      <c r="W80">
        <v>10.91</v>
      </c>
      <c r="X80">
        <v>24.33</v>
      </c>
      <c r="Y80">
        <v>210.47</v>
      </c>
      <c r="Z80">
        <v>85.86</v>
      </c>
      <c r="AA80">
        <v>10.51</v>
      </c>
      <c r="AB80">
        <v>1688.7</v>
      </c>
      <c r="AC80">
        <v>13.86</v>
      </c>
    </row>
    <row r="81" spans="1:29" x14ac:dyDescent="0.25">
      <c r="A81">
        <v>2.8500000000000001E-2</v>
      </c>
      <c r="B81">
        <f t="shared" si="1"/>
        <v>2.85</v>
      </c>
      <c r="C81">
        <v>69</v>
      </c>
      <c r="D81" t="s">
        <v>262</v>
      </c>
      <c r="E81" t="s">
        <v>263</v>
      </c>
      <c r="F81" t="s">
        <v>264</v>
      </c>
      <c r="G81">
        <v>1090.07</v>
      </c>
      <c r="H81">
        <v>128.58000000000001</v>
      </c>
      <c r="I81">
        <v>29.61</v>
      </c>
      <c r="J81">
        <v>26.45</v>
      </c>
      <c r="K81">
        <v>85.45</v>
      </c>
      <c r="L81">
        <v>703.13</v>
      </c>
      <c r="M81">
        <v>106.79</v>
      </c>
      <c r="N81">
        <v>51.96</v>
      </c>
      <c r="O81">
        <v>5.8</v>
      </c>
      <c r="P81">
        <v>7.74</v>
      </c>
      <c r="Q81">
        <v>14.06</v>
      </c>
      <c r="R81">
        <v>3.89</v>
      </c>
      <c r="S81">
        <v>2.63</v>
      </c>
      <c r="T81">
        <v>7.77</v>
      </c>
      <c r="U81">
        <v>46.67</v>
      </c>
      <c r="V81">
        <v>21.8</v>
      </c>
      <c r="W81">
        <v>17.989999999999998</v>
      </c>
      <c r="X81">
        <v>332.65</v>
      </c>
      <c r="Y81">
        <v>2740.35</v>
      </c>
      <c r="Z81">
        <v>2961.33</v>
      </c>
      <c r="AA81">
        <v>581.33000000000004</v>
      </c>
      <c r="AB81">
        <v>11024.04</v>
      </c>
      <c r="AC81">
        <v>44.82</v>
      </c>
    </row>
    <row r="82" spans="1:29" x14ac:dyDescent="0.25">
      <c r="A82">
        <v>2.6599999999999999E-2</v>
      </c>
      <c r="B82">
        <f t="shared" si="1"/>
        <v>2.6599999999999997</v>
      </c>
      <c r="C82">
        <v>70</v>
      </c>
      <c r="D82" t="s">
        <v>265</v>
      </c>
      <c r="E82" t="s">
        <v>266</v>
      </c>
      <c r="F82" t="s">
        <v>267</v>
      </c>
      <c r="G82">
        <v>1226.94</v>
      </c>
      <c r="H82">
        <v>0</v>
      </c>
      <c r="I82">
        <v>3.44</v>
      </c>
      <c r="J82">
        <v>11.74</v>
      </c>
      <c r="K82">
        <v>0</v>
      </c>
      <c r="L82">
        <v>58.46</v>
      </c>
      <c r="M82">
        <v>46.9</v>
      </c>
      <c r="N82">
        <v>72.36</v>
      </c>
      <c r="O82">
        <v>6.7</v>
      </c>
      <c r="P82">
        <v>2.0699999999999998</v>
      </c>
      <c r="Q82">
        <v>6.31</v>
      </c>
      <c r="R82">
        <v>2.41</v>
      </c>
      <c r="S82">
        <v>0.52</v>
      </c>
      <c r="T82">
        <v>3.95</v>
      </c>
      <c r="U82">
        <v>7.33</v>
      </c>
      <c r="V82">
        <v>15.39</v>
      </c>
      <c r="W82">
        <v>13.53</v>
      </c>
      <c r="X82">
        <v>24.04</v>
      </c>
      <c r="Y82">
        <v>163.98</v>
      </c>
      <c r="Z82">
        <v>82.92</v>
      </c>
      <c r="AA82">
        <v>14.16</v>
      </c>
      <c r="AB82">
        <v>3120.93</v>
      </c>
      <c r="AC82">
        <v>33.770000000000003</v>
      </c>
    </row>
    <row r="83" spans="1:29" x14ac:dyDescent="0.25">
      <c r="A83">
        <v>3.2500000000000001E-2</v>
      </c>
      <c r="B83">
        <f t="shared" si="1"/>
        <v>3.25</v>
      </c>
      <c r="C83">
        <v>71</v>
      </c>
      <c r="D83" t="s">
        <v>268</v>
      </c>
      <c r="E83" t="s">
        <v>269</v>
      </c>
      <c r="F83" t="s">
        <v>270</v>
      </c>
      <c r="G83">
        <v>780.78</v>
      </c>
      <c r="H83">
        <v>29.82</v>
      </c>
      <c r="I83">
        <v>17.29</v>
      </c>
      <c r="J83">
        <v>15.68</v>
      </c>
      <c r="K83">
        <v>48.83</v>
      </c>
      <c r="L83">
        <v>384.87</v>
      </c>
      <c r="M83">
        <v>73.760000000000005</v>
      </c>
      <c r="N83">
        <v>32.020000000000003</v>
      </c>
      <c r="O83">
        <v>4.46</v>
      </c>
      <c r="P83">
        <v>4.72</v>
      </c>
      <c r="Q83">
        <v>2.2000000000000002</v>
      </c>
      <c r="R83">
        <v>3.75</v>
      </c>
      <c r="S83">
        <v>1.1399999999999999</v>
      </c>
      <c r="T83">
        <v>12.31</v>
      </c>
      <c r="U83">
        <v>25.34</v>
      </c>
      <c r="V83">
        <v>12.88</v>
      </c>
      <c r="W83">
        <v>14.97</v>
      </c>
      <c r="X83">
        <v>87.84</v>
      </c>
      <c r="Y83">
        <v>1176.6099999999999</v>
      </c>
      <c r="Z83">
        <v>4713.5600000000004</v>
      </c>
      <c r="AA83">
        <v>992.71</v>
      </c>
      <c r="AB83">
        <v>7983.63</v>
      </c>
      <c r="AC83">
        <v>19.55</v>
      </c>
    </row>
    <row r="84" spans="1:29" x14ac:dyDescent="0.25">
      <c r="A84">
        <v>5.1499999999999997E-2</v>
      </c>
      <c r="B84">
        <f t="shared" si="1"/>
        <v>5.1499999999999995</v>
      </c>
      <c r="C84">
        <v>72</v>
      </c>
      <c r="D84" t="s">
        <v>271</v>
      </c>
      <c r="E84" t="s">
        <v>272</v>
      </c>
      <c r="F84" t="s">
        <v>273</v>
      </c>
      <c r="G84">
        <v>1794.32</v>
      </c>
      <c r="H84">
        <v>0</v>
      </c>
      <c r="I84">
        <v>18.72</v>
      </c>
      <c r="J84">
        <v>20.02</v>
      </c>
      <c r="K84">
        <v>13.18</v>
      </c>
      <c r="L84">
        <v>675.23</v>
      </c>
      <c r="M84">
        <v>83.12</v>
      </c>
      <c r="N84">
        <v>40.21</v>
      </c>
      <c r="O84">
        <v>4.51</v>
      </c>
      <c r="P84">
        <v>2.29</v>
      </c>
      <c r="Q84">
        <v>2.08</v>
      </c>
      <c r="R84">
        <v>3.75</v>
      </c>
      <c r="S84">
        <v>1.74</v>
      </c>
      <c r="T84">
        <v>4.72</v>
      </c>
      <c r="U84">
        <v>13.72</v>
      </c>
      <c r="V84">
        <v>18.59</v>
      </c>
      <c r="W84">
        <v>15.94</v>
      </c>
      <c r="X84">
        <v>138.31</v>
      </c>
      <c r="Y84">
        <v>1129</v>
      </c>
      <c r="Z84">
        <v>418.99</v>
      </c>
      <c r="AA84">
        <v>82.47</v>
      </c>
      <c r="AB84">
        <v>17514.87</v>
      </c>
      <c r="AC84">
        <v>26.57</v>
      </c>
    </row>
    <row r="85" spans="1:29" x14ac:dyDescent="0.25">
      <c r="A85">
        <v>2.9399999999999999E-2</v>
      </c>
      <c r="B85">
        <f t="shared" si="1"/>
        <v>2.94</v>
      </c>
      <c r="C85">
        <v>73</v>
      </c>
      <c r="D85" t="s">
        <v>274</v>
      </c>
      <c r="E85" t="s">
        <v>275</v>
      </c>
      <c r="F85" t="s">
        <v>276</v>
      </c>
      <c r="G85">
        <v>1305.69</v>
      </c>
      <c r="H85">
        <v>0</v>
      </c>
      <c r="I85">
        <v>0</v>
      </c>
      <c r="J85">
        <v>6.74</v>
      </c>
      <c r="K85">
        <v>0</v>
      </c>
      <c r="L85">
        <v>26.56</v>
      </c>
      <c r="M85">
        <v>53.78</v>
      </c>
      <c r="N85">
        <v>25.61</v>
      </c>
      <c r="O85">
        <v>4.97</v>
      </c>
      <c r="P85">
        <v>1.07</v>
      </c>
      <c r="Q85">
        <v>0</v>
      </c>
      <c r="R85">
        <v>1.1499999999999999</v>
      </c>
      <c r="S85">
        <v>0.15</v>
      </c>
      <c r="T85">
        <v>0</v>
      </c>
      <c r="U85">
        <v>1.71</v>
      </c>
      <c r="V85">
        <v>4.68</v>
      </c>
      <c r="W85">
        <v>14.91</v>
      </c>
      <c r="X85">
        <v>18.72</v>
      </c>
      <c r="Y85">
        <v>226.42</v>
      </c>
      <c r="Z85">
        <v>82.92</v>
      </c>
      <c r="AA85">
        <v>10.77</v>
      </c>
      <c r="AB85">
        <v>619.33000000000004</v>
      </c>
      <c r="AC85">
        <v>17.25</v>
      </c>
    </row>
    <row r="86" spans="1:29" x14ac:dyDescent="0.25">
      <c r="A86">
        <v>2.2499999999999999E-2</v>
      </c>
      <c r="B86">
        <f t="shared" si="1"/>
        <v>2.25</v>
      </c>
      <c r="C86">
        <v>74</v>
      </c>
      <c r="D86" t="s">
        <v>277</v>
      </c>
      <c r="E86" t="s">
        <v>278</v>
      </c>
      <c r="F86" t="s">
        <v>279</v>
      </c>
      <c r="G86">
        <v>1421.49</v>
      </c>
      <c r="H86">
        <v>0</v>
      </c>
      <c r="I86">
        <v>10.73</v>
      </c>
      <c r="J86">
        <v>20.149999999999999</v>
      </c>
      <c r="K86">
        <v>3.4</v>
      </c>
      <c r="L86">
        <v>93.61</v>
      </c>
      <c r="M86">
        <v>85.61</v>
      </c>
      <c r="N86">
        <v>74.150000000000006</v>
      </c>
      <c r="O86">
        <v>9.75</v>
      </c>
      <c r="P86">
        <v>1.76</v>
      </c>
      <c r="Q86">
        <v>22.37</v>
      </c>
      <c r="R86">
        <v>3.21</v>
      </c>
      <c r="S86">
        <v>0.52</v>
      </c>
      <c r="T86">
        <v>5.0999999999999996</v>
      </c>
      <c r="U86">
        <v>8.61</v>
      </c>
      <c r="V86">
        <v>25.02</v>
      </c>
      <c r="W86">
        <v>23.34</v>
      </c>
      <c r="X86">
        <v>38.5</v>
      </c>
      <c r="Y86">
        <v>172.09</v>
      </c>
      <c r="Z86">
        <v>123.24</v>
      </c>
      <c r="AA86">
        <v>22.37</v>
      </c>
      <c r="AB86">
        <v>1175.58</v>
      </c>
      <c r="AC86">
        <v>47.32</v>
      </c>
    </row>
    <row r="87" spans="1:29" x14ac:dyDescent="0.25">
      <c r="A87">
        <v>2.6499999999999999E-2</v>
      </c>
      <c r="B87">
        <f t="shared" si="1"/>
        <v>2.65</v>
      </c>
      <c r="C87">
        <v>75</v>
      </c>
      <c r="D87" t="s">
        <v>280</v>
      </c>
      <c r="E87" t="s">
        <v>281</v>
      </c>
      <c r="F87" t="s">
        <v>282</v>
      </c>
      <c r="G87">
        <v>293.64999999999998</v>
      </c>
      <c r="H87">
        <v>0</v>
      </c>
      <c r="I87">
        <v>15.8</v>
      </c>
      <c r="J87">
        <v>14.49</v>
      </c>
      <c r="K87">
        <v>4.33</v>
      </c>
      <c r="L87">
        <v>208.64</v>
      </c>
      <c r="M87">
        <v>79.38</v>
      </c>
      <c r="N87">
        <v>48.1</v>
      </c>
      <c r="O87">
        <v>5.6</v>
      </c>
      <c r="P87">
        <v>2.29</v>
      </c>
      <c r="Q87">
        <v>10.4</v>
      </c>
      <c r="R87">
        <v>3.21</v>
      </c>
      <c r="S87">
        <v>0.52</v>
      </c>
      <c r="T87">
        <v>2.78</v>
      </c>
      <c r="U87">
        <v>12.91</v>
      </c>
      <c r="V87">
        <v>17.68</v>
      </c>
      <c r="W87">
        <v>13.81</v>
      </c>
      <c r="X87">
        <v>52.79</v>
      </c>
      <c r="Y87">
        <v>227.85</v>
      </c>
      <c r="Z87">
        <v>224.99</v>
      </c>
      <c r="AA87">
        <v>66.45</v>
      </c>
      <c r="AB87">
        <v>2319.9499999999998</v>
      </c>
      <c r="AC87">
        <v>37.42</v>
      </c>
    </row>
    <row r="88" spans="1:29" x14ac:dyDescent="0.25">
      <c r="A88">
        <v>3.78E-2</v>
      </c>
      <c r="B88">
        <f t="shared" si="1"/>
        <v>3.7800000000000002</v>
      </c>
      <c r="C88">
        <v>76</v>
      </c>
      <c r="D88" t="s">
        <v>283</v>
      </c>
      <c r="E88" t="s">
        <v>284</v>
      </c>
      <c r="F88" t="s">
        <v>285</v>
      </c>
      <c r="G88">
        <v>636.65</v>
      </c>
      <c r="H88">
        <v>0</v>
      </c>
      <c r="I88">
        <v>1.17</v>
      </c>
      <c r="J88">
        <v>8.08</v>
      </c>
      <c r="K88">
        <v>1.97</v>
      </c>
      <c r="L88">
        <v>30.14</v>
      </c>
      <c r="M88">
        <v>35.619999999999997</v>
      </c>
      <c r="N88">
        <v>25.61</v>
      </c>
      <c r="O88">
        <v>5.54</v>
      </c>
      <c r="P88">
        <v>0.99</v>
      </c>
      <c r="Q88">
        <v>3.38</v>
      </c>
      <c r="R88">
        <v>2.41</v>
      </c>
      <c r="S88">
        <v>1.26</v>
      </c>
      <c r="T88">
        <v>0</v>
      </c>
      <c r="U88">
        <v>3.32</v>
      </c>
      <c r="V88">
        <v>13.56</v>
      </c>
      <c r="W88">
        <v>14.91</v>
      </c>
      <c r="X88">
        <v>38.94</v>
      </c>
      <c r="Y88">
        <v>102.96</v>
      </c>
      <c r="Z88">
        <v>99.72</v>
      </c>
      <c r="AA88">
        <v>9.9600000000000009</v>
      </c>
      <c r="AB88">
        <v>856.34</v>
      </c>
      <c r="AC88">
        <v>13.86</v>
      </c>
    </row>
    <row r="89" spans="1:29" x14ac:dyDescent="0.25">
      <c r="A89">
        <v>3.5999999999999997E-2</v>
      </c>
      <c r="B89">
        <f t="shared" si="1"/>
        <v>3.5999999999999996</v>
      </c>
      <c r="C89">
        <v>77</v>
      </c>
      <c r="D89" t="s">
        <v>286</v>
      </c>
      <c r="E89" t="s">
        <v>287</v>
      </c>
      <c r="F89" t="s">
        <v>288</v>
      </c>
      <c r="G89">
        <v>1090.5999999999999</v>
      </c>
      <c r="H89">
        <v>0</v>
      </c>
      <c r="I89">
        <v>8.7200000000000006</v>
      </c>
      <c r="J89">
        <v>20.7</v>
      </c>
      <c r="K89">
        <v>3.87</v>
      </c>
      <c r="L89">
        <v>53.57</v>
      </c>
      <c r="M89">
        <v>75.63</v>
      </c>
      <c r="N89">
        <v>66.91</v>
      </c>
      <c r="O89">
        <v>6.43</v>
      </c>
      <c r="P89">
        <v>1.68</v>
      </c>
      <c r="Q89">
        <v>13.54</v>
      </c>
      <c r="R89">
        <v>2.68</v>
      </c>
      <c r="S89">
        <v>1.26</v>
      </c>
      <c r="T89">
        <v>5.49</v>
      </c>
      <c r="U89">
        <v>7.85</v>
      </c>
      <c r="V89">
        <v>21.8</v>
      </c>
      <c r="W89">
        <v>18.059999999999999</v>
      </c>
      <c r="X89">
        <v>44.84</v>
      </c>
      <c r="Y89">
        <v>530.16</v>
      </c>
      <c r="Z89">
        <v>113.7</v>
      </c>
      <c r="AA89">
        <v>7.05</v>
      </c>
      <c r="AB89">
        <v>667.28</v>
      </c>
      <c r="AC89">
        <v>30.15</v>
      </c>
    </row>
    <row r="90" spans="1:29" x14ac:dyDescent="0.25">
      <c r="A90">
        <v>3.85E-2</v>
      </c>
      <c r="B90">
        <f t="shared" si="1"/>
        <v>3.85</v>
      </c>
      <c r="C90">
        <v>78</v>
      </c>
      <c r="D90" t="s">
        <v>289</v>
      </c>
      <c r="E90" t="s">
        <v>290</v>
      </c>
      <c r="F90" t="s">
        <v>291</v>
      </c>
      <c r="G90">
        <v>735.05</v>
      </c>
      <c r="H90">
        <v>0</v>
      </c>
      <c r="I90">
        <v>0</v>
      </c>
      <c r="J90">
        <v>5.67</v>
      </c>
      <c r="K90">
        <v>0</v>
      </c>
      <c r="L90">
        <v>155.87</v>
      </c>
      <c r="M90">
        <v>62.53</v>
      </c>
      <c r="N90">
        <v>18.899999999999999</v>
      </c>
      <c r="O90">
        <v>5.8</v>
      </c>
      <c r="P90">
        <v>1.22</v>
      </c>
      <c r="Q90">
        <v>0.42</v>
      </c>
      <c r="R90">
        <v>2.15</v>
      </c>
      <c r="S90">
        <v>0.52</v>
      </c>
      <c r="T90">
        <v>0.82</v>
      </c>
      <c r="U90">
        <v>5.27</v>
      </c>
      <c r="V90">
        <v>8.09</v>
      </c>
      <c r="W90">
        <v>19.37</v>
      </c>
      <c r="X90">
        <v>32.15</v>
      </c>
      <c r="Y90">
        <v>147.21</v>
      </c>
      <c r="Z90">
        <v>113.09</v>
      </c>
      <c r="AA90">
        <v>9.0500000000000007</v>
      </c>
      <c r="AB90">
        <v>833.08</v>
      </c>
      <c r="AC90">
        <v>14.42</v>
      </c>
    </row>
    <row r="91" spans="1:29" x14ac:dyDescent="0.25">
      <c r="A91">
        <v>3.78E-2</v>
      </c>
      <c r="B91">
        <f t="shared" si="1"/>
        <v>3.7800000000000002</v>
      </c>
      <c r="C91">
        <v>79</v>
      </c>
      <c r="D91" t="s">
        <v>292</v>
      </c>
      <c r="E91" t="s">
        <v>293</v>
      </c>
      <c r="F91" t="s">
        <v>294</v>
      </c>
      <c r="G91">
        <v>487.55</v>
      </c>
      <c r="H91">
        <v>0</v>
      </c>
      <c r="I91">
        <v>3.44</v>
      </c>
      <c r="J91">
        <v>8.6999999999999993</v>
      </c>
      <c r="K91">
        <v>0</v>
      </c>
      <c r="L91">
        <v>99.32</v>
      </c>
      <c r="M91">
        <v>51.91</v>
      </c>
      <c r="N91">
        <v>23.42</v>
      </c>
      <c r="O91">
        <v>4.7699999999999996</v>
      </c>
      <c r="P91">
        <v>0.92</v>
      </c>
      <c r="Q91">
        <v>2.2000000000000002</v>
      </c>
      <c r="R91">
        <v>2.15</v>
      </c>
      <c r="S91">
        <v>0.44</v>
      </c>
      <c r="T91">
        <v>0.41</v>
      </c>
      <c r="U91">
        <v>9.14</v>
      </c>
      <c r="V91">
        <v>7.63</v>
      </c>
      <c r="W91">
        <v>15.32</v>
      </c>
      <c r="X91">
        <v>28.91</v>
      </c>
      <c r="Y91">
        <v>122.23</v>
      </c>
      <c r="Z91">
        <v>73.680000000000007</v>
      </c>
      <c r="AA91">
        <v>9.01</v>
      </c>
      <c r="AB91">
        <v>1090.97</v>
      </c>
      <c r="AC91">
        <v>18.399999999999999</v>
      </c>
    </row>
    <row r="92" spans="1:29" x14ac:dyDescent="0.25">
      <c r="A92">
        <v>3.5099999999999999E-2</v>
      </c>
      <c r="B92">
        <f t="shared" si="1"/>
        <v>3.51</v>
      </c>
      <c r="C92">
        <v>81</v>
      </c>
      <c r="D92" t="s">
        <v>295</v>
      </c>
      <c r="E92" t="s">
        <v>296</v>
      </c>
      <c r="F92" t="s">
        <v>297</v>
      </c>
      <c r="G92">
        <v>830.82</v>
      </c>
      <c r="H92">
        <v>0</v>
      </c>
      <c r="I92">
        <v>0</v>
      </c>
      <c r="J92">
        <v>9.1999999999999993</v>
      </c>
      <c r="K92">
        <v>0</v>
      </c>
      <c r="L92">
        <v>113.54</v>
      </c>
      <c r="M92">
        <v>47.53</v>
      </c>
      <c r="N92">
        <v>32.020000000000003</v>
      </c>
      <c r="O92">
        <v>6.22</v>
      </c>
      <c r="P92">
        <v>1.07</v>
      </c>
      <c r="Q92">
        <v>4.3</v>
      </c>
      <c r="R92">
        <v>2.41</v>
      </c>
      <c r="S92">
        <v>0.28999999999999998</v>
      </c>
      <c r="T92">
        <v>1.22</v>
      </c>
      <c r="U92">
        <v>7.36</v>
      </c>
      <c r="V92">
        <v>9.4499999999999993</v>
      </c>
      <c r="W92">
        <v>12.84</v>
      </c>
      <c r="X92">
        <v>23.3</v>
      </c>
      <c r="Y92">
        <v>180.04</v>
      </c>
      <c r="Z92">
        <v>95.7</v>
      </c>
      <c r="AA92">
        <v>7.76</v>
      </c>
      <c r="AB92">
        <v>556.97</v>
      </c>
      <c r="AC92">
        <v>17.25</v>
      </c>
    </row>
    <row r="93" spans="1:29" x14ac:dyDescent="0.25">
      <c r="A93">
        <v>4.1399999999999999E-2</v>
      </c>
      <c r="B93">
        <f t="shared" si="1"/>
        <v>4.1399999999999997</v>
      </c>
      <c r="C93">
        <v>82</v>
      </c>
      <c r="D93" t="s">
        <v>298</v>
      </c>
      <c r="E93" t="s">
        <v>299</v>
      </c>
      <c r="F93" t="s">
        <v>300</v>
      </c>
      <c r="G93">
        <v>562.46</v>
      </c>
      <c r="H93">
        <v>139.51</v>
      </c>
      <c r="I93">
        <v>12.54</v>
      </c>
      <c r="J93">
        <v>17.29</v>
      </c>
      <c r="K93">
        <v>0</v>
      </c>
      <c r="L93">
        <v>289.2</v>
      </c>
      <c r="M93">
        <v>64.400000000000006</v>
      </c>
      <c r="N93">
        <v>27.78</v>
      </c>
      <c r="O93">
        <v>4.3099999999999996</v>
      </c>
      <c r="P93">
        <v>1.84</v>
      </c>
      <c r="Q93">
        <v>4.1900000000000004</v>
      </c>
      <c r="R93">
        <v>1.03</v>
      </c>
      <c r="S93">
        <v>0.41</v>
      </c>
      <c r="T93">
        <v>8.15</v>
      </c>
      <c r="U93">
        <v>13.63</v>
      </c>
      <c r="V93">
        <v>9.91</v>
      </c>
      <c r="W93">
        <v>14.77</v>
      </c>
      <c r="X93">
        <v>478.32</v>
      </c>
      <c r="Y93">
        <v>749.9</v>
      </c>
      <c r="Z93">
        <v>197.03</v>
      </c>
      <c r="AA93">
        <v>15.05</v>
      </c>
      <c r="AB93">
        <v>1462.27</v>
      </c>
      <c r="AC93">
        <v>25.98</v>
      </c>
    </row>
    <row r="94" spans="1:29" x14ac:dyDescent="0.25">
      <c r="A94">
        <v>2.4500000000000001E-2</v>
      </c>
      <c r="B94">
        <f t="shared" si="1"/>
        <v>2.4500000000000002</v>
      </c>
      <c r="C94">
        <v>84</v>
      </c>
      <c r="D94" t="s">
        <v>301</v>
      </c>
      <c r="E94" t="s">
        <v>302</v>
      </c>
      <c r="F94" t="s">
        <v>303</v>
      </c>
      <c r="G94">
        <v>414.74</v>
      </c>
      <c r="H94">
        <v>0</v>
      </c>
      <c r="I94">
        <v>0</v>
      </c>
      <c r="J94">
        <v>7.47</v>
      </c>
      <c r="K94">
        <v>0</v>
      </c>
      <c r="L94">
        <v>52.09</v>
      </c>
      <c r="M94">
        <v>40.64</v>
      </c>
      <c r="N94">
        <v>18.899999999999999</v>
      </c>
      <c r="O94">
        <v>6.8</v>
      </c>
      <c r="P94">
        <v>0.92</v>
      </c>
      <c r="Q94">
        <v>1.71</v>
      </c>
      <c r="R94">
        <v>2.2799999999999998</v>
      </c>
      <c r="S94">
        <v>1.3</v>
      </c>
      <c r="T94">
        <v>0.82</v>
      </c>
      <c r="U94">
        <v>4.75</v>
      </c>
      <c r="V94">
        <v>9</v>
      </c>
      <c r="W94">
        <v>9.6</v>
      </c>
      <c r="X94">
        <v>27.14</v>
      </c>
      <c r="Y94">
        <v>186.29</v>
      </c>
      <c r="Z94">
        <v>112.48</v>
      </c>
      <c r="AA94">
        <v>9.48</v>
      </c>
      <c r="AB94">
        <v>903.85</v>
      </c>
      <c r="AC94">
        <v>17.25</v>
      </c>
    </row>
    <row r="95" spans="1:29" x14ac:dyDescent="0.25">
      <c r="A95">
        <v>4.3799999999999999E-2</v>
      </c>
      <c r="B95">
        <f t="shared" si="1"/>
        <v>4.38</v>
      </c>
      <c r="C95">
        <v>85</v>
      </c>
      <c r="D95" t="s">
        <v>304</v>
      </c>
      <c r="E95" t="s">
        <v>305</v>
      </c>
      <c r="F95" t="s">
        <v>306</v>
      </c>
      <c r="G95">
        <v>1500.25</v>
      </c>
      <c r="H95">
        <v>0</v>
      </c>
      <c r="I95">
        <v>11.65</v>
      </c>
      <c r="J95">
        <v>23.34</v>
      </c>
      <c r="K95">
        <v>13.61</v>
      </c>
      <c r="L95">
        <v>411.56</v>
      </c>
      <c r="M95">
        <v>76.88</v>
      </c>
      <c r="N95">
        <v>81.27</v>
      </c>
      <c r="O95">
        <v>6.64</v>
      </c>
      <c r="P95">
        <v>1.38</v>
      </c>
      <c r="Q95">
        <v>25.84</v>
      </c>
      <c r="R95">
        <v>3.21</v>
      </c>
      <c r="S95">
        <v>1.37</v>
      </c>
      <c r="T95">
        <v>3.95</v>
      </c>
      <c r="U95">
        <v>9.52</v>
      </c>
      <c r="V95">
        <v>36.53</v>
      </c>
      <c r="W95">
        <v>26.75</v>
      </c>
      <c r="X95">
        <v>44.25</v>
      </c>
      <c r="Y95">
        <v>159.03</v>
      </c>
      <c r="Z95">
        <v>189</v>
      </c>
      <c r="AA95">
        <v>26.16</v>
      </c>
      <c r="AB95">
        <v>2700.85</v>
      </c>
      <c r="AC95">
        <v>36.200000000000003</v>
      </c>
    </row>
    <row r="96" spans="1:29" x14ac:dyDescent="0.25">
      <c r="A96">
        <v>3.5099999999999999E-2</v>
      </c>
      <c r="B96">
        <f t="shared" si="1"/>
        <v>3.51</v>
      </c>
      <c r="C96">
        <v>86</v>
      </c>
      <c r="D96" t="s">
        <v>307</v>
      </c>
      <c r="E96" t="s">
        <v>308</v>
      </c>
      <c r="F96" t="s">
        <v>309</v>
      </c>
      <c r="G96">
        <v>543.72</v>
      </c>
      <c r="H96">
        <v>0</v>
      </c>
      <c r="I96">
        <v>0</v>
      </c>
      <c r="J96">
        <v>3.71</v>
      </c>
      <c r="K96">
        <v>0</v>
      </c>
      <c r="L96">
        <v>54.06</v>
      </c>
      <c r="M96">
        <v>4.5199999999999996</v>
      </c>
      <c r="N96">
        <v>18.899999999999999</v>
      </c>
      <c r="O96">
        <v>3.3</v>
      </c>
      <c r="P96">
        <v>0.61</v>
      </c>
      <c r="Q96">
        <v>0</v>
      </c>
      <c r="R96">
        <v>1.1499999999999999</v>
      </c>
      <c r="S96">
        <v>0.44</v>
      </c>
      <c r="T96">
        <v>0</v>
      </c>
      <c r="U96">
        <v>1.66</v>
      </c>
      <c r="V96">
        <v>4.91</v>
      </c>
      <c r="W96">
        <v>8.57</v>
      </c>
      <c r="X96">
        <v>42.77</v>
      </c>
      <c r="Y96">
        <v>213.41</v>
      </c>
      <c r="Z96">
        <v>82.92</v>
      </c>
      <c r="AA96">
        <v>16.55</v>
      </c>
      <c r="AB96">
        <v>1207.1099999999999</v>
      </c>
      <c r="AC96">
        <v>10.54</v>
      </c>
    </row>
    <row r="97" spans="1:29" x14ac:dyDescent="0.25">
      <c r="A97">
        <v>5.4199999999999998E-2</v>
      </c>
      <c r="B97">
        <f t="shared" si="1"/>
        <v>5.42</v>
      </c>
      <c r="C97">
        <v>87</v>
      </c>
      <c r="D97" t="s">
        <v>310</v>
      </c>
      <c r="E97" t="s">
        <v>311</v>
      </c>
      <c r="F97" t="s">
        <v>312</v>
      </c>
      <c r="G97">
        <v>224.02</v>
      </c>
      <c r="H97">
        <v>0</v>
      </c>
      <c r="I97">
        <v>0</v>
      </c>
      <c r="J97">
        <v>20.29</v>
      </c>
      <c r="K97">
        <v>3.87</v>
      </c>
      <c r="L97">
        <v>173.65</v>
      </c>
      <c r="M97">
        <v>66.900000000000006</v>
      </c>
      <c r="N97">
        <v>55.76</v>
      </c>
      <c r="O97">
        <v>4.7699999999999996</v>
      </c>
      <c r="P97">
        <v>1.38</v>
      </c>
      <c r="Q97">
        <v>4.9800000000000004</v>
      </c>
      <c r="R97">
        <v>1.1499999999999999</v>
      </c>
      <c r="S97">
        <v>0.56000000000000005</v>
      </c>
      <c r="T97">
        <v>3.75</v>
      </c>
      <c r="U97">
        <v>7.02</v>
      </c>
      <c r="V97">
        <v>20.89</v>
      </c>
      <c r="W97">
        <v>17.79</v>
      </c>
      <c r="X97">
        <v>83.13</v>
      </c>
      <c r="Y97">
        <v>167.24</v>
      </c>
      <c r="Z97">
        <v>21.14</v>
      </c>
      <c r="AA97">
        <v>1.26</v>
      </c>
      <c r="AB97">
        <v>908.25</v>
      </c>
      <c r="AC97">
        <v>26.57</v>
      </c>
    </row>
    <row r="98" spans="1:29" x14ac:dyDescent="0.25">
      <c r="A98">
        <v>0.04</v>
      </c>
      <c r="B98">
        <f t="shared" si="1"/>
        <v>4</v>
      </c>
      <c r="C98">
        <v>88</v>
      </c>
      <c r="D98" t="s">
        <v>313</v>
      </c>
      <c r="E98" t="s">
        <v>314</v>
      </c>
      <c r="F98" t="s">
        <v>315</v>
      </c>
      <c r="G98">
        <v>646.17999999999995</v>
      </c>
      <c r="H98">
        <v>0</v>
      </c>
      <c r="I98">
        <v>0</v>
      </c>
      <c r="J98">
        <v>8.9499999999999993</v>
      </c>
      <c r="K98">
        <v>0</v>
      </c>
      <c r="L98">
        <v>121.1</v>
      </c>
      <c r="M98">
        <v>48.15</v>
      </c>
      <c r="N98">
        <v>46.15</v>
      </c>
      <c r="O98">
        <v>5.7</v>
      </c>
      <c r="P98">
        <v>1.68</v>
      </c>
      <c r="Q98">
        <v>2.68</v>
      </c>
      <c r="R98">
        <v>0.91</v>
      </c>
      <c r="S98">
        <v>1.65</v>
      </c>
      <c r="T98">
        <v>0</v>
      </c>
      <c r="U98">
        <v>5.81</v>
      </c>
      <c r="V98">
        <v>8.5399999999999991</v>
      </c>
      <c r="W98">
        <v>11.4</v>
      </c>
      <c r="X98">
        <v>26.25</v>
      </c>
      <c r="Y98">
        <v>180.04</v>
      </c>
      <c r="Z98">
        <v>65.38</v>
      </c>
      <c r="AA98">
        <v>9.74</v>
      </c>
      <c r="AB98">
        <v>1064.58</v>
      </c>
      <c r="AC98">
        <v>12.75</v>
      </c>
    </row>
    <row r="99" spans="1:29" x14ac:dyDescent="0.25">
      <c r="A99">
        <v>3.3799999999999997E-2</v>
      </c>
      <c r="B99">
        <f t="shared" si="1"/>
        <v>3.38</v>
      </c>
      <c r="C99">
        <v>89</v>
      </c>
      <c r="D99" t="s">
        <v>316</v>
      </c>
      <c r="E99" t="s">
        <v>317</v>
      </c>
      <c r="F99" t="s">
        <v>318</v>
      </c>
      <c r="G99">
        <v>1040.93</v>
      </c>
      <c r="H99">
        <v>0</v>
      </c>
      <c r="I99">
        <v>10.73</v>
      </c>
      <c r="J99">
        <v>14.35</v>
      </c>
      <c r="K99">
        <v>0</v>
      </c>
      <c r="L99">
        <v>57.97</v>
      </c>
      <c r="M99">
        <v>53.16</v>
      </c>
      <c r="N99">
        <v>32.020000000000003</v>
      </c>
      <c r="O99">
        <v>6.8</v>
      </c>
      <c r="P99">
        <v>1.53</v>
      </c>
      <c r="Q99">
        <v>3.15</v>
      </c>
      <c r="R99">
        <v>2.68</v>
      </c>
      <c r="S99">
        <v>0.37</v>
      </c>
      <c r="T99">
        <v>2.78</v>
      </c>
      <c r="U99">
        <v>9.19</v>
      </c>
      <c r="V99">
        <v>11.73</v>
      </c>
      <c r="W99">
        <v>13.12</v>
      </c>
      <c r="X99">
        <v>149.93</v>
      </c>
      <c r="Y99">
        <v>206.03</v>
      </c>
      <c r="Z99">
        <v>117.34</v>
      </c>
      <c r="AA99">
        <v>14.84</v>
      </c>
      <c r="AB99">
        <v>1602.67</v>
      </c>
      <c r="AC99">
        <v>19.55</v>
      </c>
    </row>
    <row r="100" spans="1:29" x14ac:dyDescent="0.25">
      <c r="A100">
        <v>3.9100000000000003E-2</v>
      </c>
      <c r="B100">
        <f t="shared" si="1"/>
        <v>3.91</v>
      </c>
      <c r="C100">
        <v>90</v>
      </c>
      <c r="D100" t="s">
        <v>319</v>
      </c>
      <c r="E100" t="s">
        <v>320</v>
      </c>
      <c r="F100" t="s">
        <v>321</v>
      </c>
      <c r="G100">
        <v>840.71</v>
      </c>
      <c r="H100">
        <v>0</v>
      </c>
      <c r="I100">
        <v>14.22</v>
      </c>
      <c r="J100">
        <v>26.16</v>
      </c>
      <c r="K100">
        <v>8.3800000000000008</v>
      </c>
      <c r="L100">
        <v>166.17</v>
      </c>
      <c r="M100">
        <v>100.56</v>
      </c>
      <c r="N100">
        <v>63.23</v>
      </c>
      <c r="O100">
        <v>6.85</v>
      </c>
      <c r="P100">
        <v>1.99</v>
      </c>
      <c r="Q100">
        <v>35.729999999999997</v>
      </c>
      <c r="R100">
        <v>3.75</v>
      </c>
      <c r="S100">
        <v>0.75</v>
      </c>
      <c r="T100">
        <v>7.01</v>
      </c>
      <c r="U100">
        <v>12.13</v>
      </c>
      <c r="V100">
        <v>33.299999999999997</v>
      </c>
      <c r="W100">
        <v>40.049999999999997</v>
      </c>
      <c r="X100">
        <v>82.54</v>
      </c>
      <c r="Y100">
        <v>354.99</v>
      </c>
      <c r="Z100">
        <v>140.01</v>
      </c>
      <c r="AA100">
        <v>15.96</v>
      </c>
      <c r="AB100">
        <v>1589.97</v>
      </c>
      <c r="AC100">
        <v>42.34</v>
      </c>
    </row>
    <row r="102" spans="1:29" x14ac:dyDescent="0.25">
      <c r="B102" t="s">
        <v>424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x14ac:dyDescent="0.25">
      <c r="C103" s="3" t="s">
        <v>474</v>
      </c>
      <c r="D103" s="4"/>
      <c r="E103" s="4" t="s">
        <v>425</v>
      </c>
      <c r="F103" s="4" t="s">
        <v>426</v>
      </c>
      <c r="G103" s="4" t="s">
        <v>6</v>
      </c>
      <c r="H103" s="4" t="s">
        <v>7</v>
      </c>
      <c r="I103" s="4" t="s">
        <v>8</v>
      </c>
      <c r="J103" s="4" t="s">
        <v>9</v>
      </c>
      <c r="K103" s="4" t="s">
        <v>10</v>
      </c>
      <c r="L103" s="4" t="s">
        <v>11</v>
      </c>
      <c r="M103" s="4" t="s">
        <v>12</v>
      </c>
      <c r="N103" s="4" t="s">
        <v>13</v>
      </c>
      <c r="O103" s="4" t="s">
        <v>14</v>
      </c>
      <c r="P103" s="4" t="s">
        <v>15</v>
      </c>
      <c r="Q103" s="4" t="s">
        <v>16</v>
      </c>
      <c r="R103" s="4" t="s">
        <v>17</v>
      </c>
      <c r="S103" s="4" t="s">
        <v>18</v>
      </c>
      <c r="T103" s="4" t="s">
        <v>19</v>
      </c>
      <c r="U103" s="4" t="s">
        <v>20</v>
      </c>
      <c r="V103" s="4" t="s">
        <v>21</v>
      </c>
      <c r="W103" s="4" t="s">
        <v>22</v>
      </c>
      <c r="X103" s="4" t="s">
        <v>23</v>
      </c>
      <c r="Y103" s="4" t="s">
        <v>24</v>
      </c>
      <c r="Z103" s="4" t="s">
        <v>25</v>
      </c>
      <c r="AA103" s="4" t="s">
        <v>26</v>
      </c>
      <c r="AB103" s="4" t="s">
        <v>27</v>
      </c>
      <c r="AC103" s="4" t="s">
        <v>28</v>
      </c>
    </row>
    <row r="104" spans="1:29" x14ac:dyDescent="0.25">
      <c r="C104">
        <v>3.0700000000000002E-2</v>
      </c>
      <c r="D104">
        <f>C104*100</f>
        <v>3.0700000000000003</v>
      </c>
      <c r="E104" s="3">
        <v>0</v>
      </c>
      <c r="F104" s="3">
        <v>1</v>
      </c>
      <c r="G104" s="3">
        <f>G14/B14</f>
        <v>190.38762214983711</v>
      </c>
      <c r="H104" s="3">
        <f t="shared" ref="H104:H168" si="2">H14/B14</f>
        <v>0</v>
      </c>
      <c r="I104" s="3">
        <f>I14/B14</f>
        <v>2.8403908794788273</v>
      </c>
      <c r="J104" s="3">
        <f>J14/B14</f>
        <v>2.4332247557003255</v>
      </c>
      <c r="K104" s="3">
        <f>K14/B14</f>
        <v>0.48534201954397388</v>
      </c>
      <c r="L104" s="3">
        <f>L14/B14</f>
        <v>9.4853420195439728</v>
      </c>
      <c r="M104" s="3">
        <f>M14/B14</f>
        <v>13.237785016286644</v>
      </c>
      <c r="N104" s="3">
        <f>N14/B14</f>
        <v>13.09771986970684</v>
      </c>
      <c r="O104" s="3">
        <f>O14/B14</f>
        <v>1.4201954397394136</v>
      </c>
      <c r="P104" s="3">
        <f>P14/B14</f>
        <v>0.34853420195439738</v>
      </c>
      <c r="Q104" s="3">
        <f>Q14/B14</f>
        <v>0.95114006514657967</v>
      </c>
      <c r="R104" s="3">
        <f>R14/B14</f>
        <v>0.74267100977198686</v>
      </c>
      <c r="S104" s="3">
        <f>S14/B14</f>
        <v>0.37133550488599343</v>
      </c>
      <c r="T104" s="3">
        <f>T14/B14</f>
        <v>0.39739413680781754</v>
      </c>
      <c r="U104" s="3">
        <f>U14/B14</f>
        <v>0.5472312703583061</v>
      </c>
      <c r="V104" s="3">
        <f>V14/B14</f>
        <v>3.5244299674267099</v>
      </c>
      <c r="W104" s="3">
        <f>W14/B14</f>
        <v>3.0618892508143323</v>
      </c>
      <c r="X104" s="3">
        <f>X14/B14</f>
        <v>7.879478827361563</v>
      </c>
      <c r="Y104" s="3">
        <f>Y14/B14</f>
        <v>69.035830618892504</v>
      </c>
      <c r="Z104" s="3">
        <f>Z14/B14</f>
        <v>26.76872964169381</v>
      </c>
      <c r="AA104" s="3">
        <f>AA14/B14</f>
        <v>3.1302931596091201</v>
      </c>
      <c r="AB104" s="3">
        <f>AB14/B14</f>
        <v>121.80781758957653</v>
      </c>
      <c r="AC104" s="3">
        <f>AC14/B14</f>
        <v>3.7915309446254071</v>
      </c>
    </row>
    <row r="105" spans="1:29" x14ac:dyDescent="0.25">
      <c r="C105">
        <v>2.6700000000000002E-2</v>
      </c>
      <c r="D105">
        <f t="shared" ref="D105:D155" si="3">C105*100</f>
        <v>2.67</v>
      </c>
      <c r="E105" s="3">
        <v>0</v>
      </c>
      <c r="F105" s="3">
        <v>2</v>
      </c>
      <c r="G105" s="3">
        <f t="shared" ref="G105:G168" si="4">G15/B15</f>
        <v>234.62546816479403</v>
      </c>
      <c r="H105" s="3">
        <f t="shared" si="2"/>
        <v>0</v>
      </c>
      <c r="I105" s="3">
        <f t="shared" ref="I105:I168" si="5">I15/B15</f>
        <v>2.3970037453183521</v>
      </c>
      <c r="J105" s="3">
        <f t="shared" ref="J105:J150" si="6">J15/B15</f>
        <v>2.1685393258426968</v>
      </c>
      <c r="K105" s="3">
        <f t="shared" ref="K105:K168" si="7">K15/B15</f>
        <v>0</v>
      </c>
      <c r="L105" s="3">
        <f t="shared" ref="L105:L168" si="8">L15/B15</f>
        <v>10.52434456928839</v>
      </c>
      <c r="M105" s="3">
        <f t="shared" ref="M105:M168" si="9">M15/B15</f>
        <v>12.397003745318353</v>
      </c>
      <c r="N105" s="3">
        <f t="shared" ref="N105:N168" si="10">N15/B15</f>
        <v>11.992509363295882</v>
      </c>
      <c r="O105" s="3">
        <f t="shared" ref="O105:O168" si="11">O15/B15</f>
        <v>2.0749063670411987</v>
      </c>
      <c r="P105" s="3">
        <f t="shared" ref="P105:P168" si="12">P15/B15</f>
        <v>0.40074906367041202</v>
      </c>
      <c r="Q105" s="3">
        <f t="shared" ref="Q105:Q168" si="13">Q15/B15</f>
        <v>0.45318352059925093</v>
      </c>
      <c r="R105" s="3">
        <f t="shared" ref="R105:R168" si="14">R15/B15</f>
        <v>0.71161048689138573</v>
      </c>
      <c r="S105" s="3">
        <f t="shared" ref="S105:S121" si="15">S15/B15</f>
        <v>0.2808988764044944</v>
      </c>
      <c r="T105" s="3">
        <f t="shared" ref="T105:T121" si="16">T15/B15</f>
        <v>0.15355805243445692</v>
      </c>
      <c r="U105" s="3">
        <f t="shared" ref="U105:U121" si="17">U15/B15</f>
        <v>0.68164794007490637</v>
      </c>
      <c r="V105" s="3">
        <f t="shared" ref="V105:V121" si="18">V15/B15</f>
        <v>2.7752808988764048</v>
      </c>
      <c r="W105" s="3">
        <f t="shared" ref="W105:W121" si="19">W15/B15</f>
        <v>3.363295880149813</v>
      </c>
      <c r="X105" s="3">
        <f t="shared" ref="X105:X121" si="20">X15/B15</f>
        <v>7.4007490636704132</v>
      </c>
      <c r="Y105" s="3">
        <f t="shared" ref="Y105:Y121" si="21">Y15/B15</f>
        <v>40.048689138576783</v>
      </c>
      <c r="Z105" s="3">
        <f t="shared" ref="Z105:Z121" si="22">Z15/B15</f>
        <v>0</v>
      </c>
      <c r="AA105" s="3">
        <f t="shared" ref="AA105:AA121" si="23">AA15/B15</f>
        <v>2.0898876404494384</v>
      </c>
      <c r="AB105" s="3">
        <f t="shared" ref="AB105:AB121" si="24">AB15/B15</f>
        <v>84.419475655430716</v>
      </c>
      <c r="AC105" s="3">
        <f t="shared" ref="AC105:AC121" si="25">AC15/B15</f>
        <v>4.3595505617977528</v>
      </c>
    </row>
    <row r="106" spans="1:29" x14ac:dyDescent="0.25">
      <c r="C106">
        <v>2.9899999999999999E-2</v>
      </c>
      <c r="D106">
        <f t="shared" si="3"/>
        <v>2.9899999999999998</v>
      </c>
      <c r="E106" s="3">
        <v>0</v>
      </c>
      <c r="F106" s="3">
        <v>3</v>
      </c>
      <c r="G106" s="3">
        <f t="shared" si="4"/>
        <v>202.00668896321071</v>
      </c>
      <c r="H106" s="3">
        <f t="shared" si="2"/>
        <v>0</v>
      </c>
      <c r="I106" s="3">
        <f t="shared" si="5"/>
        <v>3.5886287625418065</v>
      </c>
      <c r="J106" s="3">
        <f t="shared" si="6"/>
        <v>3.8428093645484953</v>
      </c>
      <c r="K106" s="3">
        <f t="shared" si="7"/>
        <v>0.33110367892976589</v>
      </c>
      <c r="L106" s="3">
        <f t="shared" si="8"/>
        <v>23.284280936454852</v>
      </c>
      <c r="M106" s="3">
        <f t="shared" si="9"/>
        <v>15.267558528428093</v>
      </c>
      <c r="N106" s="3">
        <f t="shared" si="10"/>
        <v>19.906354515050168</v>
      </c>
      <c r="O106" s="3">
        <f t="shared" si="11"/>
        <v>2.2909698996655519</v>
      </c>
      <c r="P106" s="3">
        <f t="shared" si="12"/>
        <v>0.46153846153846156</v>
      </c>
      <c r="Q106" s="3">
        <f t="shared" si="13"/>
        <v>1.8160535117056857</v>
      </c>
      <c r="R106" s="3">
        <f t="shared" si="14"/>
        <v>0.93979933110367897</v>
      </c>
      <c r="S106" s="3">
        <f t="shared" si="15"/>
        <v>0.27424749163879597</v>
      </c>
      <c r="T106" s="3">
        <f t="shared" si="16"/>
        <v>0.7993311036789299</v>
      </c>
      <c r="U106" s="3">
        <f t="shared" si="17"/>
        <v>0.87959866220735794</v>
      </c>
      <c r="V106" s="3">
        <f t="shared" si="18"/>
        <v>4.3812709030100336</v>
      </c>
      <c r="W106" s="3">
        <f t="shared" si="19"/>
        <v>4.5250836120401337</v>
      </c>
      <c r="X106" s="3">
        <f t="shared" si="20"/>
        <v>8.3344481605351177</v>
      </c>
      <c r="Y106" s="3">
        <f t="shared" si="21"/>
        <v>51.508361204013376</v>
      </c>
      <c r="Z106" s="3">
        <f t="shared" si="22"/>
        <v>14.752508361204015</v>
      </c>
      <c r="AA106" s="3">
        <f t="shared" si="23"/>
        <v>2.8695652173913047</v>
      </c>
      <c r="AB106" s="3">
        <f t="shared" si="24"/>
        <v>89.802675585284291</v>
      </c>
      <c r="AC106" s="3">
        <f t="shared" si="25"/>
        <v>6.1538461538461542</v>
      </c>
    </row>
    <row r="107" spans="1:29" x14ac:dyDescent="0.25">
      <c r="C107">
        <v>2.9399999999999999E-2</v>
      </c>
      <c r="D107">
        <f t="shared" si="3"/>
        <v>2.94</v>
      </c>
      <c r="E107" s="3">
        <v>0</v>
      </c>
      <c r="F107" s="3">
        <v>4</v>
      </c>
      <c r="G107" s="3">
        <f t="shared" si="4"/>
        <v>159.8299319727891</v>
      </c>
      <c r="H107" s="3">
        <f t="shared" si="2"/>
        <v>0</v>
      </c>
      <c r="I107" s="3">
        <f t="shared" si="5"/>
        <v>2.9659863945578233</v>
      </c>
      <c r="J107" s="3">
        <f t="shared" si="6"/>
        <v>3.129251700680272</v>
      </c>
      <c r="K107" s="3">
        <f t="shared" si="7"/>
        <v>0.67006802721088432</v>
      </c>
      <c r="L107" s="3">
        <f t="shared" si="8"/>
        <v>6.9183673469387754</v>
      </c>
      <c r="M107" s="3">
        <f t="shared" si="9"/>
        <v>16.166666666666668</v>
      </c>
      <c r="N107" s="3">
        <f t="shared" si="10"/>
        <v>12.295918367346939</v>
      </c>
      <c r="O107" s="3">
        <f t="shared" si="11"/>
        <v>2.1530612244897962</v>
      </c>
      <c r="P107" s="3">
        <f t="shared" si="12"/>
        <v>0.36394557823129253</v>
      </c>
      <c r="Q107" s="3">
        <f t="shared" si="13"/>
        <v>1.1496598639455782</v>
      </c>
      <c r="R107" s="3">
        <f t="shared" si="14"/>
        <v>0.73129251700680276</v>
      </c>
      <c r="S107" s="3">
        <f t="shared" si="15"/>
        <v>0.30612244897959184</v>
      </c>
      <c r="T107" s="3">
        <f t="shared" si="16"/>
        <v>0.41496598639455784</v>
      </c>
      <c r="U107" s="3">
        <f t="shared" si="17"/>
        <v>0.65986394557823125</v>
      </c>
      <c r="V107" s="3">
        <f t="shared" si="18"/>
        <v>3.214285714285714</v>
      </c>
      <c r="W107" s="3">
        <f t="shared" si="19"/>
        <v>4.8843537414965983</v>
      </c>
      <c r="X107" s="3">
        <f t="shared" si="20"/>
        <v>24.370748299319729</v>
      </c>
      <c r="Y107" s="3">
        <f t="shared" si="21"/>
        <v>63.363945578231288</v>
      </c>
      <c r="Z107" s="3">
        <f t="shared" si="22"/>
        <v>11.755102040816327</v>
      </c>
      <c r="AA107" s="3">
        <f t="shared" si="23"/>
        <v>2.1462585034013606</v>
      </c>
      <c r="AB107" s="3">
        <f t="shared" si="24"/>
        <v>55.707482993197281</v>
      </c>
      <c r="AC107" s="3">
        <f t="shared" si="25"/>
        <v>4.3367346938775508</v>
      </c>
    </row>
    <row r="108" spans="1:29" x14ac:dyDescent="0.25">
      <c r="C108">
        <v>4.8399999999999999E-2</v>
      </c>
      <c r="D108">
        <f t="shared" si="3"/>
        <v>4.84</v>
      </c>
      <c r="E108" s="3">
        <v>0</v>
      </c>
      <c r="F108" s="3">
        <v>5</v>
      </c>
      <c r="G108" s="3">
        <f t="shared" si="4"/>
        <v>205.93801652892563</v>
      </c>
      <c r="H108" s="3">
        <f t="shared" si="2"/>
        <v>0</v>
      </c>
      <c r="I108" s="3">
        <f t="shared" si="5"/>
        <v>2.9380165289256199</v>
      </c>
      <c r="J108" s="3">
        <f t="shared" si="6"/>
        <v>2.3471074380165287</v>
      </c>
      <c r="K108" s="3">
        <f t="shared" si="7"/>
        <v>0.40702479338842978</v>
      </c>
      <c r="L108" s="3">
        <f t="shared" si="8"/>
        <v>12.380165289256199</v>
      </c>
      <c r="M108" s="3">
        <f t="shared" si="9"/>
        <v>9.6900826446280988</v>
      </c>
      <c r="N108" s="3">
        <f t="shared" si="10"/>
        <v>9.1280991735537196</v>
      </c>
      <c r="O108" s="3">
        <f t="shared" si="11"/>
        <v>1.3078512396694215</v>
      </c>
      <c r="P108" s="3">
        <f t="shared" si="12"/>
        <v>0.25206611570247933</v>
      </c>
      <c r="Q108" s="3">
        <f t="shared" si="13"/>
        <v>1.3946280991735538</v>
      </c>
      <c r="R108" s="3">
        <f t="shared" si="14"/>
        <v>0.6074380165289256</v>
      </c>
      <c r="S108" s="3">
        <f t="shared" si="15"/>
        <v>0.21900826446280994</v>
      </c>
      <c r="T108" s="3">
        <f t="shared" si="16"/>
        <v>0.493801652892562</v>
      </c>
      <c r="U108" s="3">
        <f t="shared" si="17"/>
        <v>0.63429752066115697</v>
      </c>
      <c r="V108" s="3">
        <f t="shared" si="18"/>
        <v>2.8966942148760331</v>
      </c>
      <c r="W108" s="3">
        <f t="shared" si="19"/>
        <v>2.7665289256198351</v>
      </c>
      <c r="X108" s="3">
        <f t="shared" si="20"/>
        <v>4.7520661157024797</v>
      </c>
      <c r="Y108" s="3">
        <f t="shared" si="21"/>
        <v>65.621900826446279</v>
      </c>
      <c r="Z108" s="3">
        <f t="shared" si="22"/>
        <v>19.204545454545457</v>
      </c>
      <c r="AA108" s="3">
        <f t="shared" si="23"/>
        <v>3.1280991735537191</v>
      </c>
      <c r="AB108" s="3">
        <f t="shared" si="24"/>
        <v>108.45661157024793</v>
      </c>
      <c r="AC108" s="3">
        <f t="shared" si="25"/>
        <v>5.0020661157024797</v>
      </c>
    </row>
    <row r="109" spans="1:29" x14ac:dyDescent="0.25">
      <c r="C109">
        <v>0.04</v>
      </c>
      <c r="D109">
        <f t="shared" si="3"/>
        <v>4</v>
      </c>
      <c r="E109" s="3">
        <v>0</v>
      </c>
      <c r="F109" s="3">
        <v>6</v>
      </c>
      <c r="G109" s="3">
        <f t="shared" si="4"/>
        <v>136.97499999999999</v>
      </c>
      <c r="H109" s="3">
        <f t="shared" si="2"/>
        <v>0</v>
      </c>
      <c r="I109" s="3">
        <f t="shared" si="5"/>
        <v>0.86</v>
      </c>
      <c r="J109" s="3">
        <f t="shared" si="6"/>
        <v>1.625</v>
      </c>
      <c r="K109" s="3">
        <f t="shared" si="7"/>
        <v>0</v>
      </c>
      <c r="L109" s="3">
        <f t="shared" si="8"/>
        <v>8.8000000000000007</v>
      </c>
      <c r="M109" s="3">
        <f t="shared" si="9"/>
        <v>9.5325000000000006</v>
      </c>
      <c r="N109" s="3">
        <f t="shared" si="10"/>
        <v>5.8550000000000004</v>
      </c>
      <c r="O109" s="3">
        <f t="shared" si="11"/>
        <v>1.2424999999999999</v>
      </c>
      <c r="P109" s="3">
        <f t="shared" si="12"/>
        <v>0.19</v>
      </c>
      <c r="Q109" s="3">
        <f t="shared" si="13"/>
        <v>0</v>
      </c>
      <c r="R109" s="3">
        <f t="shared" si="14"/>
        <v>0.53749999999999998</v>
      </c>
      <c r="S109" s="3">
        <f t="shared" si="15"/>
        <v>0.11</v>
      </c>
      <c r="T109" s="3">
        <f t="shared" si="16"/>
        <v>0.10249999999999999</v>
      </c>
      <c r="U109" s="3">
        <f t="shared" si="17"/>
        <v>0.62</v>
      </c>
      <c r="V109" s="3">
        <f t="shared" si="18"/>
        <v>2.08</v>
      </c>
      <c r="W109" s="3">
        <f t="shared" si="19"/>
        <v>3.16</v>
      </c>
      <c r="X109" s="3">
        <f t="shared" si="20"/>
        <v>7.2275</v>
      </c>
      <c r="Y109" s="3">
        <f t="shared" si="21"/>
        <v>44.615000000000002</v>
      </c>
      <c r="Z109" s="3">
        <f t="shared" si="22"/>
        <v>6.5274999999999999</v>
      </c>
      <c r="AA109" s="3">
        <f t="shared" si="23"/>
        <v>2.1124999999999998</v>
      </c>
      <c r="AB109" s="3">
        <f t="shared" si="24"/>
        <v>84.54</v>
      </c>
      <c r="AC109" s="3">
        <f t="shared" si="25"/>
        <v>3.7450000000000001</v>
      </c>
    </row>
    <row r="110" spans="1:29" x14ac:dyDescent="0.25">
      <c r="C110">
        <v>2.9100000000000001E-2</v>
      </c>
      <c r="D110">
        <f t="shared" si="3"/>
        <v>2.91</v>
      </c>
      <c r="E110" s="3">
        <v>0</v>
      </c>
      <c r="F110" s="3">
        <v>7</v>
      </c>
      <c r="G110" s="3">
        <f t="shared" si="4"/>
        <v>205.25773195876286</v>
      </c>
      <c r="H110" s="3">
        <f t="shared" si="2"/>
        <v>0</v>
      </c>
      <c r="I110" s="3">
        <f t="shared" si="5"/>
        <v>2.1993127147766325</v>
      </c>
      <c r="J110" s="3">
        <f t="shared" si="6"/>
        <v>2.0687285223367695</v>
      </c>
      <c r="K110" s="3">
        <f t="shared" si="7"/>
        <v>0</v>
      </c>
      <c r="L110" s="3">
        <f t="shared" si="8"/>
        <v>16.88659793814433</v>
      </c>
      <c r="M110" s="3">
        <f t="shared" si="9"/>
        <v>9.6460481099656352</v>
      </c>
      <c r="N110" s="3">
        <f t="shared" si="10"/>
        <v>11.003436426116838</v>
      </c>
      <c r="O110" s="3">
        <f t="shared" si="11"/>
        <v>1.8144329896907216</v>
      </c>
      <c r="P110" s="3">
        <f t="shared" si="12"/>
        <v>0.36769759450171824</v>
      </c>
      <c r="Q110" s="3">
        <f t="shared" si="13"/>
        <v>0.32646048109965631</v>
      </c>
      <c r="R110" s="3">
        <f t="shared" si="14"/>
        <v>1.0103092783505154</v>
      </c>
      <c r="S110" s="3">
        <f t="shared" si="15"/>
        <v>7.560137457044673E-2</v>
      </c>
      <c r="T110" s="3">
        <f t="shared" si="16"/>
        <v>0.41924398625429549</v>
      </c>
      <c r="U110" s="3">
        <f t="shared" si="17"/>
        <v>0.40206185567010305</v>
      </c>
      <c r="V110" s="3">
        <f t="shared" si="18"/>
        <v>2.1546391752577319</v>
      </c>
      <c r="W110" s="3">
        <f t="shared" si="19"/>
        <v>3.7491408934707904</v>
      </c>
      <c r="X110" s="3">
        <f t="shared" si="20"/>
        <v>7.195876288659794</v>
      </c>
      <c r="Y110" s="3">
        <f t="shared" si="21"/>
        <v>80.728522336769757</v>
      </c>
      <c r="Z110" s="3">
        <f t="shared" si="22"/>
        <v>5.2474226804123711</v>
      </c>
      <c r="AA110" s="3">
        <f t="shared" si="23"/>
        <v>4.0790378006872849</v>
      </c>
      <c r="AB110" s="3">
        <f t="shared" si="24"/>
        <v>154.05841924398624</v>
      </c>
      <c r="AC110" s="3">
        <f t="shared" si="25"/>
        <v>5.1477663230240545</v>
      </c>
    </row>
    <row r="111" spans="1:29" x14ac:dyDescent="0.25">
      <c r="C111">
        <v>3.15E-2</v>
      </c>
      <c r="D111">
        <f t="shared" si="3"/>
        <v>3.15</v>
      </c>
      <c r="E111" s="3">
        <v>0</v>
      </c>
      <c r="F111" s="3">
        <v>8</v>
      </c>
      <c r="G111" s="3">
        <f t="shared" si="4"/>
        <v>202.72063492063495</v>
      </c>
      <c r="H111" s="3">
        <f t="shared" si="2"/>
        <v>0</v>
      </c>
      <c r="I111" s="3">
        <f t="shared" si="5"/>
        <v>1.0920634920634922</v>
      </c>
      <c r="J111" s="3">
        <f t="shared" si="6"/>
        <v>3.5650793650793653</v>
      </c>
      <c r="K111" s="3">
        <f t="shared" si="7"/>
        <v>0.6253968253968254</v>
      </c>
      <c r="L111" s="3">
        <f t="shared" si="8"/>
        <v>11.015873015873018</v>
      </c>
      <c r="M111" s="3">
        <f t="shared" si="9"/>
        <v>11.307936507936507</v>
      </c>
      <c r="N111" s="3">
        <f t="shared" si="10"/>
        <v>15.269841269841271</v>
      </c>
      <c r="O111" s="3">
        <f t="shared" si="11"/>
        <v>2.0603174603174605</v>
      </c>
      <c r="P111" s="3">
        <f t="shared" si="12"/>
        <v>0.38730158730158731</v>
      </c>
      <c r="Q111" s="3">
        <f t="shared" si="13"/>
        <v>2.8317460317460319</v>
      </c>
      <c r="R111" s="3">
        <f t="shared" si="14"/>
        <v>0.93333333333333335</v>
      </c>
      <c r="S111" s="3">
        <f t="shared" si="15"/>
        <v>0.15238095238095237</v>
      </c>
      <c r="T111" s="3">
        <f t="shared" si="16"/>
        <v>0.63492063492063489</v>
      </c>
      <c r="U111" s="3">
        <f t="shared" si="17"/>
        <v>0.50476190476190486</v>
      </c>
      <c r="V111" s="3">
        <f t="shared" si="18"/>
        <v>3.7238095238095239</v>
      </c>
      <c r="W111" s="3">
        <f t="shared" si="19"/>
        <v>4.7968253968253967</v>
      </c>
      <c r="X111" s="3">
        <f t="shared" si="20"/>
        <v>4.3015873015873023</v>
      </c>
      <c r="Y111" s="3">
        <f t="shared" si="21"/>
        <v>46.733333333333334</v>
      </c>
      <c r="Z111" s="3">
        <f t="shared" si="22"/>
        <v>0</v>
      </c>
      <c r="AA111" s="3">
        <f t="shared" si="23"/>
        <v>2.0412698412698411</v>
      </c>
      <c r="AB111" s="3">
        <f t="shared" si="24"/>
        <v>100.13333333333334</v>
      </c>
      <c r="AC111" s="3">
        <f t="shared" si="25"/>
        <v>4.7555555555555555</v>
      </c>
    </row>
    <row r="112" spans="1:29" x14ac:dyDescent="0.25">
      <c r="C112">
        <v>2.98E-2</v>
      </c>
      <c r="D112">
        <f t="shared" si="3"/>
        <v>2.98</v>
      </c>
      <c r="E112" s="3">
        <v>0</v>
      </c>
      <c r="F112" s="3">
        <v>9</v>
      </c>
      <c r="G112" s="3">
        <f t="shared" si="4"/>
        <v>264.82550335570465</v>
      </c>
      <c r="H112" s="3">
        <f t="shared" si="2"/>
        <v>0</v>
      </c>
      <c r="I112" s="3">
        <f t="shared" si="5"/>
        <v>1.6946308724832215</v>
      </c>
      <c r="J112" s="3">
        <f t="shared" si="6"/>
        <v>3.5973154362416109</v>
      </c>
      <c r="K112" s="3">
        <f t="shared" si="7"/>
        <v>0</v>
      </c>
      <c r="L112" s="3">
        <f t="shared" si="8"/>
        <v>5.7651006711409396</v>
      </c>
      <c r="M112" s="3">
        <f t="shared" si="9"/>
        <v>14.057046979865772</v>
      </c>
      <c r="N112" s="3">
        <f t="shared" si="10"/>
        <v>13.493288590604028</v>
      </c>
      <c r="O112" s="3">
        <f t="shared" si="11"/>
        <v>2.2281879194630871</v>
      </c>
      <c r="P112" s="3">
        <f t="shared" si="12"/>
        <v>0.3087248322147651</v>
      </c>
      <c r="Q112" s="3">
        <f t="shared" si="13"/>
        <v>2.0805369127516777</v>
      </c>
      <c r="R112" s="3">
        <f t="shared" si="14"/>
        <v>0.72147651006711411</v>
      </c>
      <c r="S112" s="3">
        <f t="shared" si="15"/>
        <v>5.0335570469798654E-2</v>
      </c>
      <c r="T112" s="3">
        <f t="shared" si="16"/>
        <v>0.93288590604026844</v>
      </c>
      <c r="U112" s="3">
        <f t="shared" si="17"/>
        <v>0.59395973154362414</v>
      </c>
      <c r="V112" s="3">
        <f t="shared" si="18"/>
        <v>3.4026845637583896</v>
      </c>
      <c r="W112" s="3">
        <f t="shared" si="19"/>
        <v>4.3087248322147653</v>
      </c>
      <c r="X112" s="3">
        <f t="shared" si="20"/>
        <v>6.0838926174496644</v>
      </c>
      <c r="Y112" s="3">
        <f t="shared" si="21"/>
        <v>70.627516778523486</v>
      </c>
      <c r="Z112" s="3">
        <f t="shared" si="22"/>
        <v>5.124161073825503</v>
      </c>
      <c r="AA112" s="3">
        <f t="shared" si="23"/>
        <v>2.5906040268456376</v>
      </c>
      <c r="AB112" s="3">
        <f t="shared" si="24"/>
        <v>80.291946308724832</v>
      </c>
      <c r="AC112" s="3">
        <f t="shared" si="25"/>
        <v>5.026845637583893</v>
      </c>
    </row>
    <row r="113" spans="3:29" x14ac:dyDescent="0.25">
      <c r="C113">
        <v>3.9199999999999999E-2</v>
      </c>
      <c r="D113">
        <f t="shared" si="3"/>
        <v>3.92</v>
      </c>
      <c r="E113" s="3">
        <v>0</v>
      </c>
      <c r="F113" s="3">
        <v>10</v>
      </c>
      <c r="G113" s="3">
        <f t="shared" si="4"/>
        <v>206.98979591836735</v>
      </c>
      <c r="H113" s="3">
        <f t="shared" si="2"/>
        <v>0</v>
      </c>
      <c r="I113" s="3">
        <f t="shared" si="5"/>
        <v>3.1989795918367347</v>
      </c>
      <c r="J113" s="3">
        <f t="shared" si="6"/>
        <v>4.8265306122448983</v>
      </c>
      <c r="K113" s="3">
        <f t="shared" si="7"/>
        <v>0.86734693877551017</v>
      </c>
      <c r="L113" s="3">
        <f t="shared" si="8"/>
        <v>10.767857142857144</v>
      </c>
      <c r="M113" s="3">
        <f t="shared" si="9"/>
        <v>18.339285714285715</v>
      </c>
      <c r="N113" s="3">
        <f t="shared" si="10"/>
        <v>17.997448979591837</v>
      </c>
      <c r="O113" s="3">
        <f t="shared" si="11"/>
        <v>1.9107142857142858</v>
      </c>
      <c r="P113" s="3">
        <f t="shared" si="12"/>
        <v>0.41071428571428575</v>
      </c>
      <c r="Q113" s="3">
        <f t="shared" si="13"/>
        <v>5.0153061224489797</v>
      </c>
      <c r="R113" s="3">
        <f t="shared" si="14"/>
        <v>0.68367346938775519</v>
      </c>
      <c r="S113" s="3">
        <f t="shared" si="15"/>
        <v>0.27040816326530615</v>
      </c>
      <c r="T113" s="3">
        <f t="shared" si="16"/>
        <v>1.2040816326530612</v>
      </c>
      <c r="U113" s="3">
        <f t="shared" si="17"/>
        <v>1.3163265306122449</v>
      </c>
      <c r="V113" s="3">
        <f t="shared" si="18"/>
        <v>7.0841836734693882</v>
      </c>
      <c r="W113" s="3">
        <f t="shared" si="19"/>
        <v>4.8520408163265305</v>
      </c>
      <c r="X113" s="3">
        <f t="shared" si="20"/>
        <v>5.7933673469387754</v>
      </c>
      <c r="Y113" s="3">
        <f t="shared" si="21"/>
        <v>54.441326530612244</v>
      </c>
      <c r="Z113" s="3">
        <f t="shared" si="22"/>
        <v>16.010204081632654</v>
      </c>
      <c r="AA113" s="3">
        <f t="shared" si="23"/>
        <v>2.4948979591836733</v>
      </c>
      <c r="AB113" s="3">
        <f t="shared" si="24"/>
        <v>75.625</v>
      </c>
      <c r="AC113" s="3">
        <f t="shared" si="25"/>
        <v>7.3852040816326534</v>
      </c>
    </row>
    <row r="114" spans="3:29" x14ac:dyDescent="0.25">
      <c r="C114">
        <v>2.8400000000000002E-2</v>
      </c>
      <c r="D114">
        <f t="shared" si="3"/>
        <v>2.8400000000000003</v>
      </c>
      <c r="E114" s="3">
        <v>0</v>
      </c>
      <c r="F114" s="3">
        <v>11</v>
      </c>
      <c r="G114" s="3">
        <f t="shared" si="4"/>
        <v>273.84507042253517</v>
      </c>
      <c r="H114" s="3">
        <f t="shared" si="2"/>
        <v>0</v>
      </c>
      <c r="I114" s="3">
        <f t="shared" si="5"/>
        <v>3.778169014084507</v>
      </c>
      <c r="J114" s="3">
        <f t="shared" si="6"/>
        <v>5.334507042253521</v>
      </c>
      <c r="K114" s="3">
        <f t="shared" si="7"/>
        <v>2.3239436619718306</v>
      </c>
      <c r="L114" s="3">
        <f t="shared" si="8"/>
        <v>9.5352112676056322</v>
      </c>
      <c r="M114" s="3">
        <f t="shared" si="9"/>
        <v>17.616197183098588</v>
      </c>
      <c r="N114" s="3">
        <f t="shared" si="10"/>
        <v>32.302816901408448</v>
      </c>
      <c r="O114" s="3">
        <f t="shared" si="11"/>
        <v>3.0915492957746475</v>
      </c>
      <c r="P114" s="3">
        <f t="shared" si="12"/>
        <v>0.64788732394366189</v>
      </c>
      <c r="Q114" s="3">
        <f t="shared" si="13"/>
        <v>4.253521126760563</v>
      </c>
      <c r="R114" s="3">
        <f t="shared" si="14"/>
        <v>1.3204225352112675</v>
      </c>
      <c r="S114" s="3">
        <f t="shared" si="15"/>
        <v>0.34507042253521125</v>
      </c>
      <c r="T114" s="3">
        <f t="shared" si="16"/>
        <v>1.7957746478873235</v>
      </c>
      <c r="U114" s="3">
        <f t="shared" si="17"/>
        <v>1.242957746478873</v>
      </c>
      <c r="V114" s="3">
        <f t="shared" si="18"/>
        <v>6.788732394366197</v>
      </c>
      <c r="W114" s="3">
        <f t="shared" si="19"/>
        <v>4.6197183098591541</v>
      </c>
      <c r="X114" s="3">
        <f t="shared" si="20"/>
        <v>9.6091549295774641</v>
      </c>
      <c r="Y114" s="3">
        <f t="shared" si="21"/>
        <v>53.035211267605632</v>
      </c>
      <c r="Z114" s="3">
        <f t="shared" si="22"/>
        <v>26.781690140845068</v>
      </c>
      <c r="AA114" s="3">
        <f t="shared" si="23"/>
        <v>3.158450704225352</v>
      </c>
      <c r="AB114" s="3">
        <f t="shared" si="24"/>
        <v>85.577464788732385</v>
      </c>
      <c r="AC114" s="3">
        <f t="shared" si="25"/>
        <v>9.3556338028169002</v>
      </c>
    </row>
    <row r="115" spans="3:29" x14ac:dyDescent="0.25">
      <c r="C115">
        <v>2.5399999999999999E-2</v>
      </c>
      <c r="D115">
        <f t="shared" si="3"/>
        <v>2.54</v>
      </c>
      <c r="E115" s="3">
        <v>0</v>
      </c>
      <c r="F115" s="3">
        <v>12</v>
      </c>
      <c r="G115" s="3">
        <f t="shared" si="4"/>
        <v>169.83464566929135</v>
      </c>
      <c r="H115" s="3">
        <f t="shared" si="2"/>
        <v>0</v>
      </c>
      <c r="I115" s="3">
        <f t="shared" si="5"/>
        <v>2.5196850393700787</v>
      </c>
      <c r="J115" s="3">
        <f t="shared" si="6"/>
        <v>2</v>
      </c>
      <c r="K115" s="3">
        <f t="shared" si="7"/>
        <v>0</v>
      </c>
      <c r="L115" s="3">
        <f t="shared" si="8"/>
        <v>9.4448818897637796</v>
      </c>
      <c r="M115" s="3">
        <f t="shared" si="9"/>
        <v>11.051181102362206</v>
      </c>
      <c r="N115" s="3">
        <f t="shared" si="10"/>
        <v>12.606299212598426</v>
      </c>
      <c r="O115" s="3">
        <f t="shared" si="11"/>
        <v>2.326771653543307</v>
      </c>
      <c r="P115" s="3">
        <f t="shared" si="12"/>
        <v>0.36220472440944884</v>
      </c>
      <c r="Q115" s="3">
        <f t="shared" si="13"/>
        <v>0.86614173228346458</v>
      </c>
      <c r="R115" s="3">
        <f t="shared" si="14"/>
        <v>0.84645669291338577</v>
      </c>
      <c r="S115" s="3">
        <f t="shared" si="15"/>
        <v>0.23228346456692911</v>
      </c>
      <c r="T115" s="3">
        <f t="shared" si="16"/>
        <v>0.32283464566929132</v>
      </c>
      <c r="U115" s="3">
        <f t="shared" si="17"/>
        <v>0.62598425196850394</v>
      </c>
      <c r="V115" s="3">
        <f t="shared" si="18"/>
        <v>2.6456692913385824</v>
      </c>
      <c r="W115" s="3">
        <f t="shared" si="19"/>
        <v>4.6771653543307092</v>
      </c>
      <c r="X115" s="3">
        <f t="shared" si="20"/>
        <v>3.3543307086614171</v>
      </c>
      <c r="Y115" s="3">
        <f t="shared" si="21"/>
        <v>61.295275590551178</v>
      </c>
      <c r="Z115" s="3">
        <f t="shared" si="22"/>
        <v>0</v>
      </c>
      <c r="AA115" s="3">
        <f t="shared" si="23"/>
        <v>1.9763779527559053</v>
      </c>
      <c r="AB115" s="3">
        <f t="shared" si="24"/>
        <v>69.204724409448815</v>
      </c>
      <c r="AC115" s="3">
        <f t="shared" si="25"/>
        <v>4.5826771653543306</v>
      </c>
    </row>
    <row r="116" spans="3:29" x14ac:dyDescent="0.25">
      <c r="C116">
        <v>2.0400000000000001E-2</v>
      </c>
      <c r="D116">
        <f t="shared" si="3"/>
        <v>2.04</v>
      </c>
      <c r="E116" s="3">
        <v>0</v>
      </c>
      <c r="F116" s="3">
        <v>13</v>
      </c>
      <c r="G116" s="3">
        <f t="shared" si="4"/>
        <v>207.91176470588235</v>
      </c>
      <c r="H116" s="3">
        <f t="shared" si="2"/>
        <v>0</v>
      </c>
      <c r="I116" s="3">
        <f t="shared" si="5"/>
        <v>1.6862745098039216</v>
      </c>
      <c r="J116" s="3">
        <f t="shared" si="6"/>
        <v>2.0392156862745097</v>
      </c>
      <c r="K116" s="3">
        <f t="shared" si="7"/>
        <v>0</v>
      </c>
      <c r="L116" s="3">
        <f t="shared" si="8"/>
        <v>14.274509803921569</v>
      </c>
      <c r="M116" s="3">
        <f t="shared" si="9"/>
        <v>10.666666666666668</v>
      </c>
      <c r="N116" s="3">
        <f t="shared" si="10"/>
        <v>11.480392156862745</v>
      </c>
      <c r="O116" s="3">
        <f t="shared" si="11"/>
        <v>2.5392156862745097</v>
      </c>
      <c r="P116" s="3">
        <f t="shared" si="12"/>
        <v>0.37254901960784315</v>
      </c>
      <c r="Q116" s="3">
        <f t="shared" si="13"/>
        <v>0</v>
      </c>
      <c r="R116" s="3">
        <f t="shared" si="14"/>
        <v>0.93137254901960775</v>
      </c>
      <c r="S116" s="3">
        <f t="shared" si="15"/>
        <v>0.44117647058823528</v>
      </c>
      <c r="T116" s="3">
        <f t="shared" si="16"/>
        <v>0</v>
      </c>
      <c r="U116" s="3">
        <f t="shared" si="17"/>
        <v>0.40196078431372545</v>
      </c>
      <c r="V116" s="3">
        <f t="shared" si="18"/>
        <v>2.4068627450980391</v>
      </c>
      <c r="W116" s="3">
        <f t="shared" si="19"/>
        <v>5.4852941176470589</v>
      </c>
      <c r="X116" s="3">
        <f t="shared" si="20"/>
        <v>7.7303921568627452</v>
      </c>
      <c r="Y116" s="3">
        <f t="shared" si="21"/>
        <v>44.421568627450981</v>
      </c>
      <c r="Z116" s="3">
        <f t="shared" si="22"/>
        <v>0</v>
      </c>
      <c r="AA116" s="3">
        <f t="shared" si="23"/>
        <v>3.7205882352941173</v>
      </c>
      <c r="AB116" s="3">
        <f t="shared" si="24"/>
        <v>133.24019607843138</v>
      </c>
      <c r="AC116" s="3">
        <f t="shared" si="25"/>
        <v>4.6372549019607847</v>
      </c>
    </row>
    <row r="117" spans="3:29" x14ac:dyDescent="0.25">
      <c r="C117">
        <v>3.0499999999999999E-2</v>
      </c>
      <c r="D117">
        <f t="shared" si="3"/>
        <v>3.05</v>
      </c>
      <c r="E117" s="3">
        <v>0</v>
      </c>
      <c r="F117" s="3">
        <v>14</v>
      </c>
      <c r="G117" s="3">
        <f t="shared" si="4"/>
        <v>119.53770491803279</v>
      </c>
      <c r="H117" s="3">
        <f t="shared" si="2"/>
        <v>0</v>
      </c>
      <c r="I117" s="3">
        <f t="shared" si="5"/>
        <v>3.1967213114754101</v>
      </c>
      <c r="J117" s="3">
        <f t="shared" si="6"/>
        <v>1.4393442622950821</v>
      </c>
      <c r="K117" s="3">
        <f t="shared" si="7"/>
        <v>0</v>
      </c>
      <c r="L117" s="3">
        <f t="shared" si="8"/>
        <v>5.806557377049181</v>
      </c>
      <c r="M117" s="3">
        <f t="shared" si="9"/>
        <v>10.029508196721313</v>
      </c>
      <c r="N117" s="3">
        <f t="shared" si="10"/>
        <v>9.1081967213114758</v>
      </c>
      <c r="O117" s="3">
        <f t="shared" si="11"/>
        <v>2.0754098360655737</v>
      </c>
      <c r="P117" s="3">
        <f t="shared" si="12"/>
        <v>0.35081967213114756</v>
      </c>
      <c r="Q117" s="3">
        <f t="shared" si="13"/>
        <v>0.31147540983606559</v>
      </c>
      <c r="R117" s="3">
        <f t="shared" si="14"/>
        <v>0.79016393442622956</v>
      </c>
      <c r="S117" s="3">
        <f t="shared" si="15"/>
        <v>9.5081967213114751E-2</v>
      </c>
      <c r="T117" s="3">
        <f t="shared" si="16"/>
        <v>0.13442622950819672</v>
      </c>
      <c r="U117" s="3">
        <f t="shared" si="17"/>
        <v>0.46229508196721314</v>
      </c>
      <c r="V117" s="3">
        <f t="shared" si="18"/>
        <v>1.9081967213114757</v>
      </c>
      <c r="W117" s="3">
        <f t="shared" si="19"/>
        <v>3.7606557377049183</v>
      </c>
      <c r="X117" s="3">
        <f t="shared" si="20"/>
        <v>4.7344262295081965</v>
      </c>
      <c r="Y117" s="3">
        <f t="shared" si="21"/>
        <v>33.098360655737707</v>
      </c>
      <c r="Z117" s="3">
        <f t="shared" si="22"/>
        <v>0</v>
      </c>
      <c r="AA117" s="3">
        <f t="shared" si="23"/>
        <v>2.3901639344262295</v>
      </c>
      <c r="AB117" s="3">
        <f t="shared" si="24"/>
        <v>62.65245901639345</v>
      </c>
      <c r="AC117" s="3">
        <f t="shared" si="25"/>
        <v>4.1803278688524594</v>
      </c>
    </row>
    <row r="118" spans="3:29" x14ac:dyDescent="0.25">
      <c r="C118">
        <v>3.0499999999999999E-2</v>
      </c>
      <c r="D118">
        <f t="shared" si="3"/>
        <v>3.05</v>
      </c>
      <c r="E118" s="3">
        <v>0</v>
      </c>
      <c r="F118" s="3">
        <v>15</v>
      </c>
      <c r="G118" s="3">
        <f t="shared" si="4"/>
        <v>83.327868852459019</v>
      </c>
      <c r="H118" s="3">
        <f t="shared" si="2"/>
        <v>0</v>
      </c>
      <c r="I118" s="3">
        <f t="shared" si="5"/>
        <v>1.1278688524590164</v>
      </c>
      <c r="J118" s="3">
        <f t="shared" si="6"/>
        <v>1.2163934426229508</v>
      </c>
      <c r="K118" s="3">
        <f t="shared" si="7"/>
        <v>0</v>
      </c>
      <c r="L118" s="3">
        <f t="shared" si="8"/>
        <v>11.708196721311475</v>
      </c>
      <c r="M118" s="3">
        <f t="shared" si="9"/>
        <v>11.059016393442622</v>
      </c>
      <c r="N118" s="3">
        <f t="shared" si="10"/>
        <v>9.1081967213114758</v>
      </c>
      <c r="O118" s="3">
        <f t="shared" si="11"/>
        <v>1.8360655737704918</v>
      </c>
      <c r="P118" s="3">
        <f t="shared" si="12"/>
        <v>0.30163934426229511</v>
      </c>
      <c r="Q118" s="3">
        <f t="shared" si="13"/>
        <v>3.9344262295081971E-2</v>
      </c>
      <c r="R118" s="3">
        <f t="shared" si="14"/>
        <v>0.62295081967213117</v>
      </c>
      <c r="S118" s="3">
        <f t="shared" si="15"/>
        <v>4.9180327868852458E-2</v>
      </c>
      <c r="T118" s="3">
        <f t="shared" si="16"/>
        <v>0.13442622950819672</v>
      </c>
      <c r="U118" s="3">
        <f t="shared" si="17"/>
        <v>0.60327868852459021</v>
      </c>
      <c r="V118" s="3">
        <f t="shared" si="18"/>
        <v>1.6098360655737707</v>
      </c>
      <c r="W118" s="3">
        <f t="shared" si="19"/>
        <v>2.9901639344262296</v>
      </c>
      <c r="X118" s="3">
        <f t="shared" si="20"/>
        <v>5.5081967213114762</v>
      </c>
      <c r="Y118" s="3">
        <f t="shared" si="21"/>
        <v>47.134426229508193</v>
      </c>
      <c r="Z118" s="3">
        <f t="shared" si="22"/>
        <v>0</v>
      </c>
      <c r="AA118" s="3">
        <f t="shared" si="23"/>
        <v>1.5639344262295081</v>
      </c>
      <c r="AB118" s="3">
        <f t="shared" si="24"/>
        <v>47.554098360655736</v>
      </c>
      <c r="AC118" s="3">
        <f t="shared" si="25"/>
        <v>3.4557377049180329</v>
      </c>
    </row>
    <row r="119" spans="3:29" x14ac:dyDescent="0.25">
      <c r="C119">
        <v>2.1899999999999999E-2</v>
      </c>
      <c r="D119">
        <f t="shared" si="3"/>
        <v>2.19</v>
      </c>
      <c r="E119" s="3">
        <v>3</v>
      </c>
      <c r="F119" s="3">
        <v>16</v>
      </c>
      <c r="G119" s="3">
        <f t="shared" si="4"/>
        <v>263.66666666666663</v>
      </c>
      <c r="H119" s="3">
        <f t="shared" si="2"/>
        <v>0</v>
      </c>
      <c r="I119" s="3">
        <f t="shared" si="5"/>
        <v>7.2146118721461194</v>
      </c>
      <c r="J119" s="3">
        <f t="shared" si="6"/>
        <v>3.5251141552511416</v>
      </c>
      <c r="K119" s="3">
        <f t="shared" si="7"/>
        <v>1.3378995433789955</v>
      </c>
      <c r="L119" s="3">
        <f t="shared" si="8"/>
        <v>10.479452054794521</v>
      </c>
      <c r="M119" s="3">
        <f t="shared" si="9"/>
        <v>16.264840182648403</v>
      </c>
      <c r="N119" s="3">
        <f t="shared" si="10"/>
        <v>16.506849315068493</v>
      </c>
      <c r="O119" s="3">
        <f t="shared" si="11"/>
        <v>2.8904109589041096</v>
      </c>
      <c r="P119" s="3">
        <f t="shared" si="12"/>
        <v>0.42009132420091327</v>
      </c>
      <c r="Q119" s="3">
        <f t="shared" si="13"/>
        <v>0.19178082191780821</v>
      </c>
      <c r="R119" s="3">
        <f t="shared" si="14"/>
        <v>0.86757990867579904</v>
      </c>
      <c r="S119" s="3">
        <f t="shared" si="15"/>
        <v>0.48401826484018268</v>
      </c>
      <c r="T119" s="3">
        <f t="shared" si="16"/>
        <v>1.182648401826484</v>
      </c>
      <c r="U119" s="3">
        <f t="shared" si="17"/>
        <v>1.9178082191780823</v>
      </c>
      <c r="V119" s="3">
        <f t="shared" si="18"/>
        <v>4.1095890410958908</v>
      </c>
      <c r="W119" s="3">
        <f t="shared" si="19"/>
        <v>4.4794520547945211</v>
      </c>
      <c r="X119" s="3">
        <f t="shared" si="20"/>
        <v>8.8173515981735164</v>
      </c>
      <c r="Y119" s="3">
        <f t="shared" si="21"/>
        <v>101.42465753424658</v>
      </c>
      <c r="Z119" s="3">
        <f t="shared" si="22"/>
        <v>11.922374429223744</v>
      </c>
      <c r="AA119" s="3">
        <f t="shared" si="23"/>
        <v>2.1004566210045663</v>
      </c>
      <c r="AB119" s="3">
        <f t="shared" si="24"/>
        <v>167.34703196347033</v>
      </c>
      <c r="AC119" s="3">
        <f t="shared" si="25"/>
        <v>7.3561643835616435</v>
      </c>
    </row>
    <row r="120" spans="3:29" x14ac:dyDescent="0.25">
      <c r="C120">
        <v>2.18E-2</v>
      </c>
      <c r="D120">
        <f t="shared" si="3"/>
        <v>2.1800000000000002</v>
      </c>
      <c r="E120" s="3">
        <v>3</v>
      </c>
      <c r="F120" s="3">
        <v>17</v>
      </c>
      <c r="G120" s="3">
        <f t="shared" si="4"/>
        <v>67.376146788990823</v>
      </c>
      <c r="H120" s="3">
        <f t="shared" si="2"/>
        <v>1.1605504587155961</v>
      </c>
      <c r="I120" s="3">
        <f t="shared" si="5"/>
        <v>0</v>
      </c>
      <c r="J120" s="3">
        <f t="shared" si="6"/>
        <v>0</v>
      </c>
      <c r="K120" s="3">
        <f t="shared" si="7"/>
        <v>0</v>
      </c>
      <c r="L120" s="3">
        <f t="shared" si="8"/>
        <v>9.3302752293577971</v>
      </c>
      <c r="M120" s="3">
        <f t="shared" si="9"/>
        <v>0</v>
      </c>
      <c r="N120" s="3">
        <f t="shared" si="10"/>
        <v>0</v>
      </c>
      <c r="O120" s="3">
        <f t="shared" si="11"/>
        <v>0.2293577981651376</v>
      </c>
      <c r="P120" s="3">
        <f t="shared" si="12"/>
        <v>0.55963302752293576</v>
      </c>
      <c r="Q120" s="3">
        <f t="shared" si="13"/>
        <v>0</v>
      </c>
      <c r="R120" s="3">
        <f t="shared" si="14"/>
        <v>0.63761467889908252</v>
      </c>
      <c r="S120" s="3">
        <f t="shared" si="15"/>
        <v>0</v>
      </c>
      <c r="T120" s="3">
        <f t="shared" si="16"/>
        <v>0.18807339449541283</v>
      </c>
      <c r="U120" s="3">
        <f t="shared" si="17"/>
        <v>3.1146788990825685</v>
      </c>
      <c r="V120" s="3">
        <f t="shared" si="18"/>
        <v>0.49082568807339449</v>
      </c>
      <c r="W120" s="3">
        <f t="shared" si="19"/>
        <v>1.1880733944954127</v>
      </c>
      <c r="X120" s="3">
        <f t="shared" si="20"/>
        <v>8.7889908256880727</v>
      </c>
      <c r="Y120" s="3">
        <f t="shared" si="21"/>
        <v>193.0366972477064</v>
      </c>
      <c r="Z120" s="3">
        <f t="shared" si="22"/>
        <v>0</v>
      </c>
      <c r="AA120" s="3">
        <f t="shared" si="23"/>
        <v>1.1513761467889907</v>
      </c>
      <c r="AB120" s="3">
        <f t="shared" si="24"/>
        <v>40.495412844036693</v>
      </c>
      <c r="AC120" s="3">
        <f t="shared" si="25"/>
        <v>0.82110091743119262</v>
      </c>
    </row>
    <row r="121" spans="3:29" x14ac:dyDescent="0.25">
      <c r="C121">
        <v>3.0499999999999999E-2</v>
      </c>
      <c r="D121">
        <f t="shared" si="3"/>
        <v>3.05</v>
      </c>
      <c r="E121" s="3">
        <v>3</v>
      </c>
      <c r="F121" s="3">
        <v>18</v>
      </c>
      <c r="G121" s="3">
        <f t="shared" si="4"/>
        <v>284.81967213114757</v>
      </c>
      <c r="H121" s="3">
        <f t="shared" si="2"/>
        <v>2.750819672131148</v>
      </c>
      <c r="I121" s="3">
        <f t="shared" si="5"/>
        <v>4.111475409836066</v>
      </c>
      <c r="J121" s="3">
        <f t="shared" si="6"/>
        <v>4.7934426229508196</v>
      </c>
      <c r="K121" s="3">
        <f t="shared" si="7"/>
        <v>4.7442622950819677</v>
      </c>
      <c r="L121" s="3">
        <f t="shared" si="8"/>
        <v>88.101639344262296</v>
      </c>
      <c r="M121" s="3">
        <f t="shared" si="9"/>
        <v>21.73114754098361</v>
      </c>
      <c r="N121" s="3">
        <f t="shared" si="10"/>
        <v>17.036065573770493</v>
      </c>
      <c r="O121" s="3">
        <f t="shared" si="11"/>
        <v>2.59672131147541</v>
      </c>
      <c r="P121" s="3">
        <f t="shared" si="12"/>
        <v>0.90163934426229508</v>
      </c>
      <c r="Q121" s="3">
        <f t="shared" si="13"/>
        <v>1.2229508196721313</v>
      </c>
      <c r="R121" s="3">
        <f t="shared" si="14"/>
        <v>0.878688524590164</v>
      </c>
      <c r="S121" s="3">
        <f t="shared" si="15"/>
        <v>0.63606557377049178</v>
      </c>
      <c r="T121" s="3">
        <f t="shared" si="16"/>
        <v>2.4229508196721312</v>
      </c>
      <c r="U121" s="3">
        <f t="shared" si="17"/>
        <v>5.3475409836065575</v>
      </c>
      <c r="V121" s="3">
        <f t="shared" si="18"/>
        <v>4.1475409836065573</v>
      </c>
      <c r="W121" s="3">
        <f t="shared" si="19"/>
        <v>5.2032786885245903</v>
      </c>
      <c r="X121" s="3">
        <f t="shared" si="20"/>
        <v>38.836065573770497</v>
      </c>
      <c r="Y121" s="3">
        <f t="shared" si="21"/>
        <v>676.24918032786888</v>
      </c>
      <c r="Z121" s="3">
        <f t="shared" si="22"/>
        <v>120.54426229508198</v>
      </c>
      <c r="AA121" s="3">
        <f t="shared" si="23"/>
        <v>33.875409836065572</v>
      </c>
      <c r="AB121" s="3">
        <f t="shared" si="24"/>
        <v>423.38032786885248</v>
      </c>
      <c r="AC121" s="3">
        <f t="shared" si="25"/>
        <v>9.1016393442622956</v>
      </c>
    </row>
    <row r="122" spans="3:29" x14ac:dyDescent="0.25">
      <c r="C122">
        <v>2.0199999999999999E-2</v>
      </c>
      <c r="D122">
        <f t="shared" si="3"/>
        <v>2.02</v>
      </c>
      <c r="E122" s="3">
        <v>3</v>
      </c>
      <c r="F122" s="3">
        <v>19</v>
      </c>
      <c r="G122" s="3">
        <f t="shared" si="4"/>
        <v>376.2772277227723</v>
      </c>
      <c r="H122" s="3">
        <f t="shared" si="2"/>
        <v>2.5445544554455446</v>
      </c>
      <c r="I122" s="3">
        <f t="shared" si="5"/>
        <v>7.0396039603960396</v>
      </c>
      <c r="J122" s="3">
        <f t="shared" si="6"/>
        <v>5.4306930693069306</v>
      </c>
      <c r="K122" s="3">
        <f t="shared" si="7"/>
        <v>3.2673267326732671</v>
      </c>
      <c r="L122" s="3">
        <f t="shared" si="8"/>
        <v>43.980198019801982</v>
      </c>
      <c r="M122" s="3">
        <f t="shared" si="9"/>
        <v>30.029702970297027</v>
      </c>
      <c r="N122" s="3">
        <f t="shared" si="10"/>
        <v>23.811881188118811</v>
      </c>
      <c r="O122" s="3">
        <f t="shared" si="11"/>
        <v>4.6138613861386135</v>
      </c>
      <c r="P122" s="3">
        <f t="shared" si="12"/>
        <v>0.75742574257425743</v>
      </c>
      <c r="Q122" s="3">
        <f t="shared" si="13"/>
        <v>2.4653465346534653</v>
      </c>
      <c r="R122" s="3">
        <f t="shared" si="14"/>
        <v>1.8564356435643565</v>
      </c>
      <c r="S122" s="3">
        <f t="shared" ref="S122:S149" si="26">S32/B32</f>
        <v>0.67821782178217827</v>
      </c>
      <c r="T122" s="3">
        <f t="shared" ref="T122:T149" si="27">T32/B32</f>
        <v>1.5693069306930694</v>
      </c>
      <c r="U122" s="3">
        <f t="shared" ref="U122:U149" si="28">U32/B32</f>
        <v>4.5792079207920793</v>
      </c>
      <c r="V122" s="3">
        <f t="shared" ref="V122:V149" si="29">V32/B32</f>
        <v>6.7128712871287126</v>
      </c>
      <c r="W122" s="3">
        <f t="shared" ref="W122:W149" si="30">W32/B32</f>
        <v>7.7871287128712874</v>
      </c>
      <c r="X122" s="3">
        <f t="shared" ref="X122:X149" si="31">X32/B32</f>
        <v>23.06930693069307</v>
      </c>
      <c r="Y122" s="3">
        <f t="shared" ref="Y122:Y149" si="32">Y32/B32</f>
        <v>382.65346534653469</v>
      </c>
      <c r="Z122" s="3">
        <f t="shared" ref="Z122:Z149" si="33">Z32/B32</f>
        <v>76.054455445544548</v>
      </c>
      <c r="AA122" s="3">
        <f t="shared" ref="AA122:AA149" si="34">AA32/B32</f>
        <v>12.742574257425742</v>
      </c>
      <c r="AB122" s="3">
        <f t="shared" ref="AB122:AB149" si="35">AB32/B32</f>
        <v>436.0792079207921</v>
      </c>
      <c r="AC122" s="3">
        <f t="shared" ref="AC122:AC149" si="36">AC32/B32</f>
        <v>15.51980198019802</v>
      </c>
    </row>
    <row r="123" spans="3:29" x14ac:dyDescent="0.25">
      <c r="C123">
        <v>3.39E-2</v>
      </c>
      <c r="D123">
        <f t="shared" si="3"/>
        <v>3.39</v>
      </c>
      <c r="E123" s="3">
        <v>3</v>
      </c>
      <c r="F123" s="3">
        <v>20</v>
      </c>
      <c r="G123" s="3">
        <f t="shared" si="4"/>
        <v>352.75221238938047</v>
      </c>
      <c r="H123" s="3">
        <f t="shared" si="2"/>
        <v>0</v>
      </c>
      <c r="I123" s="3">
        <f t="shared" si="5"/>
        <v>4.6607669616519178</v>
      </c>
      <c r="J123" s="3">
        <f t="shared" si="6"/>
        <v>5.1799410029498523</v>
      </c>
      <c r="K123" s="3">
        <f t="shared" si="7"/>
        <v>2.9911504424778763</v>
      </c>
      <c r="L123" s="3">
        <f t="shared" si="8"/>
        <v>18.823008849557521</v>
      </c>
      <c r="M123" s="3">
        <f t="shared" si="9"/>
        <v>23.598820058997049</v>
      </c>
      <c r="N123" s="3">
        <f t="shared" si="10"/>
        <v>20.274336283185843</v>
      </c>
      <c r="O123" s="3">
        <f t="shared" si="11"/>
        <v>2.1150442477876106</v>
      </c>
      <c r="P123" s="3">
        <f t="shared" si="12"/>
        <v>0.54277286135693215</v>
      </c>
      <c r="Q123" s="3">
        <f t="shared" si="13"/>
        <v>4.2359882005899703</v>
      </c>
      <c r="R123" s="3">
        <f t="shared" si="14"/>
        <v>1.0265486725663717</v>
      </c>
      <c r="S123" s="3">
        <f t="shared" si="26"/>
        <v>0.40412979351032452</v>
      </c>
      <c r="T123" s="3">
        <f t="shared" si="27"/>
        <v>1.1651917404129795</v>
      </c>
      <c r="U123" s="3">
        <f t="shared" si="28"/>
        <v>3.0825958702064895</v>
      </c>
      <c r="V123" s="3">
        <f t="shared" si="29"/>
        <v>7.9882005899705009</v>
      </c>
      <c r="W123" s="3">
        <f t="shared" si="30"/>
        <v>5.4896755162241888</v>
      </c>
      <c r="X123" s="3">
        <f t="shared" si="31"/>
        <v>24.174041297935105</v>
      </c>
      <c r="Y123" s="3">
        <f t="shared" si="32"/>
        <v>93.324483775811203</v>
      </c>
      <c r="Z123" s="3">
        <f t="shared" si="33"/>
        <v>34.613569321533923</v>
      </c>
      <c r="AA123" s="3">
        <f t="shared" si="34"/>
        <v>2.5929203539823007</v>
      </c>
      <c r="AB123" s="3">
        <f t="shared" si="35"/>
        <v>306.23893805309734</v>
      </c>
      <c r="AC123" s="3">
        <f t="shared" si="36"/>
        <v>11.401179941002949</v>
      </c>
    </row>
    <row r="124" spans="3:29" x14ac:dyDescent="0.25">
      <c r="C124">
        <v>3.0599999999999999E-2</v>
      </c>
      <c r="D124">
        <f t="shared" si="3"/>
        <v>3.06</v>
      </c>
      <c r="E124" s="3">
        <v>3</v>
      </c>
      <c r="F124" s="3">
        <v>21</v>
      </c>
      <c r="G124" s="3">
        <f t="shared" si="4"/>
        <v>211.58169934640523</v>
      </c>
      <c r="H124" s="3">
        <f t="shared" si="2"/>
        <v>0</v>
      </c>
      <c r="I124" s="3">
        <f t="shared" si="5"/>
        <v>3.5065359477124183</v>
      </c>
      <c r="J124" s="3">
        <f t="shared" si="6"/>
        <v>3.5849673202614381</v>
      </c>
      <c r="K124" s="3">
        <f t="shared" si="7"/>
        <v>0</v>
      </c>
      <c r="L124" s="3">
        <f t="shared" si="8"/>
        <v>24.957516339869283</v>
      </c>
      <c r="M124" s="3">
        <f t="shared" si="9"/>
        <v>14.509803921568627</v>
      </c>
      <c r="N124" s="3">
        <f t="shared" si="10"/>
        <v>18.222222222222221</v>
      </c>
      <c r="O124" s="3">
        <f t="shared" si="11"/>
        <v>3.0457516339869279</v>
      </c>
      <c r="P124" s="3">
        <f t="shared" si="12"/>
        <v>0.4509803921568627</v>
      </c>
      <c r="Q124" s="3">
        <f t="shared" si="13"/>
        <v>0.79738562091503262</v>
      </c>
      <c r="R124" s="3">
        <f t="shared" si="14"/>
        <v>1.0032679738562091</v>
      </c>
      <c r="S124" s="3">
        <f t="shared" si="26"/>
        <v>0.3202614379084967</v>
      </c>
      <c r="T124" s="3">
        <f t="shared" si="27"/>
        <v>0.39869281045751631</v>
      </c>
      <c r="U124" s="3">
        <f t="shared" si="28"/>
        <v>1.3725490196078431</v>
      </c>
      <c r="V124" s="3">
        <f t="shared" si="29"/>
        <v>3.9836601307189539</v>
      </c>
      <c r="W124" s="3">
        <f t="shared" si="30"/>
        <v>4.6013071895424833</v>
      </c>
      <c r="X124" s="3">
        <f t="shared" si="31"/>
        <v>9.5915032679738559</v>
      </c>
      <c r="Y124" s="3">
        <f t="shared" si="32"/>
        <v>69.74183006535948</v>
      </c>
      <c r="Z124" s="3">
        <f t="shared" si="33"/>
        <v>24.078431372549023</v>
      </c>
      <c r="AA124" s="3">
        <f t="shared" si="34"/>
        <v>3.8300653594771243</v>
      </c>
      <c r="AB124" s="3">
        <f t="shared" si="35"/>
        <v>205.15032679738562</v>
      </c>
      <c r="AC124" s="3">
        <f t="shared" si="36"/>
        <v>7.5294117647058822</v>
      </c>
    </row>
    <row r="125" spans="3:29" x14ac:dyDescent="0.25">
      <c r="C125">
        <v>2.9499999999999998E-2</v>
      </c>
      <c r="D125">
        <f t="shared" si="3"/>
        <v>2.9499999999999997</v>
      </c>
      <c r="E125" s="3">
        <v>3</v>
      </c>
      <c r="F125" s="3">
        <v>22</v>
      </c>
      <c r="G125" s="3">
        <f t="shared" si="4"/>
        <v>186.05084745762716</v>
      </c>
      <c r="H125" s="3">
        <f t="shared" si="2"/>
        <v>0</v>
      </c>
      <c r="I125" s="3">
        <f t="shared" si="5"/>
        <v>2.1694915254237293</v>
      </c>
      <c r="J125" s="3">
        <f t="shared" si="6"/>
        <v>2.4915254237288136</v>
      </c>
      <c r="K125" s="3">
        <f t="shared" si="7"/>
        <v>0</v>
      </c>
      <c r="L125" s="3">
        <f t="shared" si="8"/>
        <v>13.633898305084747</v>
      </c>
      <c r="M125" s="3">
        <f t="shared" si="9"/>
        <v>14.623728813559323</v>
      </c>
      <c r="N125" s="3">
        <f t="shared" si="10"/>
        <v>9.4169491525423741</v>
      </c>
      <c r="O125" s="3">
        <f t="shared" si="11"/>
        <v>2.0372881355932204</v>
      </c>
      <c r="P125" s="3">
        <f t="shared" si="12"/>
        <v>0.31186440677966104</v>
      </c>
      <c r="Q125" s="3">
        <f t="shared" si="13"/>
        <v>0.14237288135593221</v>
      </c>
      <c r="R125" s="3">
        <f t="shared" si="14"/>
        <v>0.72881355932203395</v>
      </c>
      <c r="S125" s="3">
        <f t="shared" si="26"/>
        <v>0.12542372881355934</v>
      </c>
      <c r="T125" s="3">
        <f t="shared" si="27"/>
        <v>0.54576271186440684</v>
      </c>
      <c r="U125" s="3">
        <f t="shared" si="28"/>
        <v>1.2813559322033898</v>
      </c>
      <c r="V125" s="3">
        <f t="shared" si="29"/>
        <v>2.6644067796610171</v>
      </c>
      <c r="W125" s="3">
        <f t="shared" si="30"/>
        <v>3.7932203389830512</v>
      </c>
      <c r="X125" s="3">
        <f t="shared" si="31"/>
        <v>8.2000000000000011</v>
      </c>
      <c r="Y125" s="3">
        <f t="shared" si="32"/>
        <v>69.335593220338993</v>
      </c>
      <c r="Z125" s="3">
        <f t="shared" si="33"/>
        <v>18.45084745762712</v>
      </c>
      <c r="AA125" s="3">
        <f t="shared" si="34"/>
        <v>2.2983050847457629</v>
      </c>
      <c r="AB125" s="3">
        <f t="shared" si="35"/>
        <v>86.430508474576285</v>
      </c>
      <c r="AC125" s="3">
        <f t="shared" si="36"/>
        <v>4.6983050847457628</v>
      </c>
    </row>
    <row r="126" spans="3:29" x14ac:dyDescent="0.25">
      <c r="C126">
        <v>2.1100000000000001E-2</v>
      </c>
      <c r="D126">
        <f t="shared" si="3"/>
        <v>2.11</v>
      </c>
      <c r="E126" s="3">
        <v>3</v>
      </c>
      <c r="F126" s="3">
        <v>23</v>
      </c>
      <c r="G126" s="3">
        <f t="shared" si="4"/>
        <v>166.11848341232229</v>
      </c>
      <c r="H126" s="3">
        <f t="shared" si="2"/>
        <v>0</v>
      </c>
      <c r="I126" s="3">
        <f t="shared" si="5"/>
        <v>4.1327014218009488</v>
      </c>
      <c r="J126" s="3">
        <f t="shared" si="6"/>
        <v>4.1232227488151656</v>
      </c>
      <c r="K126" s="3">
        <f t="shared" si="7"/>
        <v>1.3886255924170618</v>
      </c>
      <c r="L126" s="3">
        <f t="shared" si="8"/>
        <v>34.824644549763036</v>
      </c>
      <c r="M126" s="3">
        <f t="shared" si="9"/>
        <v>19.85308056872038</v>
      </c>
      <c r="N126" s="3">
        <f t="shared" si="10"/>
        <v>13.165876777251187</v>
      </c>
      <c r="O126" s="3">
        <f t="shared" si="11"/>
        <v>3.7014218009478674</v>
      </c>
      <c r="P126" s="3">
        <f t="shared" si="12"/>
        <v>0.61611374407582942</v>
      </c>
      <c r="Q126" s="3">
        <f t="shared" si="13"/>
        <v>0.57345971563981046</v>
      </c>
      <c r="R126" s="3">
        <f t="shared" si="14"/>
        <v>1.14218009478673</v>
      </c>
      <c r="S126" s="3">
        <f>S36/B36</f>
        <v>0.13744075829383887</v>
      </c>
      <c r="T126" s="3">
        <f t="shared" si="27"/>
        <v>1.1327014218009479</v>
      </c>
      <c r="U126" s="3">
        <f t="shared" si="28"/>
        <v>2.0663507109004744</v>
      </c>
      <c r="V126" s="3">
        <f t="shared" si="29"/>
        <v>3.9431279620853084</v>
      </c>
      <c r="W126" s="3">
        <f t="shared" si="30"/>
        <v>5.75829383886256</v>
      </c>
      <c r="X126" s="3">
        <f t="shared" si="31"/>
        <v>22.786729857819907</v>
      </c>
      <c r="Y126" s="3">
        <f t="shared" si="32"/>
        <v>266.61137440758296</v>
      </c>
      <c r="Z126" s="3">
        <f t="shared" si="33"/>
        <v>32.592417061611371</v>
      </c>
      <c r="AA126" s="3">
        <f t="shared" si="34"/>
        <v>8.3696682464454977</v>
      </c>
      <c r="AB126" s="3">
        <f t="shared" si="35"/>
        <v>219.96208530805688</v>
      </c>
      <c r="AC126" s="3">
        <f t="shared" si="36"/>
        <v>7.0995260663507116</v>
      </c>
    </row>
    <row r="127" spans="3:29" x14ac:dyDescent="0.25">
      <c r="C127">
        <v>2.7699999999999999E-2</v>
      </c>
      <c r="D127">
        <f t="shared" si="3"/>
        <v>2.77</v>
      </c>
      <c r="E127" s="3">
        <v>3</v>
      </c>
      <c r="F127" s="3">
        <v>24</v>
      </c>
      <c r="G127" s="3">
        <f>G37/B37</f>
        <v>320.85559566787003</v>
      </c>
      <c r="H127" s="3">
        <f t="shared" si="2"/>
        <v>2.5379061371841156</v>
      </c>
      <c r="I127" s="3">
        <f t="shared" si="5"/>
        <v>4.5270758122743677</v>
      </c>
      <c r="J127" s="3">
        <f t="shared" si="6"/>
        <v>6.046931407942238</v>
      </c>
      <c r="K127" s="3">
        <f t="shared" si="7"/>
        <v>1.3971119133574008</v>
      </c>
      <c r="L127" s="3">
        <f t="shared" si="8"/>
        <v>39.620938628158846</v>
      </c>
      <c r="M127" s="3">
        <f t="shared" si="9"/>
        <v>24.151624548736464</v>
      </c>
      <c r="N127" s="3">
        <f t="shared" si="10"/>
        <v>22.826714801444041</v>
      </c>
      <c r="O127" s="3">
        <f t="shared" si="11"/>
        <v>3.2851985559566788</v>
      </c>
      <c r="P127" s="3">
        <f t="shared" si="12"/>
        <v>0.68953068592057754</v>
      </c>
      <c r="Q127" s="3">
        <f t="shared" si="13"/>
        <v>2.9855595667870034</v>
      </c>
      <c r="R127" s="3">
        <f t="shared" si="14"/>
        <v>1.0613718411552346</v>
      </c>
      <c r="S127" s="3">
        <f t="shared" ref="S127:S133" si="37">S37/B37</f>
        <v>0.49458483754512639</v>
      </c>
      <c r="T127" s="3">
        <f t="shared" si="27"/>
        <v>1.3537906137184115</v>
      </c>
      <c r="U127" s="3">
        <f t="shared" si="28"/>
        <v>4.7039711191335734</v>
      </c>
      <c r="V127" s="3">
        <f t="shared" si="29"/>
        <v>6.9602888086642603</v>
      </c>
      <c r="W127" s="3">
        <f t="shared" si="30"/>
        <v>5.231046931407942</v>
      </c>
      <c r="X127" s="3">
        <f t="shared" si="31"/>
        <v>23.63176895306859</v>
      </c>
      <c r="Y127" s="3">
        <f t="shared" si="32"/>
        <v>201.33212996389892</v>
      </c>
      <c r="Z127" s="3">
        <f t="shared" si="33"/>
        <v>66.920577617328519</v>
      </c>
      <c r="AA127" s="3">
        <f t="shared" si="34"/>
        <v>10.610108303249097</v>
      </c>
      <c r="AB127" s="3">
        <f t="shared" si="35"/>
        <v>202.41516245487367</v>
      </c>
      <c r="AC127" s="3">
        <f t="shared" si="36"/>
        <v>9.5920577617328515</v>
      </c>
    </row>
    <row r="128" spans="3:29" x14ac:dyDescent="0.25">
      <c r="C128">
        <v>3.0099999999999998E-2</v>
      </c>
      <c r="D128">
        <f t="shared" si="3"/>
        <v>3.01</v>
      </c>
      <c r="E128" s="3">
        <v>3</v>
      </c>
      <c r="F128" s="3">
        <v>25</v>
      </c>
      <c r="G128" s="3">
        <f t="shared" si="4"/>
        <v>527.92691029900334</v>
      </c>
      <c r="H128" s="3">
        <f t="shared" si="2"/>
        <v>1.7076411960132891</v>
      </c>
      <c r="I128" s="3">
        <f t="shared" si="5"/>
        <v>6.6710963455149503</v>
      </c>
      <c r="J128" s="3">
        <f t="shared" si="6"/>
        <v>7.614617940199337</v>
      </c>
      <c r="K128" s="3">
        <f t="shared" si="7"/>
        <v>4.6644518272425248</v>
      </c>
      <c r="L128" s="3">
        <f t="shared" si="8"/>
        <v>27.2890365448505</v>
      </c>
      <c r="M128" s="3">
        <f t="shared" si="9"/>
        <v>28.441860465116282</v>
      </c>
      <c r="N128" s="3">
        <f t="shared" si="10"/>
        <v>39.980066445182729</v>
      </c>
      <c r="O128" s="3">
        <f t="shared" si="11"/>
        <v>4.0033222591362128</v>
      </c>
      <c r="P128" s="3">
        <f t="shared" si="12"/>
        <v>1.0166112956810631</v>
      </c>
      <c r="Q128" s="3">
        <f t="shared" si="13"/>
        <v>6.9302325581395348</v>
      </c>
      <c r="R128" s="3">
        <f t="shared" si="14"/>
        <v>2.1827242524916945</v>
      </c>
      <c r="S128" s="3">
        <f t="shared" si="37"/>
        <v>0.29900332225913623</v>
      </c>
      <c r="T128" s="3">
        <f t="shared" si="27"/>
        <v>2.6445182724252492</v>
      </c>
      <c r="U128" s="3">
        <f t="shared" si="28"/>
        <v>3.4119601328903655</v>
      </c>
      <c r="V128" s="3">
        <f t="shared" si="29"/>
        <v>11.521594684385382</v>
      </c>
      <c r="W128" s="3">
        <f t="shared" si="30"/>
        <v>7.9136212624584727</v>
      </c>
      <c r="X128" s="3">
        <f t="shared" si="31"/>
        <v>21.159468438538205</v>
      </c>
      <c r="Y128" s="3">
        <f t="shared" si="32"/>
        <v>125.66112956810632</v>
      </c>
      <c r="Z128" s="3">
        <f t="shared" si="33"/>
        <v>49.501661129568113</v>
      </c>
      <c r="AA128" s="3">
        <f t="shared" si="34"/>
        <v>5.4186046511627906</v>
      </c>
      <c r="AB128" s="3">
        <f t="shared" si="35"/>
        <v>522.98006644518273</v>
      </c>
      <c r="AC128" s="3">
        <f t="shared" si="36"/>
        <v>19.916943521594686</v>
      </c>
    </row>
    <row r="129" spans="3:29" x14ac:dyDescent="0.25">
      <c r="C129">
        <v>4.1300000000000003E-2</v>
      </c>
      <c r="D129">
        <f t="shared" si="3"/>
        <v>4.1300000000000008</v>
      </c>
      <c r="E129" s="3">
        <v>3</v>
      </c>
      <c r="F129" s="3">
        <v>26</v>
      </c>
      <c r="G129" s="3">
        <f t="shared" si="4"/>
        <v>381.63196125907984</v>
      </c>
      <c r="H129" s="3">
        <f t="shared" si="2"/>
        <v>16.75060532687651</v>
      </c>
      <c r="I129" s="3">
        <f t="shared" si="5"/>
        <v>5.0217917675544781</v>
      </c>
      <c r="J129" s="3">
        <f t="shared" si="6"/>
        <v>4.6150121065375291</v>
      </c>
      <c r="K129" s="3">
        <f t="shared" si="7"/>
        <v>3.0871670702179173</v>
      </c>
      <c r="L129" s="3">
        <f t="shared" si="8"/>
        <v>71.602905569007262</v>
      </c>
      <c r="M129" s="3">
        <f t="shared" si="9"/>
        <v>20.728813559322031</v>
      </c>
      <c r="N129" s="3">
        <f t="shared" si="10"/>
        <v>13.501210653753024</v>
      </c>
      <c r="O129" s="3">
        <f t="shared" si="11"/>
        <v>1.8135593220338979</v>
      </c>
      <c r="P129" s="3">
        <f t="shared" si="12"/>
        <v>0.81355932203389814</v>
      </c>
      <c r="Q129" s="3">
        <f t="shared" si="13"/>
        <v>3.101694915254237</v>
      </c>
      <c r="R129" s="3">
        <f t="shared" si="14"/>
        <v>0.84261501210653733</v>
      </c>
      <c r="S129" s="3">
        <f t="shared" si="37"/>
        <v>0.38983050847457623</v>
      </c>
      <c r="T129" s="3">
        <f t="shared" si="27"/>
        <v>1.3292978208232444</v>
      </c>
      <c r="U129" s="3">
        <f t="shared" si="28"/>
        <v>9.476997578692492</v>
      </c>
      <c r="V129" s="3">
        <f t="shared" si="29"/>
        <v>5.7239709443099267</v>
      </c>
      <c r="W129" s="3">
        <f t="shared" si="30"/>
        <v>4.8377723970944304</v>
      </c>
      <c r="X129" s="3">
        <f t="shared" si="31"/>
        <v>124.68280871670702</v>
      </c>
      <c r="Y129" s="3">
        <f t="shared" si="32"/>
        <v>557.52542372881339</v>
      </c>
      <c r="Z129" s="3">
        <f t="shared" si="33"/>
        <v>81.292978208232427</v>
      </c>
      <c r="AA129" s="3">
        <f t="shared" si="34"/>
        <v>17.9273607748184</v>
      </c>
      <c r="AB129" s="3">
        <f t="shared" si="35"/>
        <v>313.18159806295392</v>
      </c>
      <c r="AC129" s="3">
        <f t="shared" si="36"/>
        <v>10.852300242130749</v>
      </c>
    </row>
    <row r="130" spans="3:29" x14ac:dyDescent="0.25">
      <c r="C130">
        <v>2.5399999999999999E-2</v>
      </c>
      <c r="D130">
        <f t="shared" si="3"/>
        <v>2.54</v>
      </c>
      <c r="E130" s="3">
        <v>3</v>
      </c>
      <c r="F130" s="3">
        <v>27</v>
      </c>
      <c r="G130" s="3">
        <f t="shared" si="4"/>
        <v>405.3661417322835</v>
      </c>
      <c r="H130" s="3">
        <f t="shared" si="2"/>
        <v>0</v>
      </c>
      <c r="I130" s="3">
        <f t="shared" si="5"/>
        <v>4.5866141732283463</v>
      </c>
      <c r="J130" s="3">
        <f t="shared" si="6"/>
        <v>6.0669291338582676</v>
      </c>
      <c r="K130" s="3">
        <f t="shared" si="7"/>
        <v>0.77559055118110232</v>
      </c>
      <c r="L130" s="3">
        <f t="shared" si="8"/>
        <v>15.440944881889763</v>
      </c>
      <c r="M130" s="3">
        <f t="shared" si="9"/>
        <v>22.405511811023619</v>
      </c>
      <c r="N130" s="3">
        <f t="shared" si="10"/>
        <v>31.996062992125982</v>
      </c>
      <c r="O130" s="3">
        <f t="shared" si="11"/>
        <v>3.1181102362204722</v>
      </c>
      <c r="P130" s="3">
        <f t="shared" si="12"/>
        <v>0.60236220472440949</v>
      </c>
      <c r="Q130" s="3">
        <f t="shared" si="13"/>
        <v>4.7165354330708666</v>
      </c>
      <c r="R130" s="3">
        <f t="shared" si="14"/>
        <v>1.0551181102362206</v>
      </c>
      <c r="S130" s="3">
        <f t="shared" si="37"/>
        <v>0.51181102362204722</v>
      </c>
      <c r="T130" s="3">
        <f t="shared" si="27"/>
        <v>2.4606299212598426</v>
      </c>
      <c r="U130" s="3">
        <f t="shared" si="28"/>
        <v>2.0944881889763782</v>
      </c>
      <c r="V130" s="3">
        <f t="shared" si="29"/>
        <v>7.8622047244094482</v>
      </c>
      <c r="W130" s="3">
        <f t="shared" si="30"/>
        <v>6.1653543307086611</v>
      </c>
      <c r="X130" s="3">
        <f t="shared" si="31"/>
        <v>10.566929133858267</v>
      </c>
      <c r="Y130" s="3">
        <f t="shared" si="32"/>
        <v>150.26377952755905</v>
      </c>
      <c r="Z130" s="3">
        <f t="shared" si="33"/>
        <v>22.9251968503937</v>
      </c>
      <c r="AA130" s="3">
        <f t="shared" si="34"/>
        <v>2.7755905511811023</v>
      </c>
      <c r="AB130" s="3">
        <f t="shared" si="35"/>
        <v>108.92913385826772</v>
      </c>
      <c r="AC130" s="3">
        <f t="shared" si="36"/>
        <v>10.929133858267717</v>
      </c>
    </row>
    <row r="131" spans="3:29" x14ac:dyDescent="0.25">
      <c r="C131">
        <v>2.81E-2</v>
      </c>
      <c r="D131">
        <f t="shared" si="3"/>
        <v>2.81</v>
      </c>
      <c r="E131" s="3">
        <v>3</v>
      </c>
      <c r="F131" s="3">
        <v>28</v>
      </c>
      <c r="G131" s="3">
        <f t="shared" si="4"/>
        <v>422.07117437722417</v>
      </c>
      <c r="H131" s="3">
        <f t="shared" si="2"/>
        <v>1.8291814946619216</v>
      </c>
      <c r="I131" s="3">
        <f t="shared" si="5"/>
        <v>4.462633451957295</v>
      </c>
      <c r="J131" s="3">
        <f t="shared" si="6"/>
        <v>5.1067615658362984</v>
      </c>
      <c r="K131" s="3">
        <f t="shared" si="7"/>
        <v>2.3487544483985765</v>
      </c>
      <c r="L131" s="3">
        <f t="shared" si="8"/>
        <v>25.807829181494661</v>
      </c>
      <c r="M131" s="3">
        <f t="shared" si="9"/>
        <v>20.252669039145907</v>
      </c>
      <c r="N131" s="3">
        <f t="shared" si="10"/>
        <v>15.722419928825623</v>
      </c>
      <c r="O131" s="3">
        <f t="shared" si="11"/>
        <v>3.2775800711743774</v>
      </c>
      <c r="P131" s="3">
        <f t="shared" si="12"/>
        <v>0.59786476868327398</v>
      </c>
      <c r="Q131" s="3">
        <f t="shared" si="13"/>
        <v>2.1672597864768681</v>
      </c>
      <c r="R131" s="3">
        <f t="shared" si="14"/>
        <v>1.3345195729537367</v>
      </c>
      <c r="S131" s="3">
        <f t="shared" si="37"/>
        <v>0.46263345195729538</v>
      </c>
      <c r="T131" s="3">
        <f t="shared" si="27"/>
        <v>1.1281138790035588</v>
      </c>
      <c r="U131" s="3">
        <f t="shared" si="28"/>
        <v>2.2953736654804269</v>
      </c>
      <c r="V131" s="3">
        <f t="shared" si="29"/>
        <v>5.4768683274021353</v>
      </c>
      <c r="W131" s="3">
        <f t="shared" si="30"/>
        <v>5.4519572953736652</v>
      </c>
      <c r="X131" s="3">
        <f t="shared" si="31"/>
        <v>46.444839857651239</v>
      </c>
      <c r="Y131" s="3">
        <f t="shared" si="32"/>
        <v>276.88612099644126</v>
      </c>
      <c r="Z131" s="3">
        <f t="shared" si="33"/>
        <v>64.167259786476862</v>
      </c>
      <c r="AA131" s="3">
        <f t="shared" si="34"/>
        <v>11.843416370106763</v>
      </c>
      <c r="AB131" s="3">
        <f t="shared" si="35"/>
        <v>297.93950177935943</v>
      </c>
      <c r="AC131" s="3">
        <f t="shared" si="36"/>
        <v>9.0355871886120998</v>
      </c>
    </row>
    <row r="132" spans="3:29" x14ac:dyDescent="0.25">
      <c r="C132">
        <v>3.1E-2</v>
      </c>
      <c r="D132">
        <f t="shared" si="3"/>
        <v>3.1</v>
      </c>
      <c r="E132" s="3">
        <v>3</v>
      </c>
      <c r="F132" s="3">
        <v>29</v>
      </c>
      <c r="G132" s="3">
        <f t="shared" si="4"/>
        <v>258.05806451612904</v>
      </c>
      <c r="H132" s="3">
        <f t="shared" si="2"/>
        <v>0</v>
      </c>
      <c r="I132" s="3">
        <f t="shared" si="5"/>
        <v>3.1451612903225805</v>
      </c>
      <c r="J132" s="3">
        <f t="shared" si="6"/>
        <v>5.9290322580645158</v>
      </c>
      <c r="K132" s="3">
        <f t="shared" si="7"/>
        <v>0.94516129032258067</v>
      </c>
      <c r="L132" s="3">
        <f t="shared" si="8"/>
        <v>18.06774193548387</v>
      </c>
      <c r="M132" s="3">
        <f t="shared" si="9"/>
        <v>18.35806451612903</v>
      </c>
      <c r="N132" s="3">
        <f t="shared" si="10"/>
        <v>22.758064516129032</v>
      </c>
      <c r="O132" s="3">
        <f t="shared" si="11"/>
        <v>3.1806451612903222</v>
      </c>
      <c r="P132" s="3">
        <f t="shared" si="12"/>
        <v>0.59354838709677415</v>
      </c>
      <c r="Q132" s="3">
        <f t="shared" si="13"/>
        <v>3.8290322580645157</v>
      </c>
      <c r="R132" s="3">
        <f t="shared" si="14"/>
        <v>1.1225806451612903</v>
      </c>
      <c r="S132" s="3">
        <f t="shared" si="37"/>
        <v>0.29032258064516131</v>
      </c>
      <c r="T132" s="3">
        <f t="shared" si="27"/>
        <v>1.3967741935483871</v>
      </c>
      <c r="U132" s="3">
        <f t="shared" si="28"/>
        <v>1.767741935483871</v>
      </c>
      <c r="V132" s="3">
        <f t="shared" si="29"/>
        <v>5.9225806451612897</v>
      </c>
      <c r="W132" s="3">
        <f t="shared" si="30"/>
        <v>5.2967741935483872</v>
      </c>
      <c r="X132" s="3">
        <f t="shared" si="31"/>
        <v>7.419354838709677</v>
      </c>
      <c r="Y132" s="3">
        <f t="shared" si="32"/>
        <v>128.95806451612901</v>
      </c>
      <c r="Z132" s="3">
        <f t="shared" si="33"/>
        <v>29.983870967741936</v>
      </c>
      <c r="AA132" s="3">
        <f t="shared" si="34"/>
        <v>4.5354838709677416</v>
      </c>
      <c r="AB132" s="3">
        <f t="shared" si="35"/>
        <v>90.945161290322574</v>
      </c>
      <c r="AC132" s="3">
        <f t="shared" si="36"/>
        <v>8.1903225806451605</v>
      </c>
    </row>
    <row r="133" spans="3:29" x14ac:dyDescent="0.25">
      <c r="C133">
        <v>2.9000000000000001E-2</v>
      </c>
      <c r="D133">
        <f t="shared" si="3"/>
        <v>2.9000000000000004</v>
      </c>
      <c r="E133" s="3">
        <v>4</v>
      </c>
      <c r="F133" s="3">
        <v>31</v>
      </c>
      <c r="G133" s="3">
        <f t="shared" si="4"/>
        <v>288.72758620689649</v>
      </c>
      <c r="H133" s="3">
        <f t="shared" si="2"/>
        <v>0</v>
      </c>
      <c r="I133" s="3">
        <f t="shared" si="5"/>
        <v>5.9620689655172407</v>
      </c>
      <c r="J133" s="3">
        <f t="shared" si="6"/>
        <v>8.6310344827586203</v>
      </c>
      <c r="K133" s="3">
        <f t="shared" si="7"/>
        <v>5.5758620689655167</v>
      </c>
      <c r="L133" s="3">
        <f t="shared" si="8"/>
        <v>24.675862068965515</v>
      </c>
      <c r="M133" s="3">
        <f t="shared" si="9"/>
        <v>30.37931034482758</v>
      </c>
      <c r="N133" s="3">
        <f t="shared" si="10"/>
        <v>52.031034482758606</v>
      </c>
      <c r="O133" s="3">
        <f t="shared" si="11"/>
        <v>3.5482758620689649</v>
      </c>
      <c r="P133" s="3">
        <f t="shared" si="12"/>
        <v>1.0275862068965516</v>
      </c>
      <c r="Q133" s="3">
        <f t="shared" si="13"/>
        <v>7.6103448275862062</v>
      </c>
      <c r="R133" s="3">
        <f t="shared" si="14"/>
        <v>2.1655172413793102</v>
      </c>
      <c r="S133" s="3">
        <f t="shared" si="37"/>
        <v>0.64137931034482754</v>
      </c>
      <c r="T133" s="3">
        <f t="shared" si="27"/>
        <v>3.4655172413793101</v>
      </c>
      <c r="U133" s="3">
        <f t="shared" si="28"/>
        <v>3.8241379310344823</v>
      </c>
      <c r="V133" s="3">
        <f t="shared" si="29"/>
        <v>12.59655172413793</v>
      </c>
      <c r="W133" s="3">
        <f t="shared" si="30"/>
        <v>8.7310344827586199</v>
      </c>
      <c r="X133" s="3">
        <f t="shared" si="31"/>
        <v>14.951724137931032</v>
      </c>
      <c r="Y133" s="3">
        <f t="shared" si="32"/>
        <v>96.396551724137922</v>
      </c>
      <c r="Z133" s="3">
        <f t="shared" si="33"/>
        <v>37.713793103448275</v>
      </c>
      <c r="AA133" s="3">
        <f t="shared" si="34"/>
        <v>5.3034482758620687</v>
      </c>
      <c r="AB133" s="3">
        <f t="shared" si="35"/>
        <v>231.95517241379306</v>
      </c>
      <c r="AC133" s="3">
        <f t="shared" si="36"/>
        <v>20.672413793103448</v>
      </c>
    </row>
    <row r="134" spans="3:29" x14ac:dyDescent="0.25">
      <c r="C134">
        <v>3.6499999999999998E-2</v>
      </c>
      <c r="D134">
        <f t="shared" si="3"/>
        <v>3.65</v>
      </c>
      <c r="E134" s="3">
        <v>4</v>
      </c>
      <c r="F134" s="3">
        <v>32</v>
      </c>
      <c r="G134" s="3">
        <f t="shared" si="4"/>
        <v>453.39726027397262</v>
      </c>
      <c r="H134" s="3">
        <f t="shared" si="2"/>
        <v>0.84657534246575339</v>
      </c>
      <c r="I134" s="3">
        <f t="shared" si="5"/>
        <v>7.6602739726027398</v>
      </c>
      <c r="J134" s="3">
        <f t="shared" si="6"/>
        <v>7.4027397260273977</v>
      </c>
      <c r="K134" s="3">
        <f t="shared" si="7"/>
        <v>3.375342465753425</v>
      </c>
      <c r="L134" s="3">
        <f t="shared" si="8"/>
        <v>45.526027397260272</v>
      </c>
      <c r="M134" s="3">
        <f t="shared" si="9"/>
        <v>26.86849315068493</v>
      </c>
      <c r="N134" s="3">
        <f t="shared" si="10"/>
        <v>35.205479452054796</v>
      </c>
      <c r="O134" s="3">
        <f t="shared" si="11"/>
        <v>2.4054794520547942</v>
      </c>
      <c r="P134" s="3">
        <f t="shared" si="12"/>
        <v>0.75342465753424659</v>
      </c>
      <c r="Q134" s="3">
        <f t="shared" si="13"/>
        <v>5.5506849315068498</v>
      </c>
      <c r="R134" s="3">
        <f t="shared" si="14"/>
        <v>1.4082191780821918</v>
      </c>
      <c r="S134" s="3">
        <f t="shared" si="26"/>
        <v>0.61917808219178083</v>
      </c>
      <c r="T134" s="3">
        <f t="shared" si="27"/>
        <v>4.9095890410958907</v>
      </c>
      <c r="U134" s="3">
        <f t="shared" si="28"/>
        <v>3.9260273972602739</v>
      </c>
      <c r="V134" s="3">
        <f t="shared" si="29"/>
        <v>8.8712328767123303</v>
      </c>
      <c r="W134" s="3">
        <f t="shared" si="30"/>
        <v>10.561643835616438</v>
      </c>
      <c r="X134" s="3">
        <f t="shared" si="31"/>
        <v>25.273972602739725</v>
      </c>
      <c r="Y134" s="3">
        <f t="shared" si="32"/>
        <v>211.76986301369865</v>
      </c>
      <c r="Z134" s="3">
        <f t="shared" si="33"/>
        <v>70.265753424657547</v>
      </c>
      <c r="AA134" s="3">
        <f t="shared" si="34"/>
        <v>12.479452054794519</v>
      </c>
      <c r="AB134" s="3">
        <f t="shared" si="35"/>
        <v>313.49863013698632</v>
      </c>
      <c r="AC134" s="3">
        <f t="shared" si="36"/>
        <v>13.994520547945205</v>
      </c>
    </row>
    <row r="135" spans="3:29" x14ac:dyDescent="0.25">
      <c r="C135">
        <v>3.0599999999999999E-2</v>
      </c>
      <c r="D135">
        <f t="shared" si="3"/>
        <v>3.06</v>
      </c>
      <c r="E135" s="3">
        <v>4</v>
      </c>
      <c r="F135" s="3">
        <v>33</v>
      </c>
      <c r="G135" s="3">
        <f t="shared" si="4"/>
        <v>450.04575163398698</v>
      </c>
      <c r="H135" s="3">
        <f t="shared" si="2"/>
        <v>1.1830065359477124</v>
      </c>
      <c r="I135" s="3">
        <f t="shared" si="5"/>
        <v>5.1633986928104578</v>
      </c>
      <c r="J135" s="3">
        <f t="shared" si="6"/>
        <v>5.9150326797385624</v>
      </c>
      <c r="K135" s="3">
        <f t="shared" si="7"/>
        <v>3.4575163398692812</v>
      </c>
      <c r="L135" s="3">
        <f t="shared" si="8"/>
        <v>39.264705882352942</v>
      </c>
      <c r="M135" s="3">
        <f t="shared" si="9"/>
        <v>25.735294117647058</v>
      </c>
      <c r="N135" s="3">
        <f t="shared" si="10"/>
        <v>28.84967320261438</v>
      </c>
      <c r="O135" s="3">
        <f t="shared" si="11"/>
        <v>2.1699346405228757</v>
      </c>
      <c r="P135" s="3">
        <f t="shared" si="12"/>
        <v>0.84967320261437906</v>
      </c>
      <c r="Q135" s="3">
        <f t="shared" si="13"/>
        <v>3.7450980392156863</v>
      </c>
      <c r="R135" s="3">
        <f t="shared" si="14"/>
        <v>1.6339869281045751</v>
      </c>
      <c r="S135" s="3">
        <f t="shared" si="26"/>
        <v>0.39869281045751631</v>
      </c>
      <c r="T135" s="3">
        <f t="shared" si="27"/>
        <v>1.5424836601307188</v>
      </c>
      <c r="U135" s="3">
        <f t="shared" si="28"/>
        <v>3.9967320261437909</v>
      </c>
      <c r="V135" s="3">
        <f t="shared" si="29"/>
        <v>7.4248366013071889</v>
      </c>
      <c r="W135" s="3">
        <f t="shared" si="30"/>
        <v>5.4084967320261441</v>
      </c>
      <c r="X135" s="3">
        <f t="shared" si="31"/>
        <v>149.55882352941177</v>
      </c>
      <c r="Y135" s="3">
        <f t="shared" si="32"/>
        <v>286.3660130718954</v>
      </c>
      <c r="Z135" s="3">
        <f t="shared" si="33"/>
        <v>49.535947712418306</v>
      </c>
      <c r="AA135" s="3">
        <f t="shared" si="34"/>
        <v>7.7941176470588243</v>
      </c>
      <c r="AB135" s="3">
        <f t="shared" si="35"/>
        <v>418.52941176470591</v>
      </c>
      <c r="AC135" s="3">
        <f t="shared" si="36"/>
        <v>14.241830065359476</v>
      </c>
    </row>
    <row r="136" spans="3:29" x14ac:dyDescent="0.25">
      <c r="C136">
        <v>4.4400000000000002E-2</v>
      </c>
      <c r="D136">
        <f t="shared" si="3"/>
        <v>4.4400000000000004</v>
      </c>
      <c r="E136" s="3">
        <v>4</v>
      </c>
      <c r="F136" s="3">
        <v>34</v>
      </c>
      <c r="G136" s="3">
        <f t="shared" si="4"/>
        <v>199.60360360360357</v>
      </c>
      <c r="H136" s="3">
        <f t="shared" si="2"/>
        <v>0</v>
      </c>
      <c r="I136" s="3">
        <f t="shared" si="5"/>
        <v>2.6238738738738738</v>
      </c>
      <c r="J136" s="3">
        <f t="shared" si="6"/>
        <v>3.3513513513513513</v>
      </c>
      <c r="K136" s="3">
        <f t="shared" si="7"/>
        <v>1.0788288288288288</v>
      </c>
      <c r="L136" s="3">
        <f t="shared" si="8"/>
        <v>20.222972972972972</v>
      </c>
      <c r="M136" s="3">
        <f t="shared" si="9"/>
        <v>16.754504504504503</v>
      </c>
      <c r="N136" s="3">
        <f t="shared" si="10"/>
        <v>9.9504504504504503</v>
      </c>
      <c r="O136" s="3">
        <f t="shared" si="11"/>
        <v>1.5427927927927925</v>
      </c>
      <c r="P136" s="3">
        <f t="shared" si="12"/>
        <v>0.31081081081081074</v>
      </c>
      <c r="Q136" s="3">
        <f t="shared" si="13"/>
        <v>1.322072072072072</v>
      </c>
      <c r="R136" s="3">
        <f t="shared" si="14"/>
        <v>0.72297297297297292</v>
      </c>
      <c r="S136" s="3">
        <f t="shared" si="26"/>
        <v>0.30855855855855857</v>
      </c>
      <c r="T136" s="3">
        <f t="shared" si="27"/>
        <v>0.62612612612612606</v>
      </c>
      <c r="U136" s="3">
        <f t="shared" si="28"/>
        <v>2.894144144144144</v>
      </c>
      <c r="V136" s="3">
        <f t="shared" si="29"/>
        <v>3.826576576576576</v>
      </c>
      <c r="W136" s="3">
        <f t="shared" si="30"/>
        <v>3.4189189189189184</v>
      </c>
      <c r="X136" s="3">
        <f t="shared" si="31"/>
        <v>11.558558558558557</v>
      </c>
      <c r="Y136" s="3">
        <f t="shared" si="32"/>
        <v>77.549549549549539</v>
      </c>
      <c r="Z136" s="3">
        <f t="shared" si="33"/>
        <v>20.621621621621621</v>
      </c>
      <c r="AA136" s="3">
        <f t="shared" si="34"/>
        <v>1.5202702702702702</v>
      </c>
      <c r="AB136" s="3">
        <f t="shared" si="35"/>
        <v>84.743243243243228</v>
      </c>
      <c r="AC136" s="3">
        <f t="shared" si="36"/>
        <v>8.1531531531531538</v>
      </c>
    </row>
    <row r="137" spans="3:29" x14ac:dyDescent="0.25">
      <c r="C137">
        <v>4.9700000000000001E-2</v>
      </c>
      <c r="D137">
        <f t="shared" si="3"/>
        <v>4.97</v>
      </c>
      <c r="E137" s="3">
        <v>4</v>
      </c>
      <c r="F137" s="3">
        <v>35</v>
      </c>
      <c r="G137" s="3">
        <f t="shared" si="4"/>
        <v>117.25754527162978</v>
      </c>
      <c r="H137" s="3">
        <f t="shared" si="2"/>
        <v>73.34406438631791</v>
      </c>
      <c r="I137" s="3">
        <f t="shared" si="5"/>
        <v>12.311871227364186</v>
      </c>
      <c r="J137" s="3">
        <f t="shared" si="6"/>
        <v>6.5070422535211279</v>
      </c>
      <c r="K137" s="3">
        <f t="shared" si="7"/>
        <v>8.8631790744466805</v>
      </c>
      <c r="L137" s="3">
        <f t="shared" si="8"/>
        <v>230.5030181086519</v>
      </c>
      <c r="M137" s="3">
        <f t="shared" si="9"/>
        <v>39.555331991951711</v>
      </c>
      <c r="N137" s="3">
        <f t="shared" si="10"/>
        <v>18.458752515090541</v>
      </c>
      <c r="O137" s="3">
        <f t="shared" si="11"/>
        <v>1.5291750503018109</v>
      </c>
      <c r="P137" s="3">
        <f t="shared" si="12"/>
        <v>2.436619718309859</v>
      </c>
      <c r="Q137" s="3">
        <f t="shared" si="13"/>
        <v>1.8792756539235413</v>
      </c>
      <c r="R137" s="3">
        <f t="shared" si="14"/>
        <v>1.6740442655935615</v>
      </c>
      <c r="S137" s="3">
        <f t="shared" si="26"/>
        <v>0.63782696177062381</v>
      </c>
      <c r="T137" s="3">
        <f t="shared" si="27"/>
        <v>5.6579476861167004</v>
      </c>
      <c r="U137" s="3">
        <f t="shared" si="28"/>
        <v>157.13078470824951</v>
      </c>
      <c r="V137" s="3">
        <f t="shared" si="29"/>
        <v>5.9597585513078473</v>
      </c>
      <c r="W137" s="3">
        <f t="shared" si="30"/>
        <v>7.9336016096579476</v>
      </c>
      <c r="X137" s="3">
        <f t="shared" si="31"/>
        <v>156.9416498993964</v>
      </c>
      <c r="Y137" s="3">
        <f t="shared" si="32"/>
        <v>3393.2434607645873</v>
      </c>
      <c r="Z137" s="3">
        <f t="shared" si="33"/>
        <v>915.48088531187125</v>
      </c>
      <c r="AA137" s="3">
        <f t="shared" si="34"/>
        <v>140.08249496981892</v>
      </c>
      <c r="AB137" s="3">
        <f t="shared" si="35"/>
        <v>1684.5553319919518</v>
      </c>
      <c r="AC137" s="3">
        <f t="shared" si="36"/>
        <v>16.889336016096578</v>
      </c>
    </row>
    <row r="138" spans="3:29" x14ac:dyDescent="0.25">
      <c r="C138">
        <v>4.24E-2</v>
      </c>
      <c r="D138">
        <f t="shared" si="3"/>
        <v>4.24</v>
      </c>
      <c r="E138" s="3">
        <v>4</v>
      </c>
      <c r="F138" s="3">
        <v>36</v>
      </c>
      <c r="G138" s="3">
        <f t="shared" si="4"/>
        <v>289.68396226415092</v>
      </c>
      <c r="H138" s="3">
        <f t="shared" si="2"/>
        <v>41.544811320754718</v>
      </c>
      <c r="I138" s="3">
        <f t="shared" si="5"/>
        <v>6.7264150943396226</v>
      </c>
      <c r="J138" s="3">
        <f t="shared" si="6"/>
        <v>7.1839622641509431</v>
      </c>
      <c r="K138" s="3">
        <f t="shared" si="7"/>
        <v>6.1816037735849054</v>
      </c>
      <c r="L138" s="3">
        <f t="shared" si="8"/>
        <v>100.38443396226414</v>
      </c>
      <c r="M138" s="3">
        <f t="shared" si="9"/>
        <v>35.766509433962263</v>
      </c>
      <c r="N138" s="3">
        <f t="shared" si="10"/>
        <v>29.153301886792452</v>
      </c>
      <c r="O138" s="3">
        <f t="shared" si="11"/>
        <v>1.9693396226415092</v>
      </c>
      <c r="P138" s="3">
        <f t="shared" si="12"/>
        <v>1.1485849056603774</v>
      </c>
      <c r="Q138" s="3">
        <f t="shared" si="13"/>
        <v>6.0707547169811313</v>
      </c>
      <c r="R138" s="3">
        <f t="shared" si="14"/>
        <v>1.8584905660377358</v>
      </c>
      <c r="S138" s="3">
        <f t="shared" si="26"/>
        <v>0.51415094339622647</v>
      </c>
      <c r="T138" s="3">
        <f t="shared" si="27"/>
        <v>3.257075471698113</v>
      </c>
      <c r="U138" s="3">
        <f t="shared" si="28"/>
        <v>19.820754716981131</v>
      </c>
      <c r="V138" s="3">
        <f t="shared" si="29"/>
        <v>9.1603773584905657</v>
      </c>
      <c r="W138" s="3">
        <f t="shared" si="30"/>
        <v>4.2759433962264151</v>
      </c>
      <c r="X138" s="3">
        <f t="shared" si="31"/>
        <v>78.419811320754718</v>
      </c>
      <c r="Y138" s="3">
        <f t="shared" si="32"/>
        <v>602.97877358490564</v>
      </c>
      <c r="Z138" s="3">
        <f t="shared" si="33"/>
        <v>100.90801886792453</v>
      </c>
      <c r="AA138" s="3">
        <f t="shared" si="34"/>
        <v>22.25</v>
      </c>
      <c r="AB138" s="3">
        <f t="shared" si="35"/>
        <v>501.45754716981128</v>
      </c>
      <c r="AC138" s="3">
        <f t="shared" si="36"/>
        <v>22.292452830188676</v>
      </c>
    </row>
    <row r="139" spans="3:29" x14ac:dyDescent="0.25">
      <c r="C139">
        <v>3.2500000000000001E-2</v>
      </c>
      <c r="D139">
        <f t="shared" si="3"/>
        <v>3.25</v>
      </c>
      <c r="E139" s="3">
        <v>4</v>
      </c>
      <c r="F139" s="3">
        <v>37</v>
      </c>
      <c r="G139" s="3">
        <f t="shared" si="4"/>
        <v>940.29230769230765</v>
      </c>
      <c r="H139" s="3">
        <f t="shared" si="2"/>
        <v>81.812307692307684</v>
      </c>
      <c r="I139" s="3">
        <f t="shared" si="5"/>
        <v>12.153846153846153</v>
      </c>
      <c r="J139" s="3">
        <f t="shared" si="6"/>
        <v>9.5046153846153842</v>
      </c>
      <c r="K139" s="3">
        <f t="shared" si="7"/>
        <v>17.212307692307693</v>
      </c>
      <c r="L139" s="3">
        <f t="shared" si="8"/>
        <v>589.3169230769231</v>
      </c>
      <c r="M139" s="3">
        <f t="shared" si="9"/>
        <v>55.301538461538456</v>
      </c>
      <c r="N139" s="3">
        <f t="shared" si="10"/>
        <v>36.519999999999996</v>
      </c>
      <c r="O139" s="3">
        <f t="shared" si="11"/>
        <v>2.2400000000000002</v>
      </c>
      <c r="P139" s="3">
        <f t="shared" si="12"/>
        <v>2.8461538461538463</v>
      </c>
      <c r="Q139" s="3">
        <f t="shared" si="13"/>
        <v>4.483076923076923</v>
      </c>
      <c r="R139" s="3">
        <f t="shared" si="14"/>
        <v>1.9323076923076923</v>
      </c>
      <c r="S139" s="3">
        <f t="shared" si="26"/>
        <v>0.97538461538461541</v>
      </c>
      <c r="T139" s="3">
        <f t="shared" si="27"/>
        <v>8.596923076923078</v>
      </c>
      <c r="U139" s="3">
        <f t="shared" si="28"/>
        <v>28.950769230769232</v>
      </c>
      <c r="V139" s="3">
        <f t="shared" si="29"/>
        <v>14.36923076923077</v>
      </c>
      <c r="W139" s="3">
        <f t="shared" si="30"/>
        <v>15.895384615384614</v>
      </c>
      <c r="X139" s="3">
        <f t="shared" si="31"/>
        <v>156.37846153846155</v>
      </c>
      <c r="Y139" s="3">
        <f t="shared" si="32"/>
        <v>2189.0030769230771</v>
      </c>
      <c r="Z139" s="3">
        <f t="shared" si="33"/>
        <v>488.06461538461542</v>
      </c>
      <c r="AA139" s="3">
        <f t="shared" si="34"/>
        <v>166.93230769230769</v>
      </c>
      <c r="AB139" s="3">
        <f t="shared" si="35"/>
        <v>1258.9907692307693</v>
      </c>
      <c r="AC139" s="3">
        <f t="shared" si="36"/>
        <v>19.627692307692307</v>
      </c>
    </row>
    <row r="140" spans="3:29" x14ac:dyDescent="0.25">
      <c r="C140">
        <v>2.3099999999999999E-2</v>
      </c>
      <c r="D140">
        <f t="shared" si="3"/>
        <v>2.31</v>
      </c>
      <c r="E140" s="3">
        <v>4</v>
      </c>
      <c r="F140" s="3">
        <v>38</v>
      </c>
      <c r="G140" s="3">
        <f t="shared" si="4"/>
        <v>516.35064935064929</v>
      </c>
      <c r="H140" s="3">
        <f t="shared" si="2"/>
        <v>0</v>
      </c>
      <c r="I140" s="3">
        <f t="shared" si="5"/>
        <v>7.4848484848484844</v>
      </c>
      <c r="J140" s="3">
        <f t="shared" si="6"/>
        <v>10.471861471861471</v>
      </c>
      <c r="K140" s="3">
        <f t="shared" si="7"/>
        <v>4.0129870129870131</v>
      </c>
      <c r="L140" s="3">
        <f t="shared" si="8"/>
        <v>40.316017316017316</v>
      </c>
      <c r="M140" s="3">
        <f t="shared" si="9"/>
        <v>33.281385281385276</v>
      </c>
      <c r="N140" s="3">
        <f t="shared" si="10"/>
        <v>49.952380952380949</v>
      </c>
      <c r="O140" s="3">
        <f t="shared" si="11"/>
        <v>4.4112554112554108</v>
      </c>
      <c r="P140" s="3">
        <f t="shared" si="12"/>
        <v>1.1904761904761905</v>
      </c>
      <c r="Q140" s="3">
        <f t="shared" si="13"/>
        <v>7.1082251082251089</v>
      </c>
      <c r="R140" s="3">
        <f t="shared" si="14"/>
        <v>2.1038961038961039</v>
      </c>
      <c r="S140" s="3">
        <f t="shared" si="26"/>
        <v>0.59307359307359309</v>
      </c>
      <c r="T140" s="3">
        <f t="shared" si="27"/>
        <v>3.1991341991341988</v>
      </c>
      <c r="U140" s="3">
        <f t="shared" si="28"/>
        <v>4.6277056277056277</v>
      </c>
      <c r="V140" s="3">
        <f t="shared" si="29"/>
        <v>15.415584415584416</v>
      </c>
      <c r="W140" s="3">
        <f t="shared" si="30"/>
        <v>8.887445887445887</v>
      </c>
      <c r="X140" s="3">
        <f t="shared" si="31"/>
        <v>16.346320346320343</v>
      </c>
      <c r="Y140" s="3">
        <f t="shared" si="32"/>
        <v>153.16450216450215</v>
      </c>
      <c r="Z140" s="3">
        <f t="shared" si="33"/>
        <v>59.675324675324674</v>
      </c>
      <c r="AA140" s="3">
        <f t="shared" si="34"/>
        <v>6.2337662337662341</v>
      </c>
      <c r="AB140" s="3">
        <f t="shared" si="35"/>
        <v>333.5930735930736</v>
      </c>
      <c r="AC140" s="3">
        <f t="shared" si="36"/>
        <v>20.484848484848484</v>
      </c>
    </row>
    <row r="141" spans="3:29" x14ac:dyDescent="0.25">
      <c r="C141">
        <v>4.1500000000000002E-2</v>
      </c>
      <c r="D141">
        <f t="shared" si="3"/>
        <v>4.1500000000000004</v>
      </c>
      <c r="E141" s="3">
        <v>4</v>
      </c>
      <c r="F141" s="3">
        <v>39</v>
      </c>
      <c r="G141" s="3">
        <f t="shared" si="4"/>
        <v>241.70361445783132</v>
      </c>
      <c r="H141" s="3">
        <f t="shared" si="2"/>
        <v>0</v>
      </c>
      <c r="I141" s="3">
        <f t="shared" si="5"/>
        <v>4.5108433734939757</v>
      </c>
      <c r="J141" s="3">
        <f t="shared" si="6"/>
        <v>5.6915662650602403</v>
      </c>
      <c r="K141" s="3">
        <f t="shared" si="7"/>
        <v>3.3831325301204815</v>
      </c>
      <c r="L141" s="3">
        <f t="shared" si="8"/>
        <v>12.79036144578313</v>
      </c>
      <c r="M141" s="3">
        <f t="shared" si="9"/>
        <v>17.474698795180721</v>
      </c>
      <c r="N141" s="3">
        <f t="shared" si="10"/>
        <v>32.522891566265059</v>
      </c>
      <c r="O141" s="3">
        <f t="shared" si="11"/>
        <v>2.012048192771084</v>
      </c>
      <c r="P141" s="3">
        <f t="shared" si="12"/>
        <v>0.66265060240963847</v>
      </c>
      <c r="Q141" s="3">
        <f t="shared" si="13"/>
        <v>6.226506024096385</v>
      </c>
      <c r="R141" s="3">
        <f t="shared" si="14"/>
        <v>1.2048192771084336</v>
      </c>
      <c r="S141" s="3">
        <f t="shared" si="26"/>
        <v>0.21686746987951805</v>
      </c>
      <c r="T141" s="3">
        <f t="shared" si="27"/>
        <v>1.8722891566265059</v>
      </c>
      <c r="U141" s="3">
        <f t="shared" si="28"/>
        <v>2.4096385542168672</v>
      </c>
      <c r="V141" s="3">
        <f t="shared" si="29"/>
        <v>8.1349397590361434</v>
      </c>
      <c r="W141" s="3">
        <f t="shared" si="30"/>
        <v>7.1204819277108431</v>
      </c>
      <c r="X141" s="3">
        <f t="shared" si="31"/>
        <v>6.6819277108433734</v>
      </c>
      <c r="Y141" s="3">
        <f t="shared" si="32"/>
        <v>53.17590361445783</v>
      </c>
      <c r="Z141" s="3">
        <f t="shared" si="33"/>
        <v>24.975903614457831</v>
      </c>
      <c r="AA141" s="3">
        <f t="shared" si="34"/>
        <v>1.4265060240963854</v>
      </c>
      <c r="AB141" s="3">
        <f t="shared" si="35"/>
        <v>114.71807228915661</v>
      </c>
      <c r="AC141" s="3">
        <f t="shared" si="36"/>
        <v>12.308433734939758</v>
      </c>
    </row>
    <row r="142" spans="3:29" x14ac:dyDescent="0.25">
      <c r="C142">
        <v>2.9399999999999999E-2</v>
      </c>
      <c r="D142">
        <f t="shared" si="3"/>
        <v>2.94</v>
      </c>
      <c r="E142" s="3">
        <v>4</v>
      </c>
      <c r="F142" s="3">
        <v>40</v>
      </c>
      <c r="G142" s="3">
        <f t="shared" si="4"/>
        <v>322.03061224489795</v>
      </c>
      <c r="H142" s="3">
        <f t="shared" si="2"/>
        <v>26.037414965986393</v>
      </c>
      <c r="I142" s="3">
        <f t="shared" si="5"/>
        <v>6.8299319727891152</v>
      </c>
      <c r="J142" s="3">
        <f t="shared" si="6"/>
        <v>8.6564625850340136</v>
      </c>
      <c r="K142" s="3">
        <f t="shared" si="7"/>
        <v>5.2108843537414966</v>
      </c>
      <c r="L142" s="3">
        <f t="shared" si="8"/>
        <v>142.22108843537416</v>
      </c>
      <c r="M142" s="3">
        <f t="shared" si="9"/>
        <v>34.414965986394563</v>
      </c>
      <c r="N142" s="3">
        <f t="shared" si="10"/>
        <v>33.537414965986393</v>
      </c>
      <c r="O142" s="3">
        <f t="shared" si="11"/>
        <v>3.1326530612244903</v>
      </c>
      <c r="P142" s="3">
        <f t="shared" si="12"/>
        <v>1.1428571428571428</v>
      </c>
      <c r="Q142" s="3">
        <f t="shared" si="13"/>
        <v>8.8571428571428577</v>
      </c>
      <c r="R142" s="3">
        <f t="shared" si="14"/>
        <v>1.8435374149659864</v>
      </c>
      <c r="S142" s="3">
        <f t="shared" si="26"/>
        <v>0.25510204081632654</v>
      </c>
      <c r="T142" s="3">
        <f t="shared" si="27"/>
        <v>3.6734693877551026</v>
      </c>
      <c r="U142" s="3">
        <f t="shared" si="28"/>
        <v>9.1428571428571423</v>
      </c>
      <c r="V142" s="3">
        <f t="shared" si="29"/>
        <v>12.112244897959183</v>
      </c>
      <c r="W142" s="3">
        <f t="shared" si="30"/>
        <v>11.513605442176871</v>
      </c>
      <c r="X142" s="3">
        <f t="shared" si="31"/>
        <v>55.302721088435376</v>
      </c>
      <c r="Y142" s="3">
        <f t="shared" si="32"/>
        <v>962.72108843537421</v>
      </c>
      <c r="Z142" s="3">
        <f t="shared" si="33"/>
        <v>171.15306122448979</v>
      </c>
      <c r="AA142" s="3">
        <f t="shared" si="34"/>
        <v>86.360544217687078</v>
      </c>
      <c r="AB142" s="3">
        <f t="shared" si="35"/>
        <v>987.36734693877554</v>
      </c>
      <c r="AC142" s="3">
        <f t="shared" si="36"/>
        <v>16.520408163265305</v>
      </c>
    </row>
    <row r="143" spans="3:29" x14ac:dyDescent="0.25">
      <c r="C143">
        <v>3.5799999999999998E-2</v>
      </c>
      <c r="D143">
        <f t="shared" si="3"/>
        <v>3.58</v>
      </c>
      <c r="E143" s="3">
        <v>4</v>
      </c>
      <c r="F143" s="3">
        <v>41</v>
      </c>
      <c r="G143" s="3">
        <f t="shared" si="4"/>
        <v>28.606145251396647</v>
      </c>
      <c r="H143" s="3">
        <f t="shared" si="2"/>
        <v>0</v>
      </c>
      <c r="I143" s="3">
        <f t="shared" si="5"/>
        <v>0</v>
      </c>
      <c r="J143" s="3">
        <f t="shared" si="6"/>
        <v>0</v>
      </c>
      <c r="K143" s="3">
        <f t="shared" si="7"/>
        <v>0</v>
      </c>
      <c r="L143" s="3">
        <f t="shared" si="8"/>
        <v>10.955307262569832</v>
      </c>
      <c r="M143" s="3">
        <f t="shared" si="9"/>
        <v>0</v>
      </c>
      <c r="N143" s="3">
        <f t="shared" si="10"/>
        <v>0</v>
      </c>
      <c r="O143" s="3">
        <f t="shared" si="11"/>
        <v>0.11731843575418993</v>
      </c>
      <c r="P143" s="3">
        <f t="shared" si="12"/>
        <v>0.42737430167597767</v>
      </c>
      <c r="Q143" s="3">
        <f t="shared" si="13"/>
        <v>2.5502793296089385</v>
      </c>
      <c r="R143" s="3">
        <f t="shared" si="14"/>
        <v>0</v>
      </c>
      <c r="S143" s="3">
        <f t="shared" si="26"/>
        <v>0</v>
      </c>
      <c r="T143" s="3">
        <f t="shared" si="27"/>
        <v>1.2094972067039107</v>
      </c>
      <c r="U143" s="3">
        <f t="shared" si="28"/>
        <v>0</v>
      </c>
      <c r="V143" s="3">
        <f t="shared" si="29"/>
        <v>0</v>
      </c>
      <c r="W143" s="3">
        <f t="shared" si="30"/>
        <v>0.84078212290502785</v>
      </c>
      <c r="X143" s="3">
        <f t="shared" si="31"/>
        <v>0.223463687150838</v>
      </c>
      <c r="Y143" s="3">
        <f t="shared" si="32"/>
        <v>32.036312849162009</v>
      </c>
      <c r="Z143" s="3">
        <f t="shared" si="33"/>
        <v>0</v>
      </c>
      <c r="AA143" s="3">
        <f t="shared" si="34"/>
        <v>0.60614525139664799</v>
      </c>
      <c r="AB143" s="3">
        <f t="shared" si="35"/>
        <v>8.7150837988826808</v>
      </c>
      <c r="AC143" s="3">
        <f t="shared" si="36"/>
        <v>0</v>
      </c>
    </row>
    <row r="144" spans="3:29" x14ac:dyDescent="0.25">
      <c r="C144">
        <v>2.7799999999999998E-2</v>
      </c>
      <c r="D144">
        <f t="shared" si="3"/>
        <v>2.78</v>
      </c>
      <c r="E144" s="3">
        <v>4</v>
      </c>
      <c r="F144" s="3">
        <v>42</v>
      </c>
      <c r="G144" s="3">
        <f t="shared" si="4"/>
        <v>321.8129496402878</v>
      </c>
      <c r="H144" s="3">
        <f t="shared" si="2"/>
        <v>0</v>
      </c>
      <c r="I144" s="3">
        <f t="shared" si="5"/>
        <v>9.4496402877697854</v>
      </c>
      <c r="J144" s="3">
        <f t="shared" si="6"/>
        <v>9.6151079136690658</v>
      </c>
      <c r="K144" s="3">
        <f t="shared" si="7"/>
        <v>7.3345323741007205</v>
      </c>
      <c r="L144" s="3">
        <f t="shared" si="8"/>
        <v>41.690647482014391</v>
      </c>
      <c r="M144" s="3">
        <f t="shared" si="9"/>
        <v>41.550359712230218</v>
      </c>
      <c r="N144" s="3">
        <f t="shared" si="10"/>
        <v>61.010791366906481</v>
      </c>
      <c r="O144" s="3">
        <f t="shared" si="11"/>
        <v>5.1151079136690649</v>
      </c>
      <c r="P144" s="3">
        <f t="shared" si="12"/>
        <v>1.6187050359712232</v>
      </c>
      <c r="Q144" s="3">
        <f t="shared" si="13"/>
        <v>10.219424460431656</v>
      </c>
      <c r="R144" s="3">
        <f t="shared" si="14"/>
        <v>4.4028776978417268</v>
      </c>
      <c r="S144" s="3">
        <f t="shared" si="26"/>
        <v>0.41007194244604317</v>
      </c>
      <c r="T144" s="3">
        <f t="shared" si="27"/>
        <v>3.3417266187050361</v>
      </c>
      <c r="U144" s="3">
        <f t="shared" si="28"/>
        <v>5.0719424460431659</v>
      </c>
      <c r="V144" s="3">
        <f t="shared" si="29"/>
        <v>12.640287769784173</v>
      </c>
      <c r="W144" s="3">
        <f t="shared" si="30"/>
        <v>13.255395683453239</v>
      </c>
      <c r="X144" s="3">
        <f t="shared" si="31"/>
        <v>13.050359712230216</v>
      </c>
      <c r="Y144" s="3">
        <f t="shared" si="32"/>
        <v>77.816546762589937</v>
      </c>
      <c r="Z144" s="3">
        <f t="shared" si="33"/>
        <v>33.931654676258994</v>
      </c>
      <c r="AA144" s="3">
        <f t="shared" si="34"/>
        <v>2.9172661870503598</v>
      </c>
      <c r="AB144" s="3">
        <f t="shared" si="35"/>
        <v>238.83453237410075</v>
      </c>
      <c r="AC144" s="3">
        <f t="shared" si="36"/>
        <v>33.043165467625904</v>
      </c>
    </row>
    <row r="145" spans="3:29" x14ac:dyDescent="0.25">
      <c r="C145">
        <v>1.6899999999999998E-2</v>
      </c>
      <c r="D145">
        <f t="shared" si="3"/>
        <v>1.69</v>
      </c>
      <c r="E145" s="3">
        <v>4</v>
      </c>
      <c r="F145" s="3">
        <v>43</v>
      </c>
      <c r="G145" s="3">
        <f t="shared" si="4"/>
        <v>2175.8284023668639</v>
      </c>
      <c r="H145" s="3">
        <f t="shared" si="2"/>
        <v>778.60355029585799</v>
      </c>
      <c r="I145" s="3">
        <f t="shared" si="5"/>
        <v>42.313609467455628</v>
      </c>
      <c r="J145" s="3">
        <f t="shared" si="6"/>
        <v>20.260355029585799</v>
      </c>
      <c r="K145" s="3">
        <f t="shared" si="7"/>
        <v>36.816568047337277</v>
      </c>
      <c r="L145" s="3">
        <f t="shared" si="8"/>
        <v>723.20710059171597</v>
      </c>
      <c r="M145" s="3">
        <f t="shared" si="9"/>
        <v>164.91124260355031</v>
      </c>
      <c r="N145" s="3">
        <f t="shared" si="10"/>
        <v>89.284023668639051</v>
      </c>
      <c r="O145" s="3">
        <f t="shared" si="11"/>
        <v>5.5147928994082847</v>
      </c>
      <c r="P145" s="3">
        <f t="shared" si="12"/>
        <v>11.964497041420119</v>
      </c>
      <c r="Q145" s="3">
        <f t="shared" si="13"/>
        <v>5.6568047337278111</v>
      </c>
      <c r="R145" s="3">
        <f t="shared" si="14"/>
        <v>5.3609467455621305</v>
      </c>
      <c r="S145" s="3">
        <f t="shared" si="26"/>
        <v>3.5266272189349115</v>
      </c>
      <c r="T145" s="3">
        <f t="shared" si="27"/>
        <v>36.627218934911241</v>
      </c>
      <c r="U145" s="3">
        <f t="shared" si="28"/>
        <v>197.07100591715977</v>
      </c>
      <c r="V145" s="3">
        <f t="shared" si="29"/>
        <v>27.355029585798814</v>
      </c>
      <c r="W145" s="3">
        <f t="shared" si="30"/>
        <v>48.721893491124263</v>
      </c>
      <c r="X145" s="3">
        <f t="shared" si="31"/>
        <v>1457.6982248520712</v>
      </c>
      <c r="Y145" s="3">
        <f t="shared" si="32"/>
        <v>12553.171597633136</v>
      </c>
      <c r="Z145" s="3">
        <f t="shared" si="33"/>
        <v>4261.1183431952668</v>
      </c>
      <c r="AA145" s="3">
        <f t="shared" si="34"/>
        <v>760.85207100591708</v>
      </c>
      <c r="AB145" s="3">
        <f t="shared" si="35"/>
        <v>2597.9763313609469</v>
      </c>
      <c r="AC145" s="3">
        <f t="shared" si="36"/>
        <v>71.449704142011839</v>
      </c>
    </row>
    <row r="146" spans="3:29" x14ac:dyDescent="0.25">
      <c r="C146">
        <v>2.2800000000000001E-2</v>
      </c>
      <c r="D146">
        <f t="shared" si="3"/>
        <v>2.2800000000000002</v>
      </c>
      <c r="E146" s="3">
        <v>4</v>
      </c>
      <c r="F146" s="3">
        <v>44</v>
      </c>
      <c r="G146" s="3">
        <f t="shared" si="4"/>
        <v>572.17982456140339</v>
      </c>
      <c r="H146" s="3">
        <f t="shared" si="2"/>
        <v>0</v>
      </c>
      <c r="I146" s="3">
        <f t="shared" si="5"/>
        <v>8.8070175438596472</v>
      </c>
      <c r="J146" s="3">
        <f t="shared" si="6"/>
        <v>8.7192982456140342</v>
      </c>
      <c r="K146" s="3">
        <f t="shared" si="7"/>
        <v>4.0657894736842097</v>
      </c>
      <c r="L146" s="3">
        <f t="shared" si="8"/>
        <v>21.337719298245609</v>
      </c>
      <c r="M146" s="3">
        <f t="shared" si="9"/>
        <v>39.188596491228061</v>
      </c>
      <c r="N146" s="3">
        <f t="shared" si="10"/>
        <v>40.23684210526315</v>
      </c>
      <c r="O146" s="3">
        <f t="shared" si="11"/>
        <v>4.2763157894736841</v>
      </c>
      <c r="P146" s="3">
        <f t="shared" si="12"/>
        <v>1.1052631578947367</v>
      </c>
      <c r="Q146" s="3">
        <f t="shared" si="13"/>
        <v>12.026315789473683</v>
      </c>
      <c r="R146" s="3">
        <f t="shared" si="14"/>
        <v>1.8859649122807014</v>
      </c>
      <c r="S146" s="3">
        <f t="shared" si="26"/>
        <v>0.49999999999999989</v>
      </c>
      <c r="T146" s="3">
        <f t="shared" si="27"/>
        <v>3.4912280701754383</v>
      </c>
      <c r="U146" s="3">
        <f t="shared" si="28"/>
        <v>2.5482456140350873</v>
      </c>
      <c r="V146" s="3">
        <f t="shared" si="29"/>
        <v>15.618421052631577</v>
      </c>
      <c r="W146" s="3">
        <f t="shared" si="30"/>
        <v>10.956140350877192</v>
      </c>
      <c r="X146" s="3">
        <f t="shared" si="31"/>
        <v>13.32456140350877</v>
      </c>
      <c r="Y146" s="3">
        <f t="shared" si="32"/>
        <v>120.88596491228068</v>
      </c>
      <c r="Z146" s="3">
        <f t="shared" si="33"/>
        <v>50.403508771929822</v>
      </c>
      <c r="AA146" s="3">
        <f t="shared" si="34"/>
        <v>4.7456140350877192</v>
      </c>
      <c r="AB146" s="3">
        <f t="shared" si="35"/>
        <v>258.35964912280696</v>
      </c>
      <c r="AC146" s="3">
        <f t="shared" si="36"/>
        <v>22.403508771929822</v>
      </c>
    </row>
    <row r="147" spans="3:29" x14ac:dyDescent="0.25">
      <c r="C147">
        <v>2.8899999999999999E-2</v>
      </c>
      <c r="D147">
        <f t="shared" si="3"/>
        <v>2.8899999999999997</v>
      </c>
      <c r="E147" s="3">
        <v>4</v>
      </c>
      <c r="F147" s="3">
        <v>45</v>
      </c>
      <c r="G147" s="3">
        <f t="shared" si="4"/>
        <v>380.68166089965405</v>
      </c>
      <c r="H147" s="3">
        <f t="shared" si="2"/>
        <v>0</v>
      </c>
      <c r="I147" s="3">
        <f t="shared" si="5"/>
        <v>2.2145328719723185</v>
      </c>
      <c r="J147" s="3">
        <f t="shared" si="6"/>
        <v>7.1176470588235299</v>
      </c>
      <c r="K147" s="3">
        <f t="shared" si="7"/>
        <v>1.0138408304498272</v>
      </c>
      <c r="L147" s="3">
        <f t="shared" si="8"/>
        <v>26.093425605536336</v>
      </c>
      <c r="M147" s="3">
        <f t="shared" si="9"/>
        <v>19.474048442906575</v>
      </c>
      <c r="N147" s="3">
        <f t="shared" si="10"/>
        <v>30.54671280276817</v>
      </c>
      <c r="O147" s="3">
        <f t="shared" si="11"/>
        <v>2.757785467128028</v>
      </c>
      <c r="P147" s="3">
        <f t="shared" si="12"/>
        <v>0.58131487889273359</v>
      </c>
      <c r="Q147" s="3">
        <f t="shared" si="13"/>
        <v>5.3252595155709352</v>
      </c>
      <c r="R147" s="3">
        <f t="shared" si="14"/>
        <v>1.6332179930795849</v>
      </c>
      <c r="S147" s="3">
        <f t="shared" si="26"/>
        <v>5.1903114186851215E-2</v>
      </c>
      <c r="T147" s="3">
        <f t="shared" si="27"/>
        <v>1.4982698961937717</v>
      </c>
      <c r="U147" s="3">
        <f t="shared" si="28"/>
        <v>1.8027681660899655</v>
      </c>
      <c r="V147" s="3">
        <f t="shared" si="29"/>
        <v>8.6574394463667836</v>
      </c>
      <c r="W147" s="3">
        <f t="shared" si="30"/>
        <v>8.1211072664359865</v>
      </c>
      <c r="X147" s="3">
        <f t="shared" si="31"/>
        <v>10.820069204152251</v>
      </c>
      <c r="Y147" s="3">
        <f t="shared" si="32"/>
        <v>77.356401384083057</v>
      </c>
      <c r="Z147" s="3">
        <f t="shared" si="33"/>
        <v>26.044982698961938</v>
      </c>
      <c r="AA147" s="3">
        <f t="shared" si="34"/>
        <v>3.4463667820069213</v>
      </c>
      <c r="AB147" s="3">
        <f t="shared" si="35"/>
        <v>175.35640138408306</v>
      </c>
      <c r="AC147" s="3">
        <f t="shared" si="36"/>
        <v>12.94809688581315</v>
      </c>
    </row>
    <row r="148" spans="3:29" x14ac:dyDescent="0.25">
      <c r="C148">
        <v>3.73E-2</v>
      </c>
      <c r="D148">
        <f t="shared" si="3"/>
        <v>3.73</v>
      </c>
      <c r="E148" s="3">
        <v>5</v>
      </c>
      <c r="F148" s="3">
        <v>46</v>
      </c>
      <c r="G148" s="3">
        <f t="shared" si="4"/>
        <v>368.37801608579088</v>
      </c>
      <c r="H148" s="3">
        <f t="shared" si="2"/>
        <v>23.120643431635386</v>
      </c>
      <c r="I148" s="3">
        <f t="shared" si="5"/>
        <v>8.0804289544235921</v>
      </c>
      <c r="J148" s="3">
        <f t="shared" si="6"/>
        <v>5</v>
      </c>
      <c r="K148" s="3">
        <f t="shared" si="7"/>
        <v>5.6916890080428955</v>
      </c>
      <c r="L148" s="3">
        <f t="shared" si="8"/>
        <v>120.40750670241287</v>
      </c>
      <c r="M148" s="3">
        <f t="shared" si="9"/>
        <v>27.962466487935657</v>
      </c>
      <c r="N148" s="3">
        <f t="shared" si="10"/>
        <v>15.455764075067023</v>
      </c>
      <c r="O148" s="3">
        <f t="shared" si="11"/>
        <v>2.1367292225201071</v>
      </c>
      <c r="P148" s="3">
        <f t="shared" si="12"/>
        <v>0.94101876675603213</v>
      </c>
      <c r="Q148" s="3">
        <f t="shared" si="13"/>
        <v>1.7506702412868633</v>
      </c>
      <c r="R148" s="3">
        <f t="shared" si="14"/>
        <v>1.190348525469169</v>
      </c>
      <c r="S148" s="3">
        <f t="shared" si="26"/>
        <v>0.34852546916890081</v>
      </c>
      <c r="T148" s="3">
        <f t="shared" si="27"/>
        <v>2.0831099195710454</v>
      </c>
      <c r="U148" s="3">
        <f t="shared" si="28"/>
        <v>9.8203753351206444</v>
      </c>
      <c r="V148" s="3">
        <f t="shared" si="29"/>
        <v>5.1072386058981234</v>
      </c>
      <c r="W148" s="3">
        <f t="shared" si="30"/>
        <v>8.0697050938337807</v>
      </c>
      <c r="X148" s="3">
        <f t="shared" si="31"/>
        <v>47.92761394101877</v>
      </c>
      <c r="Y148" s="3">
        <f t="shared" si="32"/>
        <v>605.71313672922247</v>
      </c>
      <c r="Z148" s="3">
        <f t="shared" si="33"/>
        <v>278.26005361930299</v>
      </c>
      <c r="AA148" s="3">
        <f t="shared" si="34"/>
        <v>70.139410187667565</v>
      </c>
      <c r="AB148" s="3">
        <f t="shared" si="35"/>
        <v>1440.2332439678285</v>
      </c>
      <c r="AC148" s="3">
        <f t="shared" si="36"/>
        <v>9.3780160857908843</v>
      </c>
    </row>
    <row r="149" spans="3:29" x14ac:dyDescent="0.25">
      <c r="C149">
        <v>3.3399999999999999E-2</v>
      </c>
      <c r="D149">
        <f t="shared" si="3"/>
        <v>3.34</v>
      </c>
      <c r="E149" s="3">
        <v>5</v>
      </c>
      <c r="F149" s="3">
        <v>47</v>
      </c>
      <c r="G149" s="3">
        <f t="shared" si="4"/>
        <v>307.14670658682633</v>
      </c>
      <c r="H149" s="3">
        <f t="shared" si="2"/>
        <v>0</v>
      </c>
      <c r="I149" s="3">
        <f t="shared" si="5"/>
        <v>5.1766467065868262</v>
      </c>
      <c r="J149" s="3">
        <f t="shared" si="6"/>
        <v>8.9880239520958085</v>
      </c>
      <c r="K149" s="3">
        <f t="shared" si="7"/>
        <v>3.0359281437125754</v>
      </c>
      <c r="L149" s="3">
        <f t="shared" si="8"/>
        <v>17.50299401197605</v>
      </c>
      <c r="M149" s="3">
        <f t="shared" si="9"/>
        <v>30.107784431137727</v>
      </c>
      <c r="N149" s="3">
        <f t="shared" si="10"/>
        <v>39.443113772455092</v>
      </c>
      <c r="O149" s="3">
        <f t="shared" si="11"/>
        <v>2.7245508982035926</v>
      </c>
      <c r="P149" s="3">
        <f t="shared" si="12"/>
        <v>0.84730538922155696</v>
      </c>
      <c r="Q149" s="3">
        <f t="shared" si="13"/>
        <v>9.8532934131736525</v>
      </c>
      <c r="R149" s="3">
        <f t="shared" si="14"/>
        <v>1.2874251497005988</v>
      </c>
      <c r="S149" s="3">
        <f t="shared" si="26"/>
        <v>0.17664670658682635</v>
      </c>
      <c r="T149" s="3">
        <f t="shared" si="27"/>
        <v>3.0089820359281441</v>
      </c>
      <c r="U149" s="3">
        <f t="shared" si="28"/>
        <v>2.6646706586826348</v>
      </c>
      <c r="V149" s="3">
        <f t="shared" si="29"/>
        <v>12.871257485029941</v>
      </c>
      <c r="W149" s="3">
        <f t="shared" si="30"/>
        <v>11.724550898203592</v>
      </c>
      <c r="X149" s="3">
        <f t="shared" si="31"/>
        <v>10.68562874251497</v>
      </c>
      <c r="Y149" s="3">
        <f t="shared" si="32"/>
        <v>59.443113772455092</v>
      </c>
      <c r="Z149" s="3">
        <f t="shared" si="33"/>
        <v>31.032934131736528</v>
      </c>
      <c r="AA149" s="3">
        <f t="shared" si="34"/>
        <v>4.0868263473053892</v>
      </c>
      <c r="AB149" s="3">
        <f t="shared" si="35"/>
        <v>367.95808383233538</v>
      </c>
      <c r="AC149" s="3">
        <f t="shared" si="36"/>
        <v>16.047904191616766</v>
      </c>
    </row>
    <row r="150" spans="3:29" x14ac:dyDescent="0.25">
      <c r="C150">
        <v>3.9699999999999999E-2</v>
      </c>
      <c r="D150">
        <f t="shared" si="3"/>
        <v>3.9699999999999998</v>
      </c>
      <c r="E150" s="3">
        <v>5</v>
      </c>
      <c r="F150" s="3">
        <v>48</v>
      </c>
      <c r="G150" s="3">
        <f t="shared" si="4"/>
        <v>181.82619647355165</v>
      </c>
      <c r="H150" s="3">
        <f t="shared" si="2"/>
        <v>0</v>
      </c>
      <c r="I150" s="3">
        <f t="shared" si="5"/>
        <v>4.355163727959698</v>
      </c>
      <c r="J150" s="3">
        <f t="shared" si="6"/>
        <v>6.6624685138539048</v>
      </c>
      <c r="K150" s="3">
        <f t="shared" si="7"/>
        <v>2.6649874055415621</v>
      </c>
      <c r="L150" s="3">
        <f t="shared" si="8"/>
        <v>16.073047858942068</v>
      </c>
      <c r="M150" s="3">
        <f t="shared" si="9"/>
        <v>21.879093198992443</v>
      </c>
      <c r="N150" s="3">
        <f t="shared" si="10"/>
        <v>27.387909319899247</v>
      </c>
      <c r="O150" s="3">
        <f t="shared" si="11"/>
        <v>2.1561712846347612</v>
      </c>
      <c r="P150" s="3">
        <f t="shared" si="12"/>
        <v>0.61712846347607064</v>
      </c>
      <c r="Q150" s="3">
        <f t="shared" si="13"/>
        <v>6.3602015113350134</v>
      </c>
      <c r="R150" s="3">
        <f t="shared" si="14"/>
        <v>1.3652392947103276</v>
      </c>
      <c r="S150" s="3">
        <f>S60/B60</f>
        <v>0.20654911838790932</v>
      </c>
      <c r="T150" s="3">
        <f>T60/B60</f>
        <v>1.8614609571788414</v>
      </c>
      <c r="U150" s="3">
        <f>U60/B60</f>
        <v>2.8387909319899247</v>
      </c>
      <c r="V150" s="3">
        <f>V60/B60</f>
        <v>9.4911838790931995</v>
      </c>
      <c r="W150" s="3">
        <f>W60/B60</f>
        <v>8.0100755667506309</v>
      </c>
      <c r="X150" s="3">
        <f>X60/B60</f>
        <v>8.4710327455919412</v>
      </c>
      <c r="Y150" s="3">
        <f>Y60/B60</f>
        <v>62.670025188916881</v>
      </c>
      <c r="Z150" s="3">
        <f>Z60/B60</f>
        <v>42.19899244332494</v>
      </c>
      <c r="AA150" s="3">
        <f>AA60/B60</f>
        <v>6.5390428211586906</v>
      </c>
      <c r="AB150" s="3">
        <f>AB60/B60</f>
        <v>527.67002518891684</v>
      </c>
      <c r="AC150" s="3">
        <f>AC60/B60</f>
        <v>11.604534005037785</v>
      </c>
    </row>
    <row r="151" spans="3:29" x14ac:dyDescent="0.25">
      <c r="C151">
        <v>3.44E-2</v>
      </c>
      <c r="D151">
        <f t="shared" si="3"/>
        <v>3.44</v>
      </c>
      <c r="E151" s="3">
        <v>5</v>
      </c>
      <c r="F151" s="3">
        <v>49</v>
      </c>
      <c r="G151" s="3">
        <f t="shared" si="4"/>
        <v>312.23255813953489</v>
      </c>
      <c r="H151" s="3">
        <f t="shared" si="2"/>
        <v>53.741279069767444</v>
      </c>
      <c r="I151" s="3">
        <f t="shared" si="5"/>
        <v>12.00872093023256</v>
      </c>
      <c r="J151" s="3">
        <f t="shared" ref="J151:J190" si="38">J61/B61</f>
        <v>15.116279069767442</v>
      </c>
      <c r="K151" s="3">
        <f t="shared" si="7"/>
        <v>97.738372093023258</v>
      </c>
      <c r="L151" s="3">
        <f t="shared" si="8"/>
        <v>459.14244186046511</v>
      </c>
      <c r="M151" s="3">
        <f t="shared" si="9"/>
        <v>57.14825581395349</v>
      </c>
      <c r="N151" s="3">
        <f t="shared" si="10"/>
        <v>34.502906976744185</v>
      </c>
      <c r="O151" s="3">
        <f t="shared" si="11"/>
        <v>2.5203488372093021</v>
      </c>
      <c r="P151" s="3">
        <f t="shared" si="12"/>
        <v>3.8255813953488373</v>
      </c>
      <c r="Q151" s="3">
        <f t="shared" si="13"/>
        <v>5.4505813953488369</v>
      </c>
      <c r="R151" s="3">
        <f t="shared" si="14"/>
        <v>2.851744186046512</v>
      </c>
      <c r="S151" s="3">
        <f t="shared" ref="S151:S173" si="39">S61/B61</f>
        <v>1.0436046511627908</v>
      </c>
      <c r="T151" s="3">
        <f t="shared" ref="T151:T173" si="40">T61/B61</f>
        <v>7.4767441860465116</v>
      </c>
      <c r="U151" s="3">
        <f t="shared" ref="U151:U173" si="41">U61/B61</f>
        <v>65.130813953488371</v>
      </c>
      <c r="V151" s="3">
        <f t="shared" ref="V151:V173" si="42">V61/B61</f>
        <v>10.752906976744187</v>
      </c>
      <c r="W151" s="3">
        <f t="shared" ref="W151:W173" si="43">W61/B61</f>
        <v>9.6220930232558146</v>
      </c>
      <c r="X151" s="3">
        <f t="shared" ref="X151:X173" si="44">X61/B61</f>
        <v>113.68313953488372</v>
      </c>
      <c r="Y151" s="3">
        <f t="shared" ref="Y151:Y173" si="45">Y61/B61</f>
        <v>7364.4970930232557</v>
      </c>
      <c r="Z151" s="3">
        <f t="shared" ref="Z151:Z173" si="46">Z61/B61</f>
        <v>3165.9186046511627</v>
      </c>
      <c r="AA151" s="3">
        <f t="shared" ref="AA151:AA173" si="47">AA61/B61</f>
        <v>1059.1656976744187</v>
      </c>
      <c r="AB151" s="3">
        <f t="shared" ref="AB151:AB173" si="48">AB61/B61</f>
        <v>8116.3575581395353</v>
      </c>
      <c r="AC151" s="3">
        <f t="shared" ref="AC151:AC173" si="49">AC61/B61</f>
        <v>29.220930232558139</v>
      </c>
    </row>
    <row r="152" spans="3:29" x14ac:dyDescent="0.25">
      <c r="C152">
        <v>2.4899999999999999E-2</v>
      </c>
      <c r="D152">
        <f t="shared" si="3"/>
        <v>2.4899999999999998</v>
      </c>
      <c r="E152" s="3">
        <v>5</v>
      </c>
      <c r="F152" s="3">
        <v>50</v>
      </c>
      <c r="G152" s="3">
        <f t="shared" si="4"/>
        <v>255.18072289156629</v>
      </c>
      <c r="H152" s="3">
        <f t="shared" si="2"/>
        <v>0</v>
      </c>
      <c r="I152" s="3">
        <f t="shared" si="5"/>
        <v>1.3815261044176708</v>
      </c>
      <c r="J152" s="3">
        <f t="shared" si="38"/>
        <v>9.1526104417670684</v>
      </c>
      <c r="K152" s="3">
        <f t="shared" si="7"/>
        <v>0.59839357429718876</v>
      </c>
      <c r="L152" s="3">
        <f t="shared" si="8"/>
        <v>24.453815261044181</v>
      </c>
      <c r="M152" s="3">
        <f t="shared" si="9"/>
        <v>26.116465863453818</v>
      </c>
      <c r="N152" s="3">
        <f t="shared" si="10"/>
        <v>38.911646586345384</v>
      </c>
      <c r="O152" s="3">
        <f t="shared" si="11"/>
        <v>0.41767068273092373</v>
      </c>
      <c r="P152" s="3">
        <f t="shared" si="12"/>
        <v>0.73895582329317278</v>
      </c>
      <c r="Q152" s="3">
        <f t="shared" si="13"/>
        <v>4.0522088353413661</v>
      </c>
      <c r="R152" s="3">
        <f t="shared" si="14"/>
        <v>0.96787148594377526</v>
      </c>
      <c r="S152" s="3">
        <f t="shared" si="39"/>
        <v>0.36144578313253017</v>
      </c>
      <c r="T152" s="3">
        <f t="shared" si="40"/>
        <v>4.6425702811244989</v>
      </c>
      <c r="U152" s="3">
        <f t="shared" si="41"/>
        <v>2.8514056224899598</v>
      </c>
      <c r="V152" s="3">
        <f t="shared" si="42"/>
        <v>11.152610441767068</v>
      </c>
      <c r="W152" s="3">
        <f t="shared" si="43"/>
        <v>7.8032128514056227</v>
      </c>
      <c r="X152" s="3">
        <f t="shared" si="44"/>
        <v>28.064257028112451</v>
      </c>
      <c r="Y152" s="3">
        <f t="shared" si="45"/>
        <v>140.19277108433735</v>
      </c>
      <c r="Z152" s="3">
        <f t="shared" si="46"/>
        <v>56.662650602409649</v>
      </c>
      <c r="AA152" s="3">
        <f t="shared" si="47"/>
        <v>16.253012048192772</v>
      </c>
      <c r="AB152" s="3">
        <f t="shared" si="48"/>
        <v>338.48594377510045</v>
      </c>
      <c r="AC152" s="3">
        <f t="shared" si="49"/>
        <v>9.9598393574297202</v>
      </c>
    </row>
    <row r="153" spans="3:29" x14ac:dyDescent="0.25">
      <c r="C153">
        <v>4.0800000000000003E-2</v>
      </c>
      <c r="D153">
        <f t="shared" si="3"/>
        <v>4.08</v>
      </c>
      <c r="E153" s="3">
        <v>5</v>
      </c>
      <c r="F153" s="3">
        <v>51</v>
      </c>
      <c r="G153" s="3">
        <f t="shared" si="4"/>
        <v>481.03676470588238</v>
      </c>
      <c r="H153" s="3">
        <f t="shared" si="2"/>
        <v>60.823529411764703</v>
      </c>
      <c r="I153" s="3">
        <f t="shared" si="5"/>
        <v>8.0269607843137258</v>
      </c>
      <c r="J153" s="3">
        <f t="shared" si="38"/>
        <v>7.6789215686274508</v>
      </c>
      <c r="K153" s="3">
        <f t="shared" si="7"/>
        <v>6.625</v>
      </c>
      <c r="L153" s="3">
        <f t="shared" si="8"/>
        <v>114.22794117647059</v>
      </c>
      <c r="M153" s="3">
        <f t="shared" si="9"/>
        <v>31.671568627450981</v>
      </c>
      <c r="N153" s="3">
        <f t="shared" si="10"/>
        <v>30.698529411764707</v>
      </c>
      <c r="O153" s="3">
        <f t="shared" si="11"/>
        <v>2.2426470588235294</v>
      </c>
      <c r="P153" s="3">
        <f t="shared" si="12"/>
        <v>1.3799019607843137</v>
      </c>
      <c r="Q153" s="3">
        <f t="shared" si="13"/>
        <v>4.6691176470588234</v>
      </c>
      <c r="R153" s="3">
        <f t="shared" si="14"/>
        <v>1.6789215686274508</v>
      </c>
      <c r="S153" s="3">
        <f t="shared" si="39"/>
        <v>0.65441176470588236</v>
      </c>
      <c r="T153" s="3">
        <f t="shared" si="40"/>
        <v>4.6666666666666661</v>
      </c>
      <c r="U153" s="3">
        <f t="shared" si="41"/>
        <v>18.120098039215687</v>
      </c>
      <c r="V153" s="3">
        <f t="shared" si="42"/>
        <v>12.240196078431373</v>
      </c>
      <c r="W153" s="3">
        <f t="shared" si="43"/>
        <v>6.909313725490196</v>
      </c>
      <c r="X153" s="3">
        <f t="shared" si="44"/>
        <v>71.691176470588232</v>
      </c>
      <c r="Y153" s="3">
        <f t="shared" si="45"/>
        <v>903.86764705882354</v>
      </c>
      <c r="Z153" s="3">
        <f t="shared" si="46"/>
        <v>216.77696078431373</v>
      </c>
      <c r="AA153" s="3">
        <f t="shared" si="47"/>
        <v>71.311274509803923</v>
      </c>
      <c r="AB153" s="3">
        <f t="shared" si="48"/>
        <v>1132.688725490196</v>
      </c>
      <c r="AC153" s="3">
        <f t="shared" si="49"/>
        <v>15.634803921568627</v>
      </c>
    </row>
    <row r="154" spans="3:29" x14ac:dyDescent="0.25">
      <c r="C154">
        <v>3.6299999999999999E-2</v>
      </c>
      <c r="D154">
        <f t="shared" si="3"/>
        <v>3.63</v>
      </c>
      <c r="E154" s="3">
        <v>5</v>
      </c>
      <c r="F154" s="3">
        <v>52</v>
      </c>
      <c r="G154" s="3">
        <f t="shared" si="4"/>
        <v>388.93939393939394</v>
      </c>
      <c r="H154" s="3">
        <f t="shared" si="2"/>
        <v>0</v>
      </c>
      <c r="I154" s="3">
        <f t="shared" si="5"/>
        <v>2.9559228650137741</v>
      </c>
      <c r="J154" s="3">
        <f t="shared" si="38"/>
        <v>6.123966942148761</v>
      </c>
      <c r="K154" s="3">
        <f t="shared" si="7"/>
        <v>2.4325068870523419</v>
      </c>
      <c r="L154" s="3">
        <f t="shared" si="8"/>
        <v>27.099173553719009</v>
      </c>
      <c r="M154" s="3">
        <f t="shared" si="9"/>
        <v>24.44077134986226</v>
      </c>
      <c r="N154" s="3">
        <f t="shared" si="10"/>
        <v>21.41322314049587</v>
      </c>
      <c r="O154" s="3">
        <f t="shared" si="11"/>
        <v>2.0936639118457299</v>
      </c>
      <c r="P154" s="3">
        <f t="shared" si="12"/>
        <v>0.63085399449035817</v>
      </c>
      <c r="Q154" s="3">
        <f t="shared" si="13"/>
        <v>7.0110192837465561</v>
      </c>
      <c r="R154" s="3">
        <f t="shared" si="14"/>
        <v>0.88429752066115708</v>
      </c>
      <c r="S154" s="3">
        <f t="shared" si="39"/>
        <v>0.33608815426997246</v>
      </c>
      <c r="T154" s="3">
        <f t="shared" si="40"/>
        <v>0.9807162534435262</v>
      </c>
      <c r="U154" s="3">
        <f t="shared" si="41"/>
        <v>2.0192837465564737</v>
      </c>
      <c r="V154" s="3">
        <f t="shared" si="42"/>
        <v>9.7438016528925608</v>
      </c>
      <c r="W154" s="3">
        <f t="shared" si="43"/>
        <v>8.3663911845730041</v>
      </c>
      <c r="X154" s="3">
        <f t="shared" si="44"/>
        <v>8.9393939393939412</v>
      </c>
      <c r="Y154" s="3">
        <f t="shared" si="45"/>
        <v>63.550964187327828</v>
      </c>
      <c r="Z154" s="3">
        <f t="shared" si="46"/>
        <v>28.016528925619838</v>
      </c>
      <c r="AA154" s="3">
        <f t="shared" si="47"/>
        <v>2.6887052341597797</v>
      </c>
      <c r="AB154" s="3">
        <f t="shared" si="48"/>
        <v>160.09366391184574</v>
      </c>
      <c r="AC154" s="3">
        <f t="shared" si="49"/>
        <v>10.647382920110193</v>
      </c>
    </row>
    <row r="155" spans="3:29" x14ac:dyDescent="0.25">
      <c r="C155">
        <v>2.58E-2</v>
      </c>
      <c r="D155">
        <f t="shared" si="3"/>
        <v>2.58</v>
      </c>
      <c r="E155" s="3">
        <v>5</v>
      </c>
      <c r="F155" s="3">
        <v>53</v>
      </c>
      <c r="G155" s="3">
        <f t="shared" si="4"/>
        <v>9.1899224806201545</v>
      </c>
      <c r="H155" s="3">
        <f t="shared" si="2"/>
        <v>0</v>
      </c>
      <c r="I155" s="3">
        <f t="shared" si="5"/>
        <v>0</v>
      </c>
      <c r="J155" s="3">
        <f t="shared" si="38"/>
        <v>0.76356589147286824</v>
      </c>
      <c r="K155" s="3">
        <f t="shared" si="7"/>
        <v>0</v>
      </c>
      <c r="L155" s="3">
        <f t="shared" si="8"/>
        <v>0.24806201550387597</v>
      </c>
      <c r="M155" s="3">
        <f t="shared" si="9"/>
        <v>0</v>
      </c>
      <c r="N155" s="3">
        <f t="shared" si="10"/>
        <v>9.0775193798449614</v>
      </c>
      <c r="O155" s="3">
        <f t="shared" si="11"/>
        <v>0</v>
      </c>
      <c r="P155" s="3">
        <f t="shared" si="12"/>
        <v>0</v>
      </c>
      <c r="Q155" s="3">
        <f t="shared" si="13"/>
        <v>0</v>
      </c>
      <c r="R155" s="3">
        <f t="shared" si="14"/>
        <v>0</v>
      </c>
      <c r="S155" s="3">
        <f t="shared" si="39"/>
        <v>0</v>
      </c>
      <c r="T155" s="3">
        <f t="shared" si="40"/>
        <v>0</v>
      </c>
      <c r="U155" s="3">
        <f t="shared" si="41"/>
        <v>0</v>
      </c>
      <c r="V155" s="3">
        <f t="shared" si="42"/>
        <v>1.1124031007751938</v>
      </c>
      <c r="W155" s="3">
        <f t="shared" si="43"/>
        <v>0</v>
      </c>
      <c r="X155" s="3">
        <f t="shared" si="44"/>
        <v>1.5775193798449614</v>
      </c>
      <c r="Y155" s="3">
        <f t="shared" si="45"/>
        <v>0</v>
      </c>
      <c r="Z155" s="3">
        <f t="shared" si="46"/>
        <v>0</v>
      </c>
      <c r="AA155" s="3">
        <f t="shared" si="47"/>
        <v>0.33333333333333331</v>
      </c>
      <c r="AB155" s="3">
        <f t="shared" si="48"/>
        <v>25.364341085271317</v>
      </c>
      <c r="AC155" s="3">
        <f t="shared" si="49"/>
        <v>0</v>
      </c>
    </row>
    <row r="156" spans="3:29" x14ac:dyDescent="0.25">
      <c r="C156">
        <v>2.5899999999999999E-2</v>
      </c>
      <c r="D156">
        <f>C156*100</f>
        <v>2.59</v>
      </c>
      <c r="E156" s="3">
        <v>5</v>
      </c>
      <c r="F156" s="3">
        <v>54</v>
      </c>
      <c r="G156" s="3">
        <f t="shared" si="4"/>
        <v>439.3050193050193</v>
      </c>
      <c r="H156" s="3">
        <f t="shared" si="2"/>
        <v>0</v>
      </c>
      <c r="I156" s="3">
        <f t="shared" si="5"/>
        <v>6.6756756756756754</v>
      </c>
      <c r="J156" s="3">
        <f t="shared" si="38"/>
        <v>8.6911196911196917</v>
      </c>
      <c r="K156" s="3">
        <f t="shared" si="7"/>
        <v>6.5714285714285721</v>
      </c>
      <c r="L156" s="3">
        <f t="shared" si="8"/>
        <v>63.073359073359079</v>
      </c>
      <c r="M156" s="3">
        <f t="shared" si="9"/>
        <v>34.015444015444018</v>
      </c>
      <c r="N156" s="3">
        <f t="shared" si="10"/>
        <v>44.552123552123554</v>
      </c>
      <c r="O156" s="3">
        <f t="shared" si="11"/>
        <v>4.3552123552123554</v>
      </c>
      <c r="P156" s="3">
        <f t="shared" si="12"/>
        <v>1.0926640926640927</v>
      </c>
      <c r="Q156" s="3">
        <f t="shared" si="13"/>
        <v>5.3088803088803092</v>
      </c>
      <c r="R156" s="3">
        <f t="shared" si="14"/>
        <v>1.9845559845559846</v>
      </c>
      <c r="S156" s="3">
        <f t="shared" si="39"/>
        <v>0.59073359073359077</v>
      </c>
      <c r="T156" s="3">
        <f t="shared" si="40"/>
        <v>2.5598455598455598</v>
      </c>
      <c r="U156" s="3">
        <f t="shared" si="41"/>
        <v>4.1274131274131278</v>
      </c>
      <c r="V156" s="3">
        <f t="shared" si="42"/>
        <v>10.722007722007723</v>
      </c>
      <c r="W156" s="3">
        <f t="shared" si="43"/>
        <v>6.3899613899613907</v>
      </c>
      <c r="X156" s="3">
        <f t="shared" si="44"/>
        <v>42.552123552123554</v>
      </c>
      <c r="Y156" s="3">
        <f t="shared" si="45"/>
        <v>192.64478764478764</v>
      </c>
      <c r="Z156" s="3">
        <f t="shared" si="46"/>
        <v>82.710424710424718</v>
      </c>
      <c r="AA156" s="3">
        <f t="shared" si="47"/>
        <v>12.644787644787645</v>
      </c>
      <c r="AB156" s="3">
        <f t="shared" si="48"/>
        <v>1034.8378378378379</v>
      </c>
      <c r="AC156" s="3">
        <f t="shared" si="49"/>
        <v>19.722007722007721</v>
      </c>
    </row>
    <row r="157" spans="3:29" x14ac:dyDescent="0.25">
      <c r="C157">
        <v>2.4199999999999999E-2</v>
      </c>
      <c r="D157">
        <f t="shared" ref="D157:D190" si="50">C157*100</f>
        <v>2.42</v>
      </c>
      <c r="E157" s="3">
        <v>5</v>
      </c>
      <c r="F157" s="3">
        <v>55</v>
      </c>
      <c r="G157" s="3">
        <f t="shared" si="4"/>
        <v>346.90495867768595</v>
      </c>
      <c r="H157" s="3">
        <f t="shared" si="2"/>
        <v>0</v>
      </c>
      <c r="I157" s="3">
        <f t="shared" si="5"/>
        <v>5.1818181818181817</v>
      </c>
      <c r="J157" s="3">
        <f t="shared" si="38"/>
        <v>8.1570247933884286</v>
      </c>
      <c r="K157" s="3">
        <f t="shared" si="7"/>
        <v>3.6487603305785123</v>
      </c>
      <c r="L157" s="3">
        <f t="shared" si="8"/>
        <v>25.966942148760332</v>
      </c>
      <c r="M157" s="3">
        <f t="shared" si="9"/>
        <v>28.93388429752066</v>
      </c>
      <c r="N157" s="3">
        <f t="shared" si="10"/>
        <v>39.330578512396698</v>
      </c>
      <c r="O157" s="3">
        <f t="shared" si="11"/>
        <v>4.1198347107438025</v>
      </c>
      <c r="P157" s="3">
        <f t="shared" si="12"/>
        <v>1.0413223140495869</v>
      </c>
      <c r="Q157" s="3">
        <f t="shared" si="13"/>
        <v>6.1487603305785132</v>
      </c>
      <c r="R157" s="3">
        <f t="shared" si="14"/>
        <v>2.0082644628099175</v>
      </c>
      <c r="S157" s="3">
        <f t="shared" si="39"/>
        <v>0.53719008264462809</v>
      </c>
      <c r="T157" s="3">
        <f t="shared" si="40"/>
        <v>2.7396694214876032</v>
      </c>
      <c r="U157" s="3">
        <f t="shared" si="41"/>
        <v>2.1528925619834713</v>
      </c>
      <c r="V157" s="3">
        <f t="shared" si="42"/>
        <v>10.338842975206612</v>
      </c>
      <c r="W157" s="3">
        <f t="shared" si="43"/>
        <v>7.6322314049586772</v>
      </c>
      <c r="X157" s="3">
        <f t="shared" si="44"/>
        <v>14.016528925619836</v>
      </c>
      <c r="Y157" s="3">
        <f t="shared" si="45"/>
        <v>127.13223140495869</v>
      </c>
      <c r="Z157" s="3">
        <f t="shared" si="46"/>
        <v>63.694214876033051</v>
      </c>
      <c r="AA157" s="3">
        <f t="shared" si="47"/>
        <v>10.417355371900827</v>
      </c>
      <c r="AB157" s="3">
        <f t="shared" si="48"/>
        <v>1024.2355371900828</v>
      </c>
      <c r="AC157" s="3">
        <f t="shared" si="49"/>
        <v>15.971074380165289</v>
      </c>
    </row>
    <row r="158" spans="3:29" x14ac:dyDescent="0.25">
      <c r="C158">
        <v>3.8300000000000001E-2</v>
      </c>
      <c r="D158">
        <f t="shared" si="50"/>
        <v>3.83</v>
      </c>
      <c r="E158" s="3">
        <v>5</v>
      </c>
      <c r="F158" s="3">
        <v>56</v>
      </c>
      <c r="G158" s="3">
        <f t="shared" si="4"/>
        <v>418.47519582245428</v>
      </c>
      <c r="H158" s="3">
        <f t="shared" si="2"/>
        <v>46.652741514360315</v>
      </c>
      <c r="I158" s="3">
        <f t="shared" si="5"/>
        <v>4.8877284595300257</v>
      </c>
      <c r="J158" s="3">
        <f t="shared" si="38"/>
        <v>4.5143603133159269</v>
      </c>
      <c r="K158" s="3">
        <f t="shared" si="7"/>
        <v>1.7232375979112271</v>
      </c>
      <c r="L158" s="3">
        <f t="shared" si="8"/>
        <v>46.558746736292427</v>
      </c>
      <c r="M158" s="3">
        <f t="shared" si="9"/>
        <v>24.629242819843341</v>
      </c>
      <c r="N158" s="3">
        <f t="shared" si="10"/>
        <v>22.138381201044389</v>
      </c>
      <c r="O158" s="3">
        <f t="shared" si="11"/>
        <v>1.6370757180156656</v>
      </c>
      <c r="P158" s="3">
        <f t="shared" si="12"/>
        <v>0.77806788511749347</v>
      </c>
      <c r="Q158" s="3">
        <f t="shared" si="13"/>
        <v>2.5509138381201044</v>
      </c>
      <c r="R158" s="3">
        <f t="shared" si="14"/>
        <v>1.0522193211488251</v>
      </c>
      <c r="S158" s="3">
        <f t="shared" si="39"/>
        <v>0.195822454308094</v>
      </c>
      <c r="T158" s="3">
        <f t="shared" si="40"/>
        <v>2.2271540469973887</v>
      </c>
      <c r="U158" s="3">
        <f t="shared" si="41"/>
        <v>14.874673629242819</v>
      </c>
      <c r="V158" s="3">
        <f t="shared" si="42"/>
        <v>6.6527415143603132</v>
      </c>
      <c r="W158" s="3">
        <f t="shared" si="43"/>
        <v>5.7362924281984329</v>
      </c>
      <c r="X158" s="3">
        <f t="shared" si="44"/>
        <v>69.93994778067885</v>
      </c>
      <c r="Y158" s="3">
        <f t="shared" si="45"/>
        <v>408.67885117493472</v>
      </c>
      <c r="Z158" s="3">
        <f t="shared" si="46"/>
        <v>108.69973890339425</v>
      </c>
      <c r="AA158" s="3">
        <f t="shared" si="47"/>
        <v>22.182767624020887</v>
      </c>
      <c r="AB158" s="3">
        <f t="shared" si="48"/>
        <v>604.09399477806778</v>
      </c>
      <c r="AC158" s="3">
        <f t="shared" si="49"/>
        <v>10.412532637075719</v>
      </c>
    </row>
    <row r="159" spans="3:29" x14ac:dyDescent="0.25">
      <c r="C159">
        <v>3.4500000000000003E-2</v>
      </c>
      <c r="D159">
        <f t="shared" si="50"/>
        <v>3.45</v>
      </c>
      <c r="E159" s="3">
        <v>5</v>
      </c>
      <c r="F159" s="3">
        <v>57</v>
      </c>
      <c r="G159" s="3">
        <f t="shared" si="4"/>
        <v>121.33043478260868</v>
      </c>
      <c r="H159" s="3">
        <f t="shared" si="2"/>
        <v>2.5594202898550722</v>
      </c>
      <c r="I159" s="3">
        <f t="shared" si="5"/>
        <v>1.855072463768116</v>
      </c>
      <c r="J159" s="3">
        <f t="shared" si="38"/>
        <v>5.8811594202898547</v>
      </c>
      <c r="K159" s="3">
        <f t="shared" si="7"/>
        <v>0</v>
      </c>
      <c r="L159" s="3">
        <f t="shared" si="8"/>
        <v>11.799999999999999</v>
      </c>
      <c r="M159" s="3">
        <f t="shared" si="9"/>
        <v>0</v>
      </c>
      <c r="N159" s="3">
        <f t="shared" si="10"/>
        <v>23.556521739130432</v>
      </c>
      <c r="O159" s="3">
        <f t="shared" si="11"/>
        <v>0.62898550724637681</v>
      </c>
      <c r="P159" s="3">
        <f t="shared" si="12"/>
        <v>0.53333333333333333</v>
      </c>
      <c r="Q159" s="3">
        <f t="shared" si="13"/>
        <v>2.9246376811594201</v>
      </c>
      <c r="R159" s="3">
        <f t="shared" si="14"/>
        <v>1.327536231884058</v>
      </c>
      <c r="S159" s="3">
        <f t="shared" si="39"/>
        <v>8.4057971014492749E-2</v>
      </c>
      <c r="T159" s="3">
        <f t="shared" si="40"/>
        <v>1.7014492753623187</v>
      </c>
      <c r="U159" s="3">
        <f t="shared" si="41"/>
        <v>0</v>
      </c>
      <c r="V159" s="3">
        <f t="shared" si="42"/>
        <v>3.6666666666666665</v>
      </c>
      <c r="W159" s="3">
        <f t="shared" si="43"/>
        <v>1.7623188405797101</v>
      </c>
      <c r="X159" s="3">
        <f t="shared" si="44"/>
        <v>52.373913043478261</v>
      </c>
      <c r="Y159" s="3">
        <f t="shared" si="45"/>
        <v>601.03768115942023</v>
      </c>
      <c r="Z159" s="3">
        <f t="shared" si="46"/>
        <v>96.837681159420271</v>
      </c>
      <c r="AA159" s="3">
        <f t="shared" si="47"/>
        <v>8.0840579710144933</v>
      </c>
      <c r="AB159" s="3">
        <f t="shared" si="48"/>
        <v>992.56521739130426</v>
      </c>
      <c r="AC159" s="3">
        <f t="shared" si="49"/>
        <v>7.3594202898550725</v>
      </c>
    </row>
    <row r="160" spans="3:29" x14ac:dyDescent="0.25">
      <c r="C160">
        <v>5.1499999999999997E-2</v>
      </c>
      <c r="D160">
        <f t="shared" si="50"/>
        <v>5.1499999999999995</v>
      </c>
      <c r="E160" s="3">
        <v>5</v>
      </c>
      <c r="F160" s="3">
        <v>58</v>
      </c>
      <c r="G160" s="3">
        <f t="shared" si="4"/>
        <v>384.07766990291265</v>
      </c>
      <c r="H160" s="3">
        <f t="shared" si="2"/>
        <v>0</v>
      </c>
      <c r="I160" s="3">
        <f t="shared" si="5"/>
        <v>2.7611650485436896</v>
      </c>
      <c r="J160" s="3">
        <f t="shared" si="38"/>
        <v>2.7611650485436896</v>
      </c>
      <c r="K160" s="3">
        <f t="shared" si="7"/>
        <v>0</v>
      </c>
      <c r="L160" s="3">
        <f t="shared" si="8"/>
        <v>17.619417475728156</v>
      </c>
      <c r="M160" s="3">
        <f t="shared" si="9"/>
        <v>11.050485436893204</v>
      </c>
      <c r="N160" s="3">
        <f t="shared" si="10"/>
        <v>9.7145631067961169</v>
      </c>
      <c r="O160" s="3">
        <f t="shared" si="11"/>
        <v>1.2485436893203885</v>
      </c>
      <c r="P160" s="3">
        <f t="shared" si="12"/>
        <v>0.32621359223300972</v>
      </c>
      <c r="Q160" s="3">
        <f t="shared" si="13"/>
        <v>1.3106796116504855</v>
      </c>
      <c r="R160" s="3">
        <f t="shared" si="14"/>
        <v>0.46796116504854379</v>
      </c>
      <c r="S160" s="3">
        <f t="shared" si="39"/>
        <v>0.29708737864077672</v>
      </c>
      <c r="T160" s="3">
        <f t="shared" si="40"/>
        <v>0.31262135922330103</v>
      </c>
      <c r="U160" s="3">
        <f t="shared" si="41"/>
        <v>1.1980582524271846</v>
      </c>
      <c r="V160" s="3">
        <f t="shared" si="42"/>
        <v>2.9883495145631072</v>
      </c>
      <c r="W160" s="3">
        <f t="shared" si="43"/>
        <v>3.0271844660194178</v>
      </c>
      <c r="X160" s="3">
        <f t="shared" si="44"/>
        <v>7.3611650485436897</v>
      </c>
      <c r="Y160" s="3">
        <f t="shared" si="45"/>
        <v>60.467961165048557</v>
      </c>
      <c r="Z160" s="3">
        <f t="shared" si="46"/>
        <v>25.481553398058253</v>
      </c>
      <c r="AA160" s="3">
        <f t="shared" si="47"/>
        <v>4.1048543689320391</v>
      </c>
      <c r="AB160" s="3">
        <f t="shared" si="48"/>
        <v>329.29708737864081</v>
      </c>
      <c r="AC160" s="3">
        <f t="shared" si="49"/>
        <v>5.6213592233009715</v>
      </c>
    </row>
    <row r="161" spans="3:29" x14ac:dyDescent="0.25">
      <c r="C161">
        <v>2.8500000000000001E-2</v>
      </c>
      <c r="D161">
        <f t="shared" si="50"/>
        <v>2.85</v>
      </c>
      <c r="E161" s="3">
        <v>5</v>
      </c>
      <c r="F161" s="3">
        <v>59</v>
      </c>
      <c r="G161" s="3">
        <f t="shared" si="4"/>
        <v>321.45614035087715</v>
      </c>
      <c r="H161" s="3">
        <f t="shared" si="2"/>
        <v>0</v>
      </c>
      <c r="I161" s="3">
        <f t="shared" si="5"/>
        <v>9.2175438596491226</v>
      </c>
      <c r="J161" s="3">
        <f t="shared" si="38"/>
        <v>6.0666666666666664</v>
      </c>
      <c r="K161" s="3">
        <f t="shared" si="7"/>
        <v>0.86315789473684201</v>
      </c>
      <c r="L161" s="3">
        <f t="shared" si="8"/>
        <v>27.473684210526315</v>
      </c>
      <c r="M161" s="3">
        <f t="shared" si="9"/>
        <v>20.845614035087717</v>
      </c>
      <c r="N161" s="3">
        <f t="shared" si="10"/>
        <v>28.515789473684208</v>
      </c>
      <c r="O161" s="3">
        <f t="shared" si="11"/>
        <v>2.3684210526315788</v>
      </c>
      <c r="P161" s="3">
        <f t="shared" si="12"/>
        <v>0.64561403508771931</v>
      </c>
      <c r="Q161" s="3">
        <f t="shared" si="13"/>
        <v>1.8280701754385964</v>
      </c>
      <c r="R161" s="3">
        <f t="shared" si="14"/>
        <v>2.1017543859649122</v>
      </c>
      <c r="S161" s="3">
        <f t="shared" si="39"/>
        <v>0.45614035087719296</v>
      </c>
      <c r="T161" s="3">
        <f t="shared" si="40"/>
        <v>1.3157894736842104</v>
      </c>
      <c r="U161" s="3">
        <f t="shared" si="41"/>
        <v>2.4912280701754383</v>
      </c>
      <c r="V161" s="3">
        <f t="shared" si="42"/>
        <v>6.764912280701755</v>
      </c>
      <c r="W161" s="3">
        <f t="shared" si="43"/>
        <v>6.4350877192982452</v>
      </c>
      <c r="X161" s="3">
        <f t="shared" si="44"/>
        <v>11.385964912280702</v>
      </c>
      <c r="Y161" s="3">
        <f t="shared" si="45"/>
        <v>117.86666666666667</v>
      </c>
      <c r="Z161" s="3">
        <f t="shared" si="46"/>
        <v>39.466666666666669</v>
      </c>
      <c r="AA161" s="3">
        <f t="shared" si="47"/>
        <v>7.9929824561403509</v>
      </c>
      <c r="AB161" s="3">
        <f t="shared" si="48"/>
        <v>780.50877192982443</v>
      </c>
      <c r="AC161" s="3">
        <f t="shared" si="49"/>
        <v>12.273684210526314</v>
      </c>
    </row>
    <row r="162" spans="3:29" x14ac:dyDescent="0.25">
      <c r="C162">
        <v>2.86E-2</v>
      </c>
      <c r="D162">
        <f t="shared" si="50"/>
        <v>2.86</v>
      </c>
      <c r="E162" s="3">
        <v>5</v>
      </c>
      <c r="F162" s="3">
        <v>60</v>
      </c>
      <c r="G162" s="3">
        <f t="shared" si="4"/>
        <v>468.30769230769232</v>
      </c>
      <c r="H162" s="3">
        <f t="shared" si="2"/>
        <v>23.972027972027973</v>
      </c>
      <c r="I162" s="3">
        <f t="shared" si="5"/>
        <v>9.9720279720279716</v>
      </c>
      <c r="J162" s="3">
        <f t="shared" si="38"/>
        <v>7.5769230769230775</v>
      </c>
      <c r="K162" s="3">
        <f t="shared" si="7"/>
        <v>12.59090909090909</v>
      </c>
      <c r="L162" s="3">
        <f t="shared" si="8"/>
        <v>59.409090909090914</v>
      </c>
      <c r="M162" s="3">
        <f t="shared" si="9"/>
        <v>44.744755244755247</v>
      </c>
      <c r="N162" s="3">
        <f t="shared" si="10"/>
        <v>36.842657342657347</v>
      </c>
      <c r="O162" s="3">
        <f t="shared" si="11"/>
        <v>2.9545454545454546</v>
      </c>
      <c r="P162" s="3">
        <f t="shared" si="12"/>
        <v>1.0944055944055944</v>
      </c>
      <c r="Q162" s="3">
        <f t="shared" si="13"/>
        <v>5.9160839160839167</v>
      </c>
      <c r="R162" s="3">
        <f t="shared" si="14"/>
        <v>1.6013986013986015</v>
      </c>
      <c r="S162" s="3">
        <f t="shared" si="39"/>
        <v>0.56293706293706303</v>
      </c>
      <c r="T162" s="3">
        <f t="shared" si="40"/>
        <v>4.6328671328671334</v>
      </c>
      <c r="U162" s="3">
        <f t="shared" si="41"/>
        <v>14.797202797202798</v>
      </c>
      <c r="V162" s="3">
        <f t="shared" si="42"/>
        <v>9.3881118881118883</v>
      </c>
      <c r="W162" s="3">
        <f t="shared" si="43"/>
        <v>7.9195804195804191</v>
      </c>
      <c r="X162" s="3">
        <f t="shared" si="44"/>
        <v>93.506993006993014</v>
      </c>
      <c r="Y162" s="3">
        <f t="shared" si="45"/>
        <v>954.06993006993002</v>
      </c>
      <c r="Z162" s="3">
        <f t="shared" si="46"/>
        <v>334.04545454545456</v>
      </c>
      <c r="AA162" s="3">
        <f t="shared" si="47"/>
        <v>99.730769230769241</v>
      </c>
      <c r="AB162" s="3">
        <f t="shared" si="48"/>
        <v>1380.3076923076924</v>
      </c>
      <c r="AC162" s="3">
        <f t="shared" si="49"/>
        <v>19.181818181818183</v>
      </c>
    </row>
    <row r="163" spans="3:29" x14ac:dyDescent="0.25">
      <c r="C163">
        <v>4.7100000000000003E-2</v>
      </c>
      <c r="D163">
        <f t="shared" si="50"/>
        <v>4.71</v>
      </c>
      <c r="E163" s="3">
        <v>8</v>
      </c>
      <c r="F163" s="3">
        <v>61</v>
      </c>
      <c r="G163" s="3">
        <f t="shared" si="4"/>
        <v>342.0615711252654</v>
      </c>
      <c r="H163" s="3">
        <f t="shared" si="2"/>
        <v>70.590233545647564</v>
      </c>
      <c r="I163" s="3">
        <f t="shared" si="5"/>
        <v>8.1910828025477702</v>
      </c>
      <c r="J163" s="3">
        <f t="shared" si="38"/>
        <v>12.456475583864119</v>
      </c>
      <c r="K163" s="3">
        <f t="shared" si="7"/>
        <v>24.437367303609342</v>
      </c>
      <c r="L163" s="3">
        <f t="shared" si="8"/>
        <v>59.027600849256899</v>
      </c>
      <c r="M163" s="3">
        <f t="shared" si="9"/>
        <v>28.227176220806793</v>
      </c>
      <c r="N163" s="3">
        <f t="shared" si="10"/>
        <v>30.014861995753716</v>
      </c>
      <c r="O163" s="3">
        <f t="shared" si="11"/>
        <v>1.8407643312101911</v>
      </c>
      <c r="P163" s="3">
        <f t="shared" si="12"/>
        <v>2.3779193205944797</v>
      </c>
      <c r="Q163" s="3">
        <f t="shared" si="13"/>
        <v>3.2250530785562632</v>
      </c>
      <c r="R163" s="3">
        <f t="shared" si="14"/>
        <v>1.8280254777070062</v>
      </c>
      <c r="S163" s="3">
        <f t="shared" si="39"/>
        <v>0.69002123142250527</v>
      </c>
      <c r="T163" s="3">
        <f t="shared" si="40"/>
        <v>4.3588110403397033</v>
      </c>
      <c r="U163" s="3">
        <f t="shared" si="41"/>
        <v>39.08492569002123</v>
      </c>
      <c r="V163" s="3">
        <f t="shared" si="42"/>
        <v>6.8259023354564752</v>
      </c>
      <c r="W163" s="3">
        <f t="shared" si="43"/>
        <v>6.6794055201698512</v>
      </c>
      <c r="X163" s="3">
        <f t="shared" si="44"/>
        <v>199.13588110403396</v>
      </c>
      <c r="Y163" s="3">
        <f t="shared" si="45"/>
        <v>1407.8641188959659</v>
      </c>
      <c r="Z163" s="3">
        <f t="shared" si="46"/>
        <v>674.03609341825904</v>
      </c>
      <c r="AA163" s="3">
        <f t="shared" si="47"/>
        <v>131.08917197452229</v>
      </c>
      <c r="AB163" s="3">
        <f t="shared" si="48"/>
        <v>2755.9532908704887</v>
      </c>
      <c r="AC163" s="3">
        <f t="shared" si="49"/>
        <v>21.910828025477709</v>
      </c>
    </row>
    <row r="164" spans="3:29" x14ac:dyDescent="0.25">
      <c r="C164">
        <v>5.9200000000000003E-2</v>
      </c>
      <c r="D164">
        <f t="shared" si="50"/>
        <v>5.92</v>
      </c>
      <c r="E164" s="3">
        <v>8</v>
      </c>
      <c r="F164" s="3">
        <v>62</v>
      </c>
      <c r="G164" s="3">
        <f t="shared" si="4"/>
        <v>96.878378378378372</v>
      </c>
      <c r="H164" s="3">
        <f t="shared" si="2"/>
        <v>84.5</v>
      </c>
      <c r="I164" s="3">
        <f t="shared" si="5"/>
        <v>6.5168918918918921</v>
      </c>
      <c r="J164" s="3">
        <f t="shared" si="38"/>
        <v>20.385135135135137</v>
      </c>
      <c r="K164" s="3">
        <f t="shared" si="7"/>
        <v>371.3851351351351</v>
      </c>
      <c r="L164" s="3">
        <f t="shared" si="8"/>
        <v>178.64864864864865</v>
      </c>
      <c r="M164" s="3">
        <f t="shared" si="9"/>
        <v>44.954391891891895</v>
      </c>
      <c r="N164" s="3">
        <f t="shared" si="10"/>
        <v>17.22972972972973</v>
      </c>
      <c r="O164" s="3">
        <f t="shared" si="11"/>
        <v>1.2111486486486487</v>
      </c>
      <c r="P164" s="3">
        <f t="shared" si="12"/>
        <v>2.7297297297297298</v>
      </c>
      <c r="Q164" s="3">
        <f t="shared" si="13"/>
        <v>5.1959459459459465</v>
      </c>
      <c r="R164" s="3">
        <f t="shared" si="14"/>
        <v>1.9628378378378377</v>
      </c>
      <c r="S164" s="3">
        <f t="shared" si="39"/>
        <v>0.56418918918918914</v>
      </c>
      <c r="T164" s="3">
        <f t="shared" si="40"/>
        <v>3.0591216216216215</v>
      </c>
      <c r="U164" s="3">
        <f t="shared" si="41"/>
        <v>32.45945945945946</v>
      </c>
      <c r="V164" s="3">
        <f t="shared" si="42"/>
        <v>5.8969594594594588</v>
      </c>
      <c r="W164" s="3">
        <f t="shared" si="43"/>
        <v>10.719594594594595</v>
      </c>
      <c r="X164" s="3">
        <f t="shared" si="44"/>
        <v>82.329391891891888</v>
      </c>
      <c r="Y164" s="3">
        <f t="shared" si="45"/>
        <v>0</v>
      </c>
      <c r="Z164" s="3">
        <f t="shared" si="46"/>
        <v>4094.6993243243242</v>
      </c>
      <c r="AA164" s="3">
        <f t="shared" si="47"/>
        <v>0</v>
      </c>
      <c r="AB164" s="3">
        <f t="shared" si="48"/>
        <v>5477.2466216216217</v>
      </c>
      <c r="AC164" s="3">
        <f t="shared" si="49"/>
        <v>23.052364864864867</v>
      </c>
    </row>
    <row r="165" spans="3:29" x14ac:dyDescent="0.25">
      <c r="C165">
        <v>4.8399999999999999E-2</v>
      </c>
      <c r="D165">
        <f t="shared" si="50"/>
        <v>4.84</v>
      </c>
      <c r="E165" s="3">
        <v>8</v>
      </c>
      <c r="F165" s="3">
        <v>63</v>
      </c>
      <c r="G165" s="3">
        <f t="shared" si="4"/>
        <v>175.02479338842977</v>
      </c>
      <c r="H165" s="3">
        <f t="shared" si="2"/>
        <v>1.0619834710743801</v>
      </c>
      <c r="I165" s="3">
        <f t="shared" si="5"/>
        <v>2.2169421487603307</v>
      </c>
      <c r="J165" s="3">
        <f t="shared" si="38"/>
        <v>1.9524793388429751</v>
      </c>
      <c r="K165" s="3">
        <f t="shared" si="7"/>
        <v>0.79958677685950419</v>
      </c>
      <c r="L165" s="3">
        <f t="shared" si="8"/>
        <v>32.690082644628099</v>
      </c>
      <c r="M165" s="3">
        <f t="shared" si="9"/>
        <v>14.595041322314049</v>
      </c>
      <c r="N165" s="3">
        <f t="shared" si="10"/>
        <v>5.7396694214876041</v>
      </c>
      <c r="O165" s="3">
        <f t="shared" si="11"/>
        <v>1.0599173553719008</v>
      </c>
      <c r="P165" s="3">
        <f t="shared" si="12"/>
        <v>0.25206611570247933</v>
      </c>
      <c r="Q165" s="3">
        <f t="shared" si="13"/>
        <v>0.19628099173553717</v>
      </c>
      <c r="R165" s="3">
        <f t="shared" si="14"/>
        <v>0.58057851239669422</v>
      </c>
      <c r="S165" s="3">
        <f t="shared" si="39"/>
        <v>0.28305785123966948</v>
      </c>
      <c r="T165" s="3">
        <f t="shared" si="40"/>
        <v>0.25206611570247933</v>
      </c>
      <c r="U165" s="3">
        <f t="shared" si="41"/>
        <v>1.7066115702479339</v>
      </c>
      <c r="V165" s="3">
        <f t="shared" si="42"/>
        <v>2.4235537190082646</v>
      </c>
      <c r="W165" s="3">
        <f t="shared" si="43"/>
        <v>5.4566115702479339</v>
      </c>
      <c r="X165" s="3">
        <f t="shared" si="44"/>
        <v>13.28099173553719</v>
      </c>
      <c r="Y165" s="3">
        <f t="shared" si="45"/>
        <v>48.826446280991739</v>
      </c>
      <c r="Z165" s="3">
        <f t="shared" si="46"/>
        <v>42.859504132231407</v>
      </c>
      <c r="AA165" s="3">
        <f t="shared" si="47"/>
        <v>6.1177685950413228</v>
      </c>
      <c r="AB165" s="3">
        <f t="shared" si="48"/>
        <v>805.29752066115702</v>
      </c>
      <c r="AC165" s="3">
        <f t="shared" si="49"/>
        <v>4.276859504132231</v>
      </c>
    </row>
    <row r="166" spans="3:29" x14ac:dyDescent="0.25">
      <c r="C166">
        <v>1.77E-2</v>
      </c>
      <c r="D166">
        <f t="shared" si="50"/>
        <v>1.77</v>
      </c>
      <c r="E166" s="3">
        <v>8</v>
      </c>
      <c r="F166" s="3">
        <v>64</v>
      </c>
      <c r="G166" s="3">
        <f t="shared" si="4"/>
        <v>225.39548022598871</v>
      </c>
      <c r="H166" s="3">
        <f t="shared" si="2"/>
        <v>0</v>
      </c>
      <c r="I166" s="3">
        <f t="shared" si="5"/>
        <v>0</v>
      </c>
      <c r="J166" s="3">
        <f t="shared" si="38"/>
        <v>5.5536723163841808</v>
      </c>
      <c r="K166" s="3">
        <f t="shared" si="7"/>
        <v>0.2655367231638418</v>
      </c>
      <c r="L166" s="3">
        <f t="shared" si="8"/>
        <v>94.412429378531087</v>
      </c>
      <c r="M166" s="3">
        <f t="shared" si="9"/>
        <v>27.203389830508474</v>
      </c>
      <c r="N166" s="3">
        <f t="shared" si="10"/>
        <v>35.72316384180791</v>
      </c>
      <c r="O166" s="3">
        <f t="shared" si="11"/>
        <v>4.231638418079096</v>
      </c>
      <c r="P166" s="3">
        <f t="shared" si="12"/>
        <v>0.68926553672316382</v>
      </c>
      <c r="Q166" s="3">
        <f t="shared" si="13"/>
        <v>1.7796610169491525</v>
      </c>
      <c r="R166" s="3">
        <f t="shared" si="14"/>
        <v>1.8135593220338984</v>
      </c>
      <c r="S166" s="3">
        <f t="shared" si="39"/>
        <v>0.16384180790960451</v>
      </c>
      <c r="T166" s="3">
        <f t="shared" si="40"/>
        <v>2.6666666666666665</v>
      </c>
      <c r="U166" s="3">
        <f t="shared" si="41"/>
        <v>4.6666666666666661</v>
      </c>
      <c r="V166" s="3">
        <f t="shared" si="42"/>
        <v>5.2146892655367232</v>
      </c>
      <c r="W166" s="3">
        <f t="shared" si="43"/>
        <v>6.8644067796610173</v>
      </c>
      <c r="X166" s="3">
        <f t="shared" si="44"/>
        <v>14.830508474576272</v>
      </c>
      <c r="Y166" s="3">
        <f t="shared" si="45"/>
        <v>129.5310734463277</v>
      </c>
      <c r="Z166" s="3">
        <f t="shared" si="46"/>
        <v>80.316384180790962</v>
      </c>
      <c r="AA166" s="3">
        <f t="shared" si="47"/>
        <v>12.242937853107346</v>
      </c>
      <c r="AB166" s="3">
        <f t="shared" si="48"/>
        <v>401.23728813559325</v>
      </c>
      <c r="AC166" s="3">
        <f t="shared" si="49"/>
        <v>14.344632768361581</v>
      </c>
    </row>
    <row r="167" spans="3:29" x14ac:dyDescent="0.25">
      <c r="C167">
        <v>3.5499999999999997E-2</v>
      </c>
      <c r="D167">
        <f t="shared" si="50"/>
        <v>3.55</v>
      </c>
      <c r="E167" s="3">
        <v>8</v>
      </c>
      <c r="F167" s="3">
        <v>65</v>
      </c>
      <c r="G167" s="3">
        <f t="shared" si="4"/>
        <v>236.5380281690141</v>
      </c>
      <c r="H167" s="3">
        <f t="shared" si="2"/>
        <v>0</v>
      </c>
      <c r="I167" s="3">
        <f t="shared" si="5"/>
        <v>4.450704225352113</v>
      </c>
      <c r="J167" s="3">
        <f t="shared" si="38"/>
        <v>3.4901408450704228</v>
      </c>
      <c r="K167" s="3">
        <f t="shared" si="7"/>
        <v>0.55492957746478877</v>
      </c>
      <c r="L167" s="3">
        <f t="shared" si="8"/>
        <v>34.645070422535213</v>
      </c>
      <c r="M167" s="3">
        <f t="shared" si="9"/>
        <v>14.622535211267605</v>
      </c>
      <c r="N167" s="3">
        <f t="shared" si="10"/>
        <v>12.445070422535212</v>
      </c>
      <c r="O167" s="3">
        <f t="shared" si="11"/>
        <v>1.5464788732394368</v>
      </c>
      <c r="P167" s="3">
        <f t="shared" si="12"/>
        <v>0.3436619718309859</v>
      </c>
      <c r="Q167" s="3">
        <f t="shared" si="13"/>
        <v>1.0845070422535212</v>
      </c>
      <c r="R167" s="3">
        <f t="shared" si="14"/>
        <v>0.9802816901408451</v>
      </c>
      <c r="S167" s="3">
        <f t="shared" si="39"/>
        <v>0.23098591549295774</v>
      </c>
      <c r="T167" s="3">
        <f t="shared" si="40"/>
        <v>0.56338028169014087</v>
      </c>
      <c r="U167" s="3">
        <f t="shared" si="41"/>
        <v>2.4563380281690144</v>
      </c>
      <c r="V167" s="3">
        <f t="shared" si="42"/>
        <v>3.4338028169014083</v>
      </c>
      <c r="W167" s="3">
        <f t="shared" si="43"/>
        <v>4.1605633802816904</v>
      </c>
      <c r="X167" s="3">
        <f t="shared" si="44"/>
        <v>10.71830985915493</v>
      </c>
      <c r="Y167" s="3">
        <f t="shared" si="45"/>
        <v>60.938028169014089</v>
      </c>
      <c r="Z167" s="3">
        <f t="shared" si="46"/>
        <v>58.91549295774648</v>
      </c>
      <c r="AA167" s="3">
        <f t="shared" si="47"/>
        <v>9.887323943661972</v>
      </c>
      <c r="AB167" s="3">
        <f t="shared" si="48"/>
        <v>1476.2788732394367</v>
      </c>
      <c r="AC167" s="3">
        <f t="shared" si="49"/>
        <v>6.1605633802816904</v>
      </c>
    </row>
    <row r="168" spans="3:29" x14ac:dyDescent="0.25">
      <c r="C168">
        <v>4.2099999999999999E-2</v>
      </c>
      <c r="D168">
        <f t="shared" si="50"/>
        <v>4.21</v>
      </c>
      <c r="E168" s="3">
        <v>8</v>
      </c>
      <c r="F168" s="3">
        <v>66</v>
      </c>
      <c r="G168" s="3">
        <f t="shared" si="4"/>
        <v>392.38004750593825</v>
      </c>
      <c r="H168" s="3">
        <f t="shared" si="2"/>
        <v>11.629453681710213</v>
      </c>
      <c r="I168" s="3">
        <f t="shared" si="5"/>
        <v>5.8194774346793352</v>
      </c>
      <c r="J168" s="3">
        <f t="shared" si="38"/>
        <v>3.0973871733966742</v>
      </c>
      <c r="K168" s="3">
        <f t="shared" si="7"/>
        <v>5.6365795724465562</v>
      </c>
      <c r="L168" s="3">
        <f t="shared" si="8"/>
        <v>151.04988123515437</v>
      </c>
      <c r="M168" s="3">
        <f t="shared" si="9"/>
        <v>10.247030878859858</v>
      </c>
      <c r="N168" s="3">
        <f t="shared" si="10"/>
        <v>12.342042755344419</v>
      </c>
      <c r="O168" s="3">
        <f t="shared" si="11"/>
        <v>0.50356294536817103</v>
      </c>
      <c r="P168" s="3">
        <f t="shared" si="12"/>
        <v>1.5178147268408551</v>
      </c>
      <c r="Q168" s="3">
        <f t="shared" si="13"/>
        <v>0.83135391923990498</v>
      </c>
      <c r="R168" s="3">
        <f t="shared" si="14"/>
        <v>1.2541567695961997</v>
      </c>
      <c r="S168" s="3">
        <f t="shared" si="39"/>
        <v>0.51781472684085517</v>
      </c>
      <c r="T168" s="3">
        <f t="shared" si="40"/>
        <v>2.2969121140142517</v>
      </c>
      <c r="U168" s="3">
        <f t="shared" si="41"/>
        <v>16.36104513064133</v>
      </c>
      <c r="V168" s="3">
        <f t="shared" si="42"/>
        <v>2.1377672209026128</v>
      </c>
      <c r="W168" s="3">
        <f t="shared" si="43"/>
        <v>3.1163895486935864</v>
      </c>
      <c r="X168" s="3">
        <f t="shared" si="44"/>
        <v>44.002375296912113</v>
      </c>
      <c r="Y168" s="3">
        <f t="shared" si="45"/>
        <v>369.19952494061755</v>
      </c>
      <c r="Z168" s="3">
        <f t="shared" si="46"/>
        <v>145.36104513064134</v>
      </c>
      <c r="AA168" s="3">
        <f t="shared" si="47"/>
        <v>22.035629453681711</v>
      </c>
      <c r="AB168" s="3">
        <f t="shared" si="48"/>
        <v>1025.0831353919241</v>
      </c>
      <c r="AC168" s="3">
        <f t="shared" si="49"/>
        <v>6.3111638954869358</v>
      </c>
    </row>
    <row r="169" spans="3:29" x14ac:dyDescent="0.25">
      <c r="C169">
        <v>4.1500000000000002E-2</v>
      </c>
      <c r="D169">
        <f t="shared" si="50"/>
        <v>4.1500000000000004</v>
      </c>
      <c r="E169" s="3">
        <v>8</v>
      </c>
      <c r="F169" s="3">
        <v>67</v>
      </c>
      <c r="G169" s="3">
        <f t="shared" ref="G169:G190" si="51">G79/B79</f>
        <v>113.75180722891565</v>
      </c>
      <c r="H169" s="3">
        <f t="shared" ref="H169:H190" si="52">H79/B79</f>
        <v>0</v>
      </c>
      <c r="I169" s="3">
        <f t="shared" ref="I169:I190" si="53">I79/B79</f>
        <v>1.542168674698795</v>
      </c>
      <c r="J169" s="3">
        <f t="shared" si="38"/>
        <v>1.4795180722891563</v>
      </c>
      <c r="K169" s="3">
        <f t="shared" ref="K169:K190" si="54">K79/B79</f>
        <v>0.23855421686746986</v>
      </c>
      <c r="L169" s="3">
        <f t="shared" ref="L169:L190" si="55">L79/B79</f>
        <v>45.893975903614454</v>
      </c>
      <c r="M169" s="3">
        <f t="shared" ref="M169:M190" si="56">M79/B79</f>
        <v>14.918072289156624</v>
      </c>
      <c r="N169" s="3">
        <f t="shared" ref="N169:N189" si="57">N79/B79</f>
        <v>6.6939759036144579</v>
      </c>
      <c r="O169" s="3">
        <f t="shared" ref="O169:O190" si="58">O79/B79</f>
        <v>1.125301204819277</v>
      </c>
      <c r="P169" s="3">
        <f t="shared" ref="P169:P190" si="59">P79/B79</f>
        <v>0.31325301204819278</v>
      </c>
      <c r="Q169" s="3">
        <f t="shared" ref="Q169:Q190" si="60">Q79/B79</f>
        <v>0.10120481927710842</v>
      </c>
      <c r="R169" s="3">
        <f t="shared" ref="R169:R190" si="61">R79/B79</f>
        <v>0.580722891566265</v>
      </c>
      <c r="S169" s="3">
        <f t="shared" si="39"/>
        <v>0.21686746987951805</v>
      </c>
      <c r="T169" s="3">
        <f t="shared" si="40"/>
        <v>0.1975903614457831</v>
      </c>
      <c r="U169" s="3">
        <f t="shared" si="41"/>
        <v>2.1590361445783133</v>
      </c>
      <c r="V169" s="3">
        <f t="shared" si="42"/>
        <v>2.2771084337349392</v>
      </c>
      <c r="W169" s="3">
        <f t="shared" si="43"/>
        <v>2.8963855421686744</v>
      </c>
      <c r="X169" s="3">
        <f t="shared" si="44"/>
        <v>14.424096385542168</v>
      </c>
      <c r="Y169" s="3">
        <f t="shared" si="45"/>
        <v>31.221686746987949</v>
      </c>
      <c r="Z169" s="3">
        <f t="shared" si="46"/>
        <v>20.159036144578312</v>
      </c>
      <c r="AA169" s="3">
        <f t="shared" si="47"/>
        <v>2.5759036144578311</v>
      </c>
      <c r="AB169" s="3">
        <f t="shared" si="48"/>
        <v>473.84819277108431</v>
      </c>
      <c r="AC169" s="3">
        <f t="shared" si="49"/>
        <v>4.7108433734939759</v>
      </c>
    </row>
    <row r="170" spans="3:29" x14ac:dyDescent="0.25">
      <c r="C170">
        <v>3.27E-2</v>
      </c>
      <c r="D170">
        <f t="shared" si="50"/>
        <v>3.27</v>
      </c>
      <c r="E170" s="3">
        <v>8</v>
      </c>
      <c r="F170" s="3">
        <v>68</v>
      </c>
      <c r="G170" s="3">
        <f t="shared" si="51"/>
        <v>239.82874617737002</v>
      </c>
      <c r="H170" s="3">
        <f t="shared" si="52"/>
        <v>0</v>
      </c>
      <c r="I170" s="3">
        <f t="shared" si="53"/>
        <v>1.0519877675840978</v>
      </c>
      <c r="J170" s="3">
        <f t="shared" si="38"/>
        <v>1.9877675840978593</v>
      </c>
      <c r="K170" s="3">
        <f t="shared" si="54"/>
        <v>0</v>
      </c>
      <c r="L170" s="3">
        <f t="shared" si="55"/>
        <v>17.128440366972477</v>
      </c>
      <c r="M170" s="3">
        <f t="shared" si="56"/>
        <v>11.660550458715598</v>
      </c>
      <c r="N170" s="3">
        <f t="shared" si="57"/>
        <v>7.1620795107033643</v>
      </c>
      <c r="O170" s="3">
        <f t="shared" si="58"/>
        <v>1.7737003058103975</v>
      </c>
      <c r="P170" s="3">
        <f t="shared" si="59"/>
        <v>0.23241590214067279</v>
      </c>
      <c r="Q170" s="3">
        <f t="shared" si="60"/>
        <v>0.29051987767584098</v>
      </c>
      <c r="R170" s="3">
        <f t="shared" si="61"/>
        <v>0.58103975535168195</v>
      </c>
      <c r="S170" s="3">
        <f t="shared" si="39"/>
        <v>0.37308868501529052</v>
      </c>
      <c r="T170" s="3">
        <f t="shared" si="40"/>
        <v>0.25076452599388377</v>
      </c>
      <c r="U170" s="3">
        <f t="shared" si="41"/>
        <v>1.2201834862385321</v>
      </c>
      <c r="V170" s="3">
        <f t="shared" si="42"/>
        <v>2.3333333333333335</v>
      </c>
      <c r="W170" s="3">
        <f t="shared" si="43"/>
        <v>3.3363914373088686</v>
      </c>
      <c r="X170" s="3">
        <f t="shared" si="44"/>
        <v>7.4403669724770634</v>
      </c>
      <c r="Y170" s="3">
        <f t="shared" si="45"/>
        <v>64.36391437308869</v>
      </c>
      <c r="Z170" s="3">
        <f t="shared" si="46"/>
        <v>26.256880733944953</v>
      </c>
      <c r="AA170" s="3">
        <f t="shared" si="47"/>
        <v>3.2140672782874615</v>
      </c>
      <c r="AB170" s="3">
        <f t="shared" si="48"/>
        <v>516.42201834862385</v>
      </c>
      <c r="AC170" s="3">
        <f t="shared" si="49"/>
        <v>4.238532110091743</v>
      </c>
    </row>
    <row r="171" spans="3:29" x14ac:dyDescent="0.25">
      <c r="C171">
        <v>2.8500000000000001E-2</v>
      </c>
      <c r="D171">
        <f t="shared" si="50"/>
        <v>2.85</v>
      </c>
      <c r="E171" s="3">
        <v>8</v>
      </c>
      <c r="F171" s="3">
        <v>69</v>
      </c>
      <c r="G171" s="3">
        <f t="shared" si="51"/>
        <v>382.4807017543859</v>
      </c>
      <c r="H171" s="3">
        <f t="shared" si="52"/>
        <v>45.115789473684217</v>
      </c>
      <c r="I171" s="3">
        <f t="shared" si="53"/>
        <v>10.389473684210525</v>
      </c>
      <c r="J171" s="3">
        <f t="shared" si="38"/>
        <v>9.280701754385964</v>
      </c>
      <c r="K171" s="3">
        <f t="shared" si="54"/>
        <v>29.982456140350877</v>
      </c>
      <c r="L171" s="3">
        <f t="shared" si="55"/>
        <v>246.71228070175437</v>
      </c>
      <c r="M171" s="3">
        <f t="shared" si="56"/>
        <v>37.470175438596492</v>
      </c>
      <c r="N171" s="3">
        <f t="shared" si="57"/>
        <v>18.231578947368419</v>
      </c>
      <c r="O171" s="3">
        <f t="shared" si="58"/>
        <v>2.0350877192982453</v>
      </c>
      <c r="P171" s="3">
        <f t="shared" si="59"/>
        <v>2.7157894736842105</v>
      </c>
      <c r="Q171" s="3">
        <f t="shared" si="60"/>
        <v>4.9333333333333336</v>
      </c>
      <c r="R171" s="3">
        <f t="shared" si="61"/>
        <v>1.3649122807017544</v>
      </c>
      <c r="S171" s="3">
        <f t="shared" si="39"/>
        <v>0.92280701754385963</v>
      </c>
      <c r="T171" s="3">
        <f t="shared" si="40"/>
        <v>2.7263157894736838</v>
      </c>
      <c r="U171" s="3">
        <f t="shared" si="41"/>
        <v>16.375438596491229</v>
      </c>
      <c r="V171" s="3">
        <f t="shared" si="42"/>
        <v>7.6491228070175437</v>
      </c>
      <c r="W171" s="3">
        <f t="shared" si="43"/>
        <v>6.3122807017543856</v>
      </c>
      <c r="X171" s="3">
        <f t="shared" si="44"/>
        <v>116.71929824561403</v>
      </c>
      <c r="Y171" s="3">
        <f t="shared" si="45"/>
        <v>961.52631578947364</v>
      </c>
      <c r="Z171" s="3">
        <f t="shared" si="46"/>
        <v>1039.0631578947368</v>
      </c>
      <c r="AA171" s="3">
        <f t="shared" si="47"/>
        <v>203.97543859649124</v>
      </c>
      <c r="AB171" s="3">
        <f t="shared" si="48"/>
        <v>3868.0842105263159</v>
      </c>
      <c r="AC171" s="3">
        <f t="shared" si="49"/>
        <v>15.726315789473684</v>
      </c>
    </row>
    <row r="172" spans="3:29" x14ac:dyDescent="0.25">
      <c r="C172">
        <v>2.6599999999999999E-2</v>
      </c>
      <c r="D172">
        <f t="shared" si="50"/>
        <v>2.6599999999999997</v>
      </c>
      <c r="E172" s="3">
        <v>8</v>
      </c>
      <c r="F172" s="3">
        <v>70</v>
      </c>
      <c r="G172" s="3">
        <f t="shared" si="51"/>
        <v>461.25563909774445</v>
      </c>
      <c r="H172" s="3">
        <f t="shared" si="52"/>
        <v>0</v>
      </c>
      <c r="I172" s="3">
        <f t="shared" si="53"/>
        <v>1.2932330827067671</v>
      </c>
      <c r="J172" s="3">
        <f t="shared" si="38"/>
        <v>4.4135338345864668</v>
      </c>
      <c r="K172" s="3">
        <f t="shared" si="54"/>
        <v>0</v>
      </c>
      <c r="L172" s="3">
        <f t="shared" si="55"/>
        <v>21.977443609022558</v>
      </c>
      <c r="M172" s="3">
        <f t="shared" si="56"/>
        <v>17.631578947368421</v>
      </c>
      <c r="N172" s="3">
        <f t="shared" si="57"/>
        <v>27.203007518796994</v>
      </c>
      <c r="O172" s="3">
        <f t="shared" si="58"/>
        <v>2.5187969924812035</v>
      </c>
      <c r="P172" s="3">
        <f t="shared" si="59"/>
        <v>0.77819548872180455</v>
      </c>
      <c r="Q172" s="3">
        <f t="shared" si="60"/>
        <v>2.3721804511278197</v>
      </c>
      <c r="R172" s="3">
        <f t="shared" si="61"/>
        <v>0.90601503759398516</v>
      </c>
      <c r="S172" s="3">
        <f t="shared" si="39"/>
        <v>0.1954887218045113</v>
      </c>
      <c r="T172" s="3">
        <f t="shared" si="40"/>
        <v>1.4849624060150379</v>
      </c>
      <c r="U172" s="3">
        <f t="shared" si="41"/>
        <v>2.7556390977443614</v>
      </c>
      <c r="V172" s="3">
        <f t="shared" si="42"/>
        <v>5.7857142857142865</v>
      </c>
      <c r="W172" s="3">
        <f t="shared" si="43"/>
        <v>5.0864661654135341</v>
      </c>
      <c r="X172" s="3">
        <f t="shared" si="44"/>
        <v>9.0375939849624061</v>
      </c>
      <c r="Y172" s="3">
        <f t="shared" si="45"/>
        <v>61.646616541353389</v>
      </c>
      <c r="Z172" s="3">
        <f t="shared" si="46"/>
        <v>31.172932330827074</v>
      </c>
      <c r="AA172" s="3">
        <f t="shared" si="47"/>
        <v>5.3233082706766925</v>
      </c>
      <c r="AB172" s="3">
        <f t="shared" si="48"/>
        <v>1173.281954887218</v>
      </c>
      <c r="AC172" s="3">
        <f t="shared" si="49"/>
        <v>12.695488721804514</v>
      </c>
    </row>
    <row r="173" spans="3:29" x14ac:dyDescent="0.25">
      <c r="C173">
        <v>3.2500000000000001E-2</v>
      </c>
      <c r="D173">
        <f t="shared" si="50"/>
        <v>3.25</v>
      </c>
      <c r="E173" s="3">
        <v>8</v>
      </c>
      <c r="F173" s="3">
        <v>71</v>
      </c>
      <c r="G173" s="3">
        <f t="shared" si="51"/>
        <v>240.23999999999998</v>
      </c>
      <c r="H173" s="3">
        <f t="shared" si="52"/>
        <v>9.1753846153846155</v>
      </c>
      <c r="I173" s="3">
        <f t="shared" si="53"/>
        <v>5.3199999999999994</v>
      </c>
      <c r="J173" s="3">
        <f t="shared" si="38"/>
        <v>4.8246153846153845</v>
      </c>
      <c r="K173" s="3">
        <f t="shared" si="54"/>
        <v>15.024615384615384</v>
      </c>
      <c r="L173" s="3">
        <f t="shared" si="55"/>
        <v>118.42153846153846</v>
      </c>
      <c r="M173" s="3">
        <f t="shared" si="56"/>
        <v>22.695384615384619</v>
      </c>
      <c r="N173" s="3">
        <f t="shared" si="57"/>
        <v>9.8523076923076935</v>
      </c>
      <c r="O173" s="3">
        <f t="shared" si="58"/>
        <v>1.3723076923076922</v>
      </c>
      <c r="P173" s="3">
        <f t="shared" si="59"/>
        <v>1.4523076923076923</v>
      </c>
      <c r="Q173" s="3">
        <f t="shared" si="60"/>
        <v>0.67692307692307696</v>
      </c>
      <c r="R173" s="3">
        <f t="shared" si="61"/>
        <v>1.1538461538461537</v>
      </c>
      <c r="S173" s="3">
        <f t="shared" si="39"/>
        <v>0.35076923076923072</v>
      </c>
      <c r="T173" s="3">
        <f t="shared" si="40"/>
        <v>3.7876923076923079</v>
      </c>
      <c r="U173" s="3">
        <f t="shared" si="41"/>
        <v>7.7969230769230773</v>
      </c>
      <c r="V173" s="3">
        <f t="shared" si="42"/>
        <v>3.9630769230769234</v>
      </c>
      <c r="W173" s="3">
        <f t="shared" si="43"/>
        <v>4.6061538461538465</v>
      </c>
      <c r="X173" s="3">
        <f t="shared" si="44"/>
        <v>27.027692307692309</v>
      </c>
      <c r="Y173" s="3">
        <f t="shared" si="45"/>
        <v>362.03384615384613</v>
      </c>
      <c r="Z173" s="3">
        <f t="shared" si="46"/>
        <v>1450.3261538461541</v>
      </c>
      <c r="AA173" s="3">
        <f t="shared" si="47"/>
        <v>305.44923076923078</v>
      </c>
      <c r="AB173" s="3">
        <f t="shared" si="48"/>
        <v>2456.5015384615385</v>
      </c>
      <c r="AC173" s="3">
        <f t="shared" si="49"/>
        <v>6.0153846153846153</v>
      </c>
    </row>
    <row r="174" spans="3:29" x14ac:dyDescent="0.25">
      <c r="C174">
        <v>5.1499999999999997E-2</v>
      </c>
      <c r="D174">
        <f t="shared" si="50"/>
        <v>5.1499999999999995</v>
      </c>
      <c r="E174" s="3">
        <v>8</v>
      </c>
      <c r="F174" s="3">
        <v>72</v>
      </c>
      <c r="G174" s="3">
        <f t="shared" si="51"/>
        <v>348.41165048543689</v>
      </c>
      <c r="H174" s="3">
        <f t="shared" si="52"/>
        <v>0</v>
      </c>
      <c r="I174" s="3">
        <f t="shared" si="53"/>
        <v>3.63495145631068</v>
      </c>
      <c r="J174" s="3">
        <f t="shared" si="38"/>
        <v>3.8873786407766993</v>
      </c>
      <c r="K174" s="3">
        <f t="shared" si="54"/>
        <v>2.5592233009708738</v>
      </c>
      <c r="L174" s="3">
        <f t="shared" si="55"/>
        <v>131.11262135922331</v>
      </c>
      <c r="M174" s="3">
        <f t="shared" si="56"/>
        <v>16.139805825242721</v>
      </c>
      <c r="N174" s="3">
        <f t="shared" si="57"/>
        <v>7.8077669902912632</v>
      </c>
      <c r="O174" s="3">
        <f t="shared" si="58"/>
        <v>0.87572815533980586</v>
      </c>
      <c r="P174" s="3">
        <f t="shared" si="59"/>
        <v>0.44466019417475733</v>
      </c>
      <c r="Q174" s="3">
        <f t="shared" si="60"/>
        <v>0.4038834951456311</v>
      </c>
      <c r="R174" s="3">
        <f t="shared" si="61"/>
        <v>0.72815533980582536</v>
      </c>
      <c r="S174" s="3">
        <f>S84/B84</f>
        <v>0.33786407766990295</v>
      </c>
      <c r="T174" s="3">
        <f>T84/B84</f>
        <v>0.91650485436893203</v>
      </c>
      <c r="U174" s="3">
        <f>U84/B84</f>
        <v>2.6640776699029129</v>
      </c>
      <c r="V174" s="3">
        <f>V84/B84</f>
        <v>3.6097087378640782</v>
      </c>
      <c r="W174" s="3">
        <f>W84/B84</f>
        <v>3.0951456310679615</v>
      </c>
      <c r="X174" s="3">
        <f>X84/B84</f>
        <v>26.856310679611653</v>
      </c>
      <c r="Y174" s="3">
        <f>Y84/B84</f>
        <v>219.22330097087382</v>
      </c>
      <c r="Z174" s="3">
        <f>Z84/B84</f>
        <v>81.357281553398067</v>
      </c>
      <c r="AA174" s="3">
        <f>AA84/B84</f>
        <v>16.01359223300971</v>
      </c>
      <c r="AB174" s="3">
        <f>AB84/B84</f>
        <v>3400.9456310679611</v>
      </c>
      <c r="AC174" s="3">
        <f>AC84/B84</f>
        <v>5.1592233009708748</v>
      </c>
    </row>
    <row r="175" spans="3:29" x14ac:dyDescent="0.25">
      <c r="C175">
        <v>2.9399999999999999E-2</v>
      </c>
      <c r="D175">
        <f t="shared" si="50"/>
        <v>2.94</v>
      </c>
      <c r="E175" s="3">
        <v>8</v>
      </c>
      <c r="F175" s="3">
        <v>73</v>
      </c>
      <c r="G175" s="3">
        <f t="shared" si="51"/>
        <v>444.11224489795921</v>
      </c>
      <c r="H175" s="3">
        <f t="shared" si="52"/>
        <v>0</v>
      </c>
      <c r="I175" s="3">
        <f t="shared" si="53"/>
        <v>0</v>
      </c>
      <c r="J175" s="3">
        <f t="shared" si="38"/>
        <v>2.2925170068027212</v>
      </c>
      <c r="K175" s="3">
        <f t="shared" si="54"/>
        <v>0</v>
      </c>
      <c r="L175" s="3">
        <f t="shared" si="55"/>
        <v>9.0340136054421762</v>
      </c>
      <c r="M175" s="3">
        <f t="shared" si="56"/>
        <v>18.292517006802722</v>
      </c>
      <c r="N175" s="3">
        <f t="shared" si="57"/>
        <v>8.7108843537414966</v>
      </c>
      <c r="O175" s="3">
        <f t="shared" si="58"/>
        <v>1.6904761904761905</v>
      </c>
      <c r="P175" s="3">
        <f t="shared" si="59"/>
        <v>0.36394557823129253</v>
      </c>
      <c r="Q175" s="3">
        <f t="shared" si="60"/>
        <v>0</v>
      </c>
      <c r="R175" s="3">
        <f t="shared" si="61"/>
        <v>0.391156462585034</v>
      </c>
      <c r="S175" s="3">
        <f t="shared" ref="S175:S190" si="62">S85/B85</f>
        <v>5.1020408163265307E-2</v>
      </c>
      <c r="T175" s="3">
        <f t="shared" ref="T175:T190" si="63">T85/B85</f>
        <v>0</v>
      </c>
      <c r="U175" s="3">
        <f t="shared" ref="U175:U190" si="64">U85/B85</f>
        <v>0.58163265306122447</v>
      </c>
      <c r="V175" s="3">
        <f t="shared" ref="V175:V190" si="65">V85/B85</f>
        <v>1.5918367346938775</v>
      </c>
      <c r="W175" s="3">
        <f t="shared" ref="W175:W190" si="66">W85/B85</f>
        <v>5.0714285714285712</v>
      </c>
      <c r="X175" s="3">
        <f t="shared" ref="X175:X190" si="67">X85/B85</f>
        <v>6.3673469387755102</v>
      </c>
      <c r="Y175" s="3">
        <f t="shared" ref="Y175:Y190" si="68">Y85/B85</f>
        <v>77.013605442176868</v>
      </c>
      <c r="Z175" s="3">
        <f t="shared" ref="Z175:Z190" si="69">Z85/B85</f>
        <v>28.204081632653061</v>
      </c>
      <c r="AA175" s="3">
        <f t="shared" ref="AA175:AA190" si="70">AA85/B85</f>
        <v>3.6632653061224487</v>
      </c>
      <c r="AB175" s="3">
        <f t="shared" ref="AB175:AB190" si="71">AB85/B85</f>
        <v>210.65646258503403</v>
      </c>
      <c r="AC175" s="3">
        <f t="shared" ref="AC175:AC190" si="72">AC85/B85</f>
        <v>5.8673469387755102</v>
      </c>
    </row>
    <row r="176" spans="3:29" x14ac:dyDescent="0.25">
      <c r="C176">
        <v>2.2499999999999999E-2</v>
      </c>
      <c r="D176">
        <f t="shared" si="50"/>
        <v>2.25</v>
      </c>
      <c r="E176" s="3">
        <v>8</v>
      </c>
      <c r="F176" s="3">
        <v>74</v>
      </c>
      <c r="G176" s="3">
        <f t="shared" si="51"/>
        <v>631.77333333333331</v>
      </c>
      <c r="H176" s="3">
        <f t="shared" si="52"/>
        <v>0</v>
      </c>
      <c r="I176" s="3">
        <f t="shared" si="53"/>
        <v>4.7688888888888892</v>
      </c>
      <c r="J176" s="3">
        <f t="shared" si="38"/>
        <v>8.9555555555555557</v>
      </c>
      <c r="K176" s="3">
        <f t="shared" si="54"/>
        <v>1.5111111111111111</v>
      </c>
      <c r="L176" s="3">
        <f t="shared" si="55"/>
        <v>41.604444444444447</v>
      </c>
      <c r="M176" s="3">
        <f t="shared" si="56"/>
        <v>38.048888888888889</v>
      </c>
      <c r="N176" s="3">
        <f t="shared" si="57"/>
        <v>32.955555555555556</v>
      </c>
      <c r="O176" s="3">
        <f t="shared" si="58"/>
        <v>4.333333333333333</v>
      </c>
      <c r="P176" s="3">
        <f t="shared" si="59"/>
        <v>0.78222222222222226</v>
      </c>
      <c r="Q176" s="3">
        <f t="shared" si="60"/>
        <v>9.9422222222222221</v>
      </c>
      <c r="R176" s="3">
        <f t="shared" si="61"/>
        <v>1.4266666666666667</v>
      </c>
      <c r="S176" s="3">
        <f t="shared" si="62"/>
        <v>0.23111111111111113</v>
      </c>
      <c r="T176" s="3">
        <f t="shared" si="63"/>
        <v>2.2666666666666666</v>
      </c>
      <c r="U176" s="3">
        <f t="shared" si="64"/>
        <v>3.8266666666666662</v>
      </c>
      <c r="V176" s="3">
        <f t="shared" si="65"/>
        <v>11.12</v>
      </c>
      <c r="W176" s="3">
        <f t="shared" si="66"/>
        <v>10.373333333333333</v>
      </c>
      <c r="X176" s="3">
        <f t="shared" si="67"/>
        <v>17.111111111111111</v>
      </c>
      <c r="Y176" s="3">
        <f t="shared" si="68"/>
        <v>76.484444444444449</v>
      </c>
      <c r="Z176" s="3">
        <f t="shared" si="69"/>
        <v>54.773333333333333</v>
      </c>
      <c r="AA176" s="3">
        <f t="shared" si="70"/>
        <v>9.9422222222222221</v>
      </c>
      <c r="AB176" s="3">
        <f t="shared" si="71"/>
        <v>522.48</v>
      </c>
      <c r="AC176" s="3">
        <f t="shared" si="72"/>
        <v>21.031111111111112</v>
      </c>
    </row>
    <row r="177" spans="3:29" x14ac:dyDescent="0.25">
      <c r="C177">
        <v>2.6499999999999999E-2</v>
      </c>
      <c r="D177">
        <f t="shared" si="50"/>
        <v>2.65</v>
      </c>
      <c r="E177" s="3">
        <v>8</v>
      </c>
      <c r="F177" s="3">
        <v>75</v>
      </c>
      <c r="G177" s="3">
        <f t="shared" si="51"/>
        <v>110.81132075471697</v>
      </c>
      <c r="H177" s="3">
        <f t="shared" si="52"/>
        <v>0</v>
      </c>
      <c r="I177" s="3">
        <f t="shared" si="53"/>
        <v>5.9622641509433967</v>
      </c>
      <c r="J177" s="3">
        <f t="shared" si="38"/>
        <v>5.4679245283018867</v>
      </c>
      <c r="K177" s="3">
        <f t="shared" si="54"/>
        <v>1.6339622641509435</v>
      </c>
      <c r="L177" s="3">
        <f t="shared" si="55"/>
        <v>78.73207547169811</v>
      </c>
      <c r="M177" s="3">
        <f t="shared" si="56"/>
        <v>29.954716981132076</v>
      </c>
      <c r="N177" s="3">
        <f t="shared" si="57"/>
        <v>18.150943396226417</v>
      </c>
      <c r="O177" s="3">
        <f t="shared" si="58"/>
        <v>2.1132075471698113</v>
      </c>
      <c r="P177" s="3">
        <f t="shared" si="59"/>
        <v>0.86415094339622645</v>
      </c>
      <c r="Q177" s="3">
        <f t="shared" si="60"/>
        <v>3.9245283018867929</v>
      </c>
      <c r="R177" s="3">
        <f t="shared" si="61"/>
        <v>1.2113207547169811</v>
      </c>
      <c r="S177" s="3">
        <f t="shared" si="62"/>
        <v>0.19622641509433963</v>
      </c>
      <c r="T177" s="3">
        <f t="shared" si="63"/>
        <v>1.0490566037735849</v>
      </c>
      <c r="U177" s="3">
        <f t="shared" si="64"/>
        <v>4.8716981132075476</v>
      </c>
      <c r="V177" s="3">
        <f t="shared" si="65"/>
        <v>6.6716981132075475</v>
      </c>
      <c r="W177" s="3">
        <f t="shared" si="66"/>
        <v>5.2113207547169811</v>
      </c>
      <c r="X177" s="3">
        <f t="shared" si="67"/>
        <v>19.920754716981133</v>
      </c>
      <c r="Y177" s="3">
        <f t="shared" si="68"/>
        <v>85.981132075471706</v>
      </c>
      <c r="Z177" s="3">
        <f t="shared" si="69"/>
        <v>84.901886792452842</v>
      </c>
      <c r="AA177" s="3">
        <f t="shared" si="70"/>
        <v>25.075471698113208</v>
      </c>
      <c r="AB177" s="3">
        <f t="shared" si="71"/>
        <v>875.45283018867917</v>
      </c>
      <c r="AC177" s="3">
        <f t="shared" si="72"/>
        <v>14.120754716981134</v>
      </c>
    </row>
    <row r="178" spans="3:29" x14ac:dyDescent="0.25">
      <c r="C178">
        <v>3.78E-2</v>
      </c>
      <c r="D178">
        <f t="shared" si="50"/>
        <v>3.7800000000000002</v>
      </c>
      <c r="E178" s="3">
        <v>21</v>
      </c>
      <c r="F178" s="3">
        <v>76</v>
      </c>
      <c r="G178" s="3">
        <f t="shared" si="51"/>
        <v>168.4259259259259</v>
      </c>
      <c r="H178" s="3">
        <f t="shared" si="52"/>
        <v>0</v>
      </c>
      <c r="I178" s="3">
        <f t="shared" si="53"/>
        <v>0.30952380952380948</v>
      </c>
      <c r="J178" s="3">
        <f t="shared" si="38"/>
        <v>2.1375661375661372</v>
      </c>
      <c r="K178" s="3">
        <f t="shared" si="54"/>
        <v>0.52116402116402116</v>
      </c>
      <c r="L178" s="3">
        <f t="shared" si="55"/>
        <v>7.973544973544973</v>
      </c>
      <c r="M178" s="3">
        <f t="shared" si="56"/>
        <v>9.4232804232804224</v>
      </c>
      <c r="N178" s="3">
        <f t="shared" si="57"/>
        <v>6.7751322751322745</v>
      </c>
      <c r="O178" s="3">
        <f t="shared" si="58"/>
        <v>1.4656084656084656</v>
      </c>
      <c r="P178" s="3">
        <f t="shared" si="59"/>
        <v>0.26190476190476186</v>
      </c>
      <c r="Q178" s="3">
        <f t="shared" si="60"/>
        <v>0.89417989417989407</v>
      </c>
      <c r="R178" s="3">
        <f t="shared" si="61"/>
        <v>0.63756613756613756</v>
      </c>
      <c r="S178" s="3">
        <f t="shared" si="62"/>
        <v>0.33333333333333331</v>
      </c>
      <c r="T178" s="3">
        <f t="shared" si="63"/>
        <v>0</v>
      </c>
      <c r="U178" s="3">
        <f t="shared" si="64"/>
        <v>0.87830687830687826</v>
      </c>
      <c r="V178" s="3">
        <f t="shared" si="65"/>
        <v>3.587301587301587</v>
      </c>
      <c r="W178" s="3">
        <f t="shared" si="66"/>
        <v>3.9444444444444442</v>
      </c>
      <c r="X178" s="3">
        <f t="shared" si="67"/>
        <v>10.301587301587301</v>
      </c>
      <c r="Y178" s="3">
        <f t="shared" si="68"/>
        <v>27.238095238095234</v>
      </c>
      <c r="Z178" s="3">
        <f t="shared" si="69"/>
        <v>26.38095238095238</v>
      </c>
      <c r="AA178" s="3">
        <f t="shared" si="70"/>
        <v>2.6349206349206349</v>
      </c>
      <c r="AB178" s="3">
        <f t="shared" si="71"/>
        <v>226.54497354497354</v>
      </c>
      <c r="AC178" s="3">
        <f t="shared" si="72"/>
        <v>3.6666666666666661</v>
      </c>
    </row>
    <row r="179" spans="3:29" x14ac:dyDescent="0.25">
      <c r="C179">
        <v>3.5999999999999997E-2</v>
      </c>
      <c r="D179">
        <f t="shared" si="50"/>
        <v>3.5999999999999996</v>
      </c>
      <c r="E179" s="3">
        <v>21</v>
      </c>
      <c r="F179" s="3">
        <v>77</v>
      </c>
      <c r="G179" s="3">
        <f t="shared" si="51"/>
        <v>302.94444444444446</v>
      </c>
      <c r="H179" s="3">
        <f t="shared" si="52"/>
        <v>0</v>
      </c>
      <c r="I179" s="3">
        <f t="shared" si="53"/>
        <v>2.4222222222222225</v>
      </c>
      <c r="J179" s="3">
        <f t="shared" si="38"/>
        <v>5.75</v>
      </c>
      <c r="K179" s="3">
        <f t="shared" si="54"/>
        <v>1.0750000000000002</v>
      </c>
      <c r="L179" s="3">
        <f t="shared" si="55"/>
        <v>14.880555555555556</v>
      </c>
      <c r="M179" s="3">
        <f t="shared" si="56"/>
        <v>21.008333333333333</v>
      </c>
      <c r="N179" s="3">
        <f t="shared" si="57"/>
        <v>18.586111111111112</v>
      </c>
      <c r="O179" s="3">
        <f t="shared" si="58"/>
        <v>1.7861111111111112</v>
      </c>
      <c r="P179" s="3">
        <f t="shared" si="59"/>
        <v>0.46666666666666667</v>
      </c>
      <c r="Q179" s="3">
        <f t="shared" si="60"/>
        <v>3.7611111111111111</v>
      </c>
      <c r="R179" s="3">
        <f t="shared" si="61"/>
        <v>0.74444444444444458</v>
      </c>
      <c r="S179" s="3">
        <f t="shared" si="62"/>
        <v>0.35000000000000003</v>
      </c>
      <c r="T179" s="3">
        <f t="shared" si="63"/>
        <v>1.5250000000000001</v>
      </c>
      <c r="U179" s="3">
        <f t="shared" si="64"/>
        <v>2.1805555555555558</v>
      </c>
      <c r="V179" s="3">
        <f t="shared" si="65"/>
        <v>6.0555555555555562</v>
      </c>
      <c r="W179" s="3">
        <f t="shared" si="66"/>
        <v>5.0166666666666666</v>
      </c>
      <c r="X179" s="3">
        <f t="shared" si="67"/>
        <v>12.455555555555557</v>
      </c>
      <c r="Y179" s="3">
        <f t="shared" si="68"/>
        <v>147.26666666666668</v>
      </c>
      <c r="Z179" s="3">
        <f t="shared" si="69"/>
        <v>31.583333333333336</v>
      </c>
      <c r="AA179" s="3">
        <f t="shared" si="70"/>
        <v>1.9583333333333335</v>
      </c>
      <c r="AB179" s="3">
        <f t="shared" si="71"/>
        <v>185.35555555555555</v>
      </c>
      <c r="AC179" s="3">
        <f t="shared" si="72"/>
        <v>8.375</v>
      </c>
    </row>
    <row r="180" spans="3:29" x14ac:dyDescent="0.25">
      <c r="C180">
        <v>3.85E-2</v>
      </c>
      <c r="D180">
        <f t="shared" si="50"/>
        <v>3.85</v>
      </c>
      <c r="E180" s="3">
        <v>21</v>
      </c>
      <c r="F180" s="3">
        <v>78</v>
      </c>
      <c r="G180" s="3">
        <f t="shared" si="51"/>
        <v>190.9220779220779</v>
      </c>
      <c r="H180" s="3">
        <f t="shared" si="52"/>
        <v>0</v>
      </c>
      <c r="I180" s="3">
        <f t="shared" si="53"/>
        <v>0</v>
      </c>
      <c r="J180" s="3">
        <f t="shared" si="38"/>
        <v>1.4727272727272727</v>
      </c>
      <c r="K180" s="3">
        <f t="shared" si="54"/>
        <v>0</v>
      </c>
      <c r="L180" s="3">
        <f t="shared" si="55"/>
        <v>40.485714285714288</v>
      </c>
      <c r="M180" s="3">
        <f t="shared" si="56"/>
        <v>16.241558441558443</v>
      </c>
      <c r="N180" s="3">
        <f t="shared" si="57"/>
        <v>4.9090909090909083</v>
      </c>
      <c r="O180" s="3">
        <f t="shared" si="58"/>
        <v>1.5064935064935063</v>
      </c>
      <c r="P180" s="3">
        <f t="shared" si="59"/>
        <v>0.31688311688311688</v>
      </c>
      <c r="Q180" s="3">
        <f t="shared" si="60"/>
        <v>0.10909090909090909</v>
      </c>
      <c r="R180" s="3">
        <f t="shared" si="61"/>
        <v>0.55844155844155841</v>
      </c>
      <c r="S180" s="3">
        <f t="shared" si="62"/>
        <v>0.13506493506493505</v>
      </c>
      <c r="T180" s="3">
        <f t="shared" si="63"/>
        <v>0.21298701298701297</v>
      </c>
      <c r="U180" s="3">
        <f t="shared" si="64"/>
        <v>1.3688311688311687</v>
      </c>
      <c r="V180" s="3">
        <f t="shared" si="65"/>
        <v>2.1012987012987012</v>
      </c>
      <c r="W180" s="3">
        <f t="shared" si="66"/>
        <v>5.0311688311688316</v>
      </c>
      <c r="X180" s="3">
        <f t="shared" si="67"/>
        <v>8.3506493506493502</v>
      </c>
      <c r="Y180" s="3">
        <f t="shared" si="68"/>
        <v>38.236363636363635</v>
      </c>
      <c r="Z180" s="3">
        <f t="shared" si="69"/>
        <v>29.374025974025976</v>
      </c>
      <c r="AA180" s="3">
        <f t="shared" si="70"/>
        <v>2.3506493506493507</v>
      </c>
      <c r="AB180" s="3">
        <f t="shared" si="71"/>
        <v>216.38441558441559</v>
      </c>
      <c r="AC180" s="3">
        <f t="shared" si="72"/>
        <v>3.7454545454545451</v>
      </c>
    </row>
    <row r="181" spans="3:29" x14ac:dyDescent="0.25">
      <c r="C181">
        <v>3.78E-2</v>
      </c>
      <c r="D181">
        <f t="shared" si="50"/>
        <v>3.7800000000000002</v>
      </c>
      <c r="E181" s="3">
        <v>21</v>
      </c>
      <c r="F181" s="3">
        <v>79</v>
      </c>
      <c r="G181" s="3">
        <f t="shared" si="51"/>
        <v>128.98148148148147</v>
      </c>
      <c r="H181" s="3">
        <f t="shared" si="52"/>
        <v>0</v>
      </c>
      <c r="I181" s="3">
        <f t="shared" si="53"/>
        <v>0.91005291005291</v>
      </c>
      <c r="J181" s="3">
        <f t="shared" si="38"/>
        <v>2.3015873015873014</v>
      </c>
      <c r="K181" s="3">
        <f t="shared" si="54"/>
        <v>0</v>
      </c>
      <c r="L181" s="3">
        <f t="shared" si="55"/>
        <v>26.275132275132272</v>
      </c>
      <c r="M181" s="3">
        <f t="shared" si="56"/>
        <v>13.732804232804231</v>
      </c>
      <c r="N181" s="3">
        <f t="shared" si="57"/>
        <v>6.1957671957671954</v>
      </c>
      <c r="O181" s="3">
        <f t="shared" si="58"/>
        <v>1.2619047619047616</v>
      </c>
      <c r="P181" s="3">
        <f t="shared" si="59"/>
        <v>0.24338624338624337</v>
      </c>
      <c r="Q181" s="3">
        <f t="shared" si="60"/>
        <v>0.58201058201058198</v>
      </c>
      <c r="R181" s="3">
        <f t="shared" si="61"/>
        <v>0.56878306878306872</v>
      </c>
      <c r="S181" s="3">
        <f t="shared" si="62"/>
        <v>0.1164021164021164</v>
      </c>
      <c r="T181" s="3">
        <f t="shared" si="63"/>
        <v>0.10846560846560845</v>
      </c>
      <c r="U181" s="3">
        <f t="shared" si="64"/>
        <v>2.4179894179894181</v>
      </c>
      <c r="V181" s="3">
        <f t="shared" si="65"/>
        <v>2.0185185185185182</v>
      </c>
      <c r="W181" s="3">
        <f t="shared" si="66"/>
        <v>4.052910052910053</v>
      </c>
      <c r="X181" s="3">
        <f t="shared" si="67"/>
        <v>7.6481481481481479</v>
      </c>
      <c r="Y181" s="3">
        <f t="shared" si="68"/>
        <v>32.335978835978835</v>
      </c>
      <c r="Z181" s="3">
        <f t="shared" si="69"/>
        <v>19.492063492063494</v>
      </c>
      <c r="AA181" s="3">
        <f t="shared" si="70"/>
        <v>2.3835978835978833</v>
      </c>
      <c r="AB181" s="3">
        <f t="shared" si="71"/>
        <v>288.61640211640213</v>
      </c>
      <c r="AC181" s="3">
        <f t="shared" si="72"/>
        <v>4.867724867724867</v>
      </c>
    </row>
    <row r="182" spans="3:29" x14ac:dyDescent="0.25">
      <c r="C182">
        <v>3.5099999999999999E-2</v>
      </c>
      <c r="D182">
        <f t="shared" si="50"/>
        <v>3.51</v>
      </c>
      <c r="E182" s="3">
        <v>21</v>
      </c>
      <c r="F182" s="3">
        <v>81</v>
      </c>
      <c r="G182" s="3">
        <f t="shared" si="51"/>
        <v>236.70085470085473</v>
      </c>
      <c r="H182" s="3">
        <f t="shared" si="52"/>
        <v>0</v>
      </c>
      <c r="I182" s="3">
        <f t="shared" si="53"/>
        <v>0</v>
      </c>
      <c r="J182" s="3">
        <f t="shared" si="38"/>
        <v>2.6210826210826212</v>
      </c>
      <c r="K182" s="3">
        <f t="shared" si="54"/>
        <v>0</v>
      </c>
      <c r="L182" s="3">
        <f t="shared" si="55"/>
        <v>32.347578347578349</v>
      </c>
      <c r="M182" s="3">
        <f t="shared" si="56"/>
        <v>13.541310541310542</v>
      </c>
      <c r="N182" s="3">
        <f t="shared" si="57"/>
        <v>9.1225071225071233</v>
      </c>
      <c r="O182" s="3">
        <f t="shared" si="58"/>
        <v>1.7720797720797721</v>
      </c>
      <c r="P182" s="3">
        <f t="shared" si="59"/>
        <v>0.30484330484330485</v>
      </c>
      <c r="Q182" s="3">
        <f t="shared" si="60"/>
        <v>1.225071225071225</v>
      </c>
      <c r="R182" s="3">
        <f t="shared" si="61"/>
        <v>0.68660968660968669</v>
      </c>
      <c r="S182" s="3">
        <f t="shared" si="62"/>
        <v>8.2621082621082614E-2</v>
      </c>
      <c r="T182" s="3">
        <f t="shared" si="63"/>
        <v>0.3475783475783476</v>
      </c>
      <c r="U182" s="3">
        <f t="shared" si="64"/>
        <v>2.0968660968660973</v>
      </c>
      <c r="V182" s="3">
        <f t="shared" si="65"/>
        <v>2.6923076923076921</v>
      </c>
      <c r="W182" s="3">
        <f t="shared" si="66"/>
        <v>3.6581196581196584</v>
      </c>
      <c r="X182" s="3">
        <f t="shared" si="67"/>
        <v>6.6381766381766392</v>
      </c>
      <c r="Y182" s="3">
        <f t="shared" si="68"/>
        <v>51.293447293447294</v>
      </c>
      <c r="Z182" s="3">
        <f t="shared" si="69"/>
        <v>27.264957264957268</v>
      </c>
      <c r="AA182" s="3">
        <f t="shared" si="70"/>
        <v>2.2108262108262111</v>
      </c>
      <c r="AB182" s="3">
        <f t="shared" si="71"/>
        <v>158.68091168091169</v>
      </c>
      <c r="AC182" s="3">
        <f t="shared" si="72"/>
        <v>4.9145299145299148</v>
      </c>
    </row>
    <row r="183" spans="3:29" x14ac:dyDescent="0.25">
      <c r="C183">
        <v>4.1399999999999999E-2</v>
      </c>
      <c r="D183">
        <f t="shared" si="50"/>
        <v>4.1399999999999997</v>
      </c>
      <c r="E183" s="3">
        <v>21</v>
      </c>
      <c r="F183" s="3">
        <v>82</v>
      </c>
      <c r="G183" s="3">
        <f t="shared" si="51"/>
        <v>135.85990338164254</v>
      </c>
      <c r="H183" s="3">
        <f t="shared" si="52"/>
        <v>33.69806763285024</v>
      </c>
      <c r="I183" s="3">
        <f t="shared" si="53"/>
        <v>3.0289855072463769</v>
      </c>
      <c r="J183" s="3">
        <f t="shared" si="38"/>
        <v>4.1763285024154593</v>
      </c>
      <c r="K183" s="3">
        <f t="shared" si="54"/>
        <v>0</v>
      </c>
      <c r="L183" s="3">
        <f t="shared" si="55"/>
        <v>69.855072463768124</v>
      </c>
      <c r="M183" s="3">
        <f t="shared" si="56"/>
        <v>15.555555555555559</v>
      </c>
      <c r="N183" s="3">
        <f t="shared" si="57"/>
        <v>6.7101449275362324</v>
      </c>
      <c r="O183" s="3">
        <f t="shared" si="58"/>
        <v>1.0410628019323671</v>
      </c>
      <c r="P183" s="3">
        <f t="shared" si="59"/>
        <v>0.44444444444444448</v>
      </c>
      <c r="Q183" s="3">
        <f t="shared" si="60"/>
        <v>1.0120772946859906</v>
      </c>
      <c r="R183" s="3">
        <f t="shared" si="61"/>
        <v>0.24879227053140099</v>
      </c>
      <c r="S183" s="3">
        <f t="shared" si="62"/>
        <v>9.9033816425120769E-2</v>
      </c>
      <c r="T183" s="3">
        <f t="shared" si="63"/>
        <v>1.9685990338164254</v>
      </c>
      <c r="U183" s="3">
        <f t="shared" si="64"/>
        <v>3.2922705314009666</v>
      </c>
      <c r="V183" s="3">
        <f t="shared" si="65"/>
        <v>2.3937198067632854</v>
      </c>
      <c r="W183" s="3">
        <f t="shared" si="66"/>
        <v>3.5676328502415462</v>
      </c>
      <c r="X183" s="3">
        <f t="shared" si="67"/>
        <v>115.53623188405798</v>
      </c>
      <c r="Y183" s="3">
        <f t="shared" si="68"/>
        <v>181.1352657004831</v>
      </c>
      <c r="Z183" s="3">
        <f t="shared" si="69"/>
        <v>47.591787439613533</v>
      </c>
      <c r="AA183" s="3">
        <f t="shared" si="70"/>
        <v>3.6352657004830924</v>
      </c>
      <c r="AB183" s="3">
        <f t="shared" si="71"/>
        <v>353.20531400966183</v>
      </c>
      <c r="AC183" s="3">
        <f t="shared" si="72"/>
        <v>6.27536231884058</v>
      </c>
    </row>
    <row r="184" spans="3:29" x14ac:dyDescent="0.25">
      <c r="C184">
        <v>2.4500000000000001E-2</v>
      </c>
      <c r="D184">
        <f t="shared" si="50"/>
        <v>2.4500000000000002</v>
      </c>
      <c r="E184" s="3">
        <v>21</v>
      </c>
      <c r="F184" s="3">
        <v>84</v>
      </c>
      <c r="G184" s="3">
        <f t="shared" si="51"/>
        <v>169.28163265306122</v>
      </c>
      <c r="H184" s="3">
        <f t="shared" si="52"/>
        <v>0</v>
      </c>
      <c r="I184" s="3">
        <f t="shared" si="53"/>
        <v>0</v>
      </c>
      <c r="J184" s="3">
        <f t="shared" si="38"/>
        <v>3.0489795918367344</v>
      </c>
      <c r="K184" s="3">
        <f t="shared" si="54"/>
        <v>0</v>
      </c>
      <c r="L184" s="3">
        <f t="shared" si="55"/>
        <v>21.261224489795918</v>
      </c>
      <c r="M184" s="3">
        <f t="shared" si="56"/>
        <v>16.587755102040816</v>
      </c>
      <c r="N184" s="3">
        <f t="shared" si="57"/>
        <v>7.7142857142857135</v>
      </c>
      <c r="O184" s="3">
        <f t="shared" si="58"/>
        <v>2.7755102040816322</v>
      </c>
      <c r="P184" s="3">
        <f t="shared" si="59"/>
        <v>0.37551020408163266</v>
      </c>
      <c r="Q184" s="3">
        <f t="shared" si="60"/>
        <v>0.69795918367346932</v>
      </c>
      <c r="R184" s="3">
        <f t="shared" si="61"/>
        <v>0.93061224489795902</v>
      </c>
      <c r="S184" s="3">
        <f t="shared" si="62"/>
        <v>0.53061224489795922</v>
      </c>
      <c r="T184" s="3">
        <f t="shared" si="63"/>
        <v>0.33469387755102037</v>
      </c>
      <c r="U184" s="3">
        <f t="shared" si="64"/>
        <v>1.9387755102040816</v>
      </c>
      <c r="V184" s="3">
        <f t="shared" si="65"/>
        <v>3.6734693877551017</v>
      </c>
      <c r="W184" s="3">
        <f t="shared" si="66"/>
        <v>3.918367346938775</v>
      </c>
      <c r="X184" s="3">
        <f t="shared" si="67"/>
        <v>11.077551020408162</v>
      </c>
      <c r="Y184" s="3">
        <f t="shared" si="68"/>
        <v>76.036734693877548</v>
      </c>
      <c r="Z184" s="3">
        <f t="shared" si="69"/>
        <v>45.910204081632649</v>
      </c>
      <c r="AA184" s="3">
        <f t="shared" si="70"/>
        <v>3.8693877551020406</v>
      </c>
      <c r="AB184" s="3">
        <f t="shared" si="71"/>
        <v>368.91836734693874</v>
      </c>
      <c r="AC184" s="3">
        <f t="shared" si="72"/>
        <v>7.0408163265306118</v>
      </c>
    </row>
    <row r="185" spans="3:29" x14ac:dyDescent="0.25">
      <c r="C185">
        <v>4.3799999999999999E-2</v>
      </c>
      <c r="D185">
        <f t="shared" si="50"/>
        <v>4.38</v>
      </c>
      <c r="E185" s="3">
        <v>21</v>
      </c>
      <c r="F185" s="3">
        <v>85</v>
      </c>
      <c r="G185" s="3">
        <f t="shared" si="51"/>
        <v>342.52283105022832</v>
      </c>
      <c r="H185" s="3">
        <f t="shared" si="52"/>
        <v>0</v>
      </c>
      <c r="I185" s="3">
        <f t="shared" si="53"/>
        <v>2.6598173515981736</v>
      </c>
      <c r="J185" s="3">
        <f t="shared" si="38"/>
        <v>5.3287671232876717</v>
      </c>
      <c r="K185" s="3">
        <f t="shared" si="54"/>
        <v>3.1073059360730593</v>
      </c>
      <c r="L185" s="3">
        <f t="shared" si="55"/>
        <v>93.963470319634709</v>
      </c>
      <c r="M185" s="3">
        <f t="shared" si="56"/>
        <v>17.552511415525114</v>
      </c>
      <c r="N185" s="3">
        <f t="shared" si="57"/>
        <v>18.554794520547944</v>
      </c>
      <c r="O185" s="3">
        <f t="shared" si="58"/>
        <v>1.5159817351598173</v>
      </c>
      <c r="P185" s="3">
        <f t="shared" si="59"/>
        <v>0.31506849315068491</v>
      </c>
      <c r="Q185" s="3">
        <f t="shared" si="60"/>
        <v>5.8995433789954337</v>
      </c>
      <c r="R185" s="3">
        <f t="shared" si="61"/>
        <v>0.73287671232876717</v>
      </c>
      <c r="S185" s="3">
        <f t="shared" si="62"/>
        <v>0.31278538812785389</v>
      </c>
      <c r="T185" s="3">
        <f t="shared" si="63"/>
        <v>0.90182648401826493</v>
      </c>
      <c r="U185" s="3">
        <f t="shared" si="64"/>
        <v>2.1735159817351599</v>
      </c>
      <c r="V185" s="3">
        <f t="shared" si="65"/>
        <v>8.3401826484018269</v>
      </c>
      <c r="W185" s="3">
        <f t="shared" si="66"/>
        <v>6.1073059360730593</v>
      </c>
      <c r="X185" s="3">
        <f t="shared" si="67"/>
        <v>10.102739726027398</v>
      </c>
      <c r="Y185" s="3">
        <f t="shared" si="68"/>
        <v>36.30821917808219</v>
      </c>
      <c r="Z185" s="3">
        <f t="shared" si="69"/>
        <v>43.150684931506852</v>
      </c>
      <c r="AA185" s="3">
        <f t="shared" si="70"/>
        <v>5.9726027397260273</v>
      </c>
      <c r="AB185" s="3">
        <f t="shared" si="71"/>
        <v>616.63242009132421</v>
      </c>
      <c r="AC185" s="3">
        <f t="shared" si="72"/>
        <v>8.2648401826484026</v>
      </c>
    </row>
    <row r="186" spans="3:29" x14ac:dyDescent="0.25">
      <c r="C186">
        <v>3.5099999999999999E-2</v>
      </c>
      <c r="D186">
        <f t="shared" si="50"/>
        <v>3.51</v>
      </c>
      <c r="E186" s="3">
        <v>21</v>
      </c>
      <c r="F186" s="3">
        <v>86</v>
      </c>
      <c r="G186" s="3">
        <f>G96/B96</f>
        <v>154.90598290598291</v>
      </c>
      <c r="H186" s="3">
        <f t="shared" si="52"/>
        <v>0</v>
      </c>
      <c r="I186" s="3">
        <f t="shared" si="53"/>
        <v>0</v>
      </c>
      <c r="J186" s="3">
        <f t="shared" si="38"/>
        <v>1.0569800569800569</v>
      </c>
      <c r="K186" s="3">
        <f t="shared" si="54"/>
        <v>0</v>
      </c>
      <c r="L186" s="3">
        <f t="shared" si="55"/>
        <v>15.401709401709404</v>
      </c>
      <c r="M186" s="3">
        <f t="shared" si="56"/>
        <v>1.2877492877492878</v>
      </c>
      <c r="N186" s="3">
        <f t="shared" si="57"/>
        <v>5.3846153846153841</v>
      </c>
      <c r="O186" s="3">
        <f t="shared" si="58"/>
        <v>0.94017094017094016</v>
      </c>
      <c r="P186" s="3">
        <f t="shared" si="59"/>
        <v>0.1737891737891738</v>
      </c>
      <c r="Q186" s="3">
        <f t="shared" si="60"/>
        <v>0</v>
      </c>
      <c r="R186" s="3">
        <f t="shared" si="61"/>
        <v>0.32763532763532766</v>
      </c>
      <c r="S186" s="3">
        <f t="shared" si="62"/>
        <v>0.12535612535612536</v>
      </c>
      <c r="T186" s="3">
        <f t="shared" si="63"/>
        <v>0</v>
      </c>
      <c r="U186" s="3">
        <f t="shared" si="64"/>
        <v>0.47293447293447294</v>
      </c>
      <c r="V186" s="3">
        <f t="shared" si="65"/>
        <v>1.3988603988603989</v>
      </c>
      <c r="W186" s="3">
        <f t="shared" si="66"/>
        <v>2.441595441595442</v>
      </c>
      <c r="X186" s="3">
        <f t="shared" si="67"/>
        <v>12.185185185185187</v>
      </c>
      <c r="Y186" s="3">
        <f t="shared" si="68"/>
        <v>60.800569800569804</v>
      </c>
      <c r="Z186" s="3">
        <f t="shared" si="69"/>
        <v>23.623931623931625</v>
      </c>
      <c r="AA186" s="3">
        <f t="shared" si="70"/>
        <v>4.7150997150997158</v>
      </c>
      <c r="AB186" s="3">
        <f t="shared" si="71"/>
        <v>343.90598290598291</v>
      </c>
      <c r="AC186" s="3">
        <f t="shared" si="72"/>
        <v>3.0028490028490027</v>
      </c>
    </row>
    <row r="187" spans="3:29" x14ac:dyDescent="0.25">
      <c r="C187">
        <v>5.4199999999999998E-2</v>
      </c>
      <c r="D187">
        <f t="shared" si="50"/>
        <v>5.42</v>
      </c>
      <c r="E187" s="3">
        <v>21</v>
      </c>
      <c r="F187" s="3">
        <v>87</v>
      </c>
      <c r="G187" s="3">
        <f t="shared" si="51"/>
        <v>41.332103321033216</v>
      </c>
      <c r="H187" s="3">
        <f t="shared" si="52"/>
        <v>0</v>
      </c>
      <c r="I187" s="3">
        <f t="shared" si="53"/>
        <v>0</v>
      </c>
      <c r="J187" s="3">
        <f t="shared" si="38"/>
        <v>3.7435424354243541</v>
      </c>
      <c r="K187" s="3">
        <f t="shared" si="54"/>
        <v>0.7140221402214022</v>
      </c>
      <c r="L187" s="3">
        <f t="shared" si="55"/>
        <v>32.038745387453879</v>
      </c>
      <c r="M187" s="3">
        <f t="shared" si="56"/>
        <v>12.343173431734318</v>
      </c>
      <c r="N187" s="3">
        <f t="shared" si="57"/>
        <v>10.287822878228782</v>
      </c>
      <c r="O187" s="3">
        <f t="shared" si="58"/>
        <v>0.88007380073800734</v>
      </c>
      <c r="P187" s="3">
        <f t="shared" si="59"/>
        <v>0.25461254612546125</v>
      </c>
      <c r="Q187" s="3">
        <f t="shared" si="60"/>
        <v>0.91881918819188202</v>
      </c>
      <c r="R187" s="3">
        <f t="shared" si="61"/>
        <v>0.2121771217712177</v>
      </c>
      <c r="S187" s="3">
        <f t="shared" si="62"/>
        <v>0.10332103321033212</v>
      </c>
      <c r="T187" s="3">
        <f t="shared" si="63"/>
        <v>0.69188191881918815</v>
      </c>
      <c r="U187" s="3">
        <f t="shared" si="64"/>
        <v>1.2952029520295203</v>
      </c>
      <c r="V187" s="3">
        <f t="shared" si="65"/>
        <v>3.8542435424354244</v>
      </c>
      <c r="W187" s="3">
        <f t="shared" si="66"/>
        <v>3.2822878228782288</v>
      </c>
      <c r="X187" s="3">
        <f t="shared" si="67"/>
        <v>15.337638376383763</v>
      </c>
      <c r="Y187" s="3">
        <f t="shared" si="68"/>
        <v>30.85608856088561</v>
      </c>
      <c r="Z187" s="3">
        <f t="shared" si="69"/>
        <v>3.9003690036900371</v>
      </c>
      <c r="AA187" s="3">
        <f t="shared" si="70"/>
        <v>0.23247232472324725</v>
      </c>
      <c r="AB187" s="3">
        <f t="shared" si="71"/>
        <v>167.57380073800738</v>
      </c>
      <c r="AC187" s="3">
        <f t="shared" si="72"/>
        <v>4.9022140221402219</v>
      </c>
    </row>
    <row r="188" spans="3:29" x14ac:dyDescent="0.25">
      <c r="C188">
        <v>0.04</v>
      </c>
      <c r="D188">
        <f t="shared" si="50"/>
        <v>4</v>
      </c>
      <c r="E188" s="3">
        <v>21</v>
      </c>
      <c r="F188" s="3">
        <v>88</v>
      </c>
      <c r="G188" s="3">
        <f t="shared" si="51"/>
        <v>161.54499999999999</v>
      </c>
      <c r="H188" s="3">
        <f t="shared" si="52"/>
        <v>0</v>
      </c>
      <c r="I188" s="3">
        <f t="shared" si="53"/>
        <v>0</v>
      </c>
      <c r="J188" s="3">
        <f t="shared" si="38"/>
        <v>2.2374999999999998</v>
      </c>
      <c r="K188" s="3">
        <f t="shared" si="54"/>
        <v>0</v>
      </c>
      <c r="L188" s="3">
        <f t="shared" si="55"/>
        <v>30.274999999999999</v>
      </c>
      <c r="M188" s="3">
        <f t="shared" si="56"/>
        <v>12.0375</v>
      </c>
      <c r="N188" s="3">
        <f t="shared" si="57"/>
        <v>11.5375</v>
      </c>
      <c r="O188" s="3">
        <f t="shared" si="58"/>
        <v>1.425</v>
      </c>
      <c r="P188" s="3">
        <f t="shared" si="59"/>
        <v>0.42</v>
      </c>
      <c r="Q188" s="3">
        <f t="shared" si="60"/>
        <v>0.67</v>
      </c>
      <c r="R188" s="3">
        <f t="shared" si="61"/>
        <v>0.22750000000000001</v>
      </c>
      <c r="S188" s="3">
        <f t="shared" si="62"/>
        <v>0.41249999999999998</v>
      </c>
      <c r="T188" s="3">
        <f t="shared" si="63"/>
        <v>0</v>
      </c>
      <c r="U188" s="3">
        <f t="shared" si="64"/>
        <v>1.4524999999999999</v>
      </c>
      <c r="V188" s="3">
        <f t="shared" si="65"/>
        <v>2.1349999999999998</v>
      </c>
      <c r="W188" s="3">
        <f t="shared" si="66"/>
        <v>2.85</v>
      </c>
      <c r="X188" s="3">
        <f t="shared" si="67"/>
        <v>6.5625</v>
      </c>
      <c r="Y188" s="3">
        <f t="shared" si="68"/>
        <v>45.01</v>
      </c>
      <c r="Z188" s="3">
        <f t="shared" si="69"/>
        <v>16.344999999999999</v>
      </c>
      <c r="AA188" s="3">
        <f t="shared" si="70"/>
        <v>2.4350000000000001</v>
      </c>
      <c r="AB188" s="3">
        <f t="shared" si="71"/>
        <v>266.14499999999998</v>
      </c>
      <c r="AC188" s="3">
        <f t="shared" si="72"/>
        <v>3.1875</v>
      </c>
    </row>
    <row r="189" spans="3:29" x14ac:dyDescent="0.25">
      <c r="C189">
        <v>3.3799999999999997E-2</v>
      </c>
      <c r="D189">
        <f t="shared" si="50"/>
        <v>3.38</v>
      </c>
      <c r="E189" s="3">
        <v>21</v>
      </c>
      <c r="F189" s="3">
        <v>89</v>
      </c>
      <c r="G189" s="3">
        <f t="shared" si="51"/>
        <v>307.96745562130178</v>
      </c>
      <c r="H189" s="3">
        <f t="shared" si="52"/>
        <v>0</v>
      </c>
      <c r="I189" s="3">
        <f t="shared" si="53"/>
        <v>3.1745562130177518</v>
      </c>
      <c r="J189" s="3">
        <f t="shared" si="38"/>
        <v>4.2455621301775146</v>
      </c>
      <c r="K189" s="3">
        <f t="shared" si="54"/>
        <v>0</v>
      </c>
      <c r="L189" s="3">
        <f t="shared" si="55"/>
        <v>17.150887573964496</v>
      </c>
      <c r="M189" s="3">
        <f t="shared" si="56"/>
        <v>15.727810650887573</v>
      </c>
      <c r="N189" s="3">
        <f t="shared" si="57"/>
        <v>9.4733727810650894</v>
      </c>
      <c r="O189" s="3">
        <f t="shared" si="58"/>
        <v>2.0118343195266273</v>
      </c>
      <c r="P189" s="3">
        <f t="shared" si="59"/>
        <v>0.45266272189349116</v>
      </c>
      <c r="Q189" s="3">
        <f t="shared" si="60"/>
        <v>0.93195266272189348</v>
      </c>
      <c r="R189" s="3">
        <f t="shared" si="61"/>
        <v>0.79289940828402372</v>
      </c>
      <c r="S189" s="3">
        <f t="shared" si="62"/>
        <v>0.10946745562130178</v>
      </c>
      <c r="T189" s="3">
        <f t="shared" si="63"/>
        <v>0.8224852071005917</v>
      </c>
      <c r="U189" s="3">
        <f t="shared" si="64"/>
        <v>2.7189349112426036</v>
      </c>
      <c r="V189" s="3">
        <f t="shared" si="65"/>
        <v>3.470414201183432</v>
      </c>
      <c r="W189" s="3">
        <f t="shared" si="66"/>
        <v>3.8816568047337277</v>
      </c>
      <c r="X189" s="3">
        <f t="shared" si="67"/>
        <v>44.357988165680474</v>
      </c>
      <c r="Y189" s="3">
        <f t="shared" si="68"/>
        <v>60.955621301775153</v>
      </c>
      <c r="Z189" s="3">
        <f t="shared" si="69"/>
        <v>34.715976331360949</v>
      </c>
      <c r="AA189" s="3">
        <f t="shared" si="70"/>
        <v>4.390532544378698</v>
      </c>
      <c r="AB189" s="3">
        <f t="shared" si="71"/>
        <v>474.16272189349115</v>
      </c>
      <c r="AC189" s="3">
        <f t="shared" si="72"/>
        <v>5.7840236686390538</v>
      </c>
    </row>
    <row r="190" spans="3:29" x14ac:dyDescent="0.25">
      <c r="C190">
        <v>3.9100000000000003E-2</v>
      </c>
      <c r="D190">
        <f t="shared" si="50"/>
        <v>3.91</v>
      </c>
      <c r="E190" s="3">
        <v>21</v>
      </c>
      <c r="F190" s="3">
        <v>90</v>
      </c>
      <c r="G190" s="3">
        <f t="shared" si="51"/>
        <v>215.01534526854221</v>
      </c>
      <c r="H190" s="3">
        <f t="shared" si="52"/>
        <v>0</v>
      </c>
      <c r="I190" s="3">
        <f t="shared" si="53"/>
        <v>3.636828644501279</v>
      </c>
      <c r="J190" s="3">
        <f t="shared" si="38"/>
        <v>6.6905370843989767</v>
      </c>
      <c r="K190" s="3">
        <f t="shared" si="54"/>
        <v>2.1432225063938621</v>
      </c>
      <c r="L190" s="3">
        <f t="shared" si="55"/>
        <v>42.498721227621481</v>
      </c>
      <c r="M190" s="3">
        <f t="shared" si="56"/>
        <v>25.718670076726344</v>
      </c>
      <c r="N190" s="3">
        <f>N100/B100</f>
        <v>16.171355498721226</v>
      </c>
      <c r="O190" s="3">
        <f t="shared" si="58"/>
        <v>1.7519181585677748</v>
      </c>
      <c r="P190" s="3">
        <f t="shared" si="59"/>
        <v>0.50895140664961636</v>
      </c>
      <c r="Q190" s="3">
        <f t="shared" si="60"/>
        <v>9.1381074168797944</v>
      </c>
      <c r="R190" s="3">
        <f t="shared" si="61"/>
        <v>0.95907928388746799</v>
      </c>
      <c r="S190" s="3">
        <f t="shared" si="62"/>
        <v>0.1918158567774936</v>
      </c>
      <c r="T190" s="3">
        <f t="shared" si="63"/>
        <v>1.7928388746803068</v>
      </c>
      <c r="U190" s="3">
        <f t="shared" si="64"/>
        <v>3.1023017902813299</v>
      </c>
      <c r="V190" s="3">
        <f t="shared" si="65"/>
        <v>8.5166240409207159</v>
      </c>
      <c r="W190" s="3">
        <f t="shared" si="66"/>
        <v>10.242966751918157</v>
      </c>
      <c r="X190" s="3">
        <f t="shared" si="67"/>
        <v>21.10997442455243</v>
      </c>
      <c r="Y190" s="3">
        <f t="shared" si="68"/>
        <v>90.790281329923275</v>
      </c>
      <c r="Z190" s="3">
        <f t="shared" si="69"/>
        <v>35.808184143222505</v>
      </c>
      <c r="AA190" s="3">
        <f t="shared" si="70"/>
        <v>4.0818414322250636</v>
      </c>
      <c r="AB190" s="3">
        <f t="shared" si="71"/>
        <v>406.64194373401534</v>
      </c>
      <c r="AC190" s="3">
        <f t="shared" si="72"/>
        <v>10.828644501278772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topLeftCell="A5" workbookViewId="0">
      <selection activeCell="H67" sqref="H67"/>
    </sheetView>
  </sheetViews>
  <sheetFormatPr defaultColWidth="8.85546875" defaultRowHeight="15" x14ac:dyDescent="0.25"/>
  <cols>
    <col min="1" max="1" width="81.7109375" customWidth="1"/>
    <col min="3" max="3" width="81.7109375" customWidth="1"/>
  </cols>
  <sheetData>
    <row r="1" spans="1:3" ht="216" customHeight="1" x14ac:dyDescent="0.25"/>
    <row r="4" spans="1:3" x14ac:dyDescent="0.25">
      <c r="A4" s="2" t="s">
        <v>427</v>
      </c>
      <c r="C4" s="2" t="s">
        <v>427</v>
      </c>
    </row>
    <row r="5" spans="1:3" x14ac:dyDescent="0.25">
      <c r="A5" s="2" t="s">
        <v>428</v>
      </c>
      <c r="C5" s="2" t="s">
        <v>429</v>
      </c>
    </row>
    <row r="6" spans="1:3" x14ac:dyDescent="0.25">
      <c r="A6" s="2" t="s">
        <v>430</v>
      </c>
      <c r="C6" s="2" t="s">
        <v>431</v>
      </c>
    </row>
    <row r="8" spans="1:3" ht="216" customHeight="1" x14ac:dyDescent="0.25"/>
    <row r="11" spans="1:3" x14ac:dyDescent="0.25">
      <c r="A11" s="2" t="s">
        <v>427</v>
      </c>
      <c r="C11" s="2" t="s">
        <v>427</v>
      </c>
    </row>
    <row r="12" spans="1:3" x14ac:dyDescent="0.25">
      <c r="A12" s="2" t="s">
        <v>432</v>
      </c>
      <c r="C12" s="2" t="s">
        <v>433</v>
      </c>
    </row>
    <row r="13" spans="1:3" x14ac:dyDescent="0.25">
      <c r="A13" s="2" t="s">
        <v>434</v>
      </c>
      <c r="C13" s="2" t="s">
        <v>435</v>
      </c>
    </row>
    <row r="15" spans="1:3" ht="216" customHeight="1" x14ac:dyDescent="0.25"/>
    <row r="18" spans="1:3" x14ac:dyDescent="0.25">
      <c r="A18" s="2" t="s">
        <v>427</v>
      </c>
      <c r="C18" s="2" t="s">
        <v>427</v>
      </c>
    </row>
    <row r="19" spans="1:3" x14ac:dyDescent="0.25">
      <c r="A19" s="2" t="s">
        <v>436</v>
      </c>
      <c r="C19" s="2" t="s">
        <v>437</v>
      </c>
    </row>
    <row r="20" spans="1:3" x14ac:dyDescent="0.25">
      <c r="A20" s="2" t="s">
        <v>438</v>
      </c>
      <c r="C20" s="2" t="s">
        <v>439</v>
      </c>
    </row>
    <row r="22" spans="1:3" ht="216" customHeight="1" x14ac:dyDescent="0.25"/>
    <row r="25" spans="1:3" x14ac:dyDescent="0.25">
      <c r="A25" s="2" t="s">
        <v>427</v>
      </c>
      <c r="C25" s="2" t="s">
        <v>427</v>
      </c>
    </row>
    <row r="26" spans="1:3" ht="30" x14ac:dyDescent="0.25">
      <c r="A26" s="2" t="s">
        <v>440</v>
      </c>
      <c r="C26" s="2" t="s">
        <v>441</v>
      </c>
    </row>
    <row r="27" spans="1:3" x14ac:dyDescent="0.25">
      <c r="A27" s="2" t="s">
        <v>442</v>
      </c>
      <c r="C27" s="2" t="s">
        <v>443</v>
      </c>
    </row>
    <row r="29" spans="1:3" ht="216" customHeight="1" x14ac:dyDescent="0.25"/>
    <row r="32" spans="1:3" x14ac:dyDescent="0.25">
      <c r="A32" s="2" t="s">
        <v>427</v>
      </c>
      <c r="C32" s="2" t="s">
        <v>427</v>
      </c>
    </row>
    <row r="33" spans="1:3" x14ac:dyDescent="0.25">
      <c r="A33" s="2" t="s">
        <v>444</v>
      </c>
      <c r="C33" s="2" t="s">
        <v>445</v>
      </c>
    </row>
    <row r="34" spans="1:3" x14ac:dyDescent="0.25">
      <c r="A34" s="2" t="s">
        <v>446</v>
      </c>
      <c r="C34" s="2" t="s">
        <v>447</v>
      </c>
    </row>
    <row r="36" spans="1:3" ht="216" customHeight="1" x14ac:dyDescent="0.25"/>
    <row r="39" spans="1:3" x14ac:dyDescent="0.25">
      <c r="A39" s="2" t="s">
        <v>427</v>
      </c>
      <c r="C39" s="2" t="s">
        <v>427</v>
      </c>
    </row>
    <row r="40" spans="1:3" x14ac:dyDescent="0.25">
      <c r="A40" s="2" t="s">
        <v>448</v>
      </c>
      <c r="C40" s="2" t="s">
        <v>449</v>
      </c>
    </row>
    <row r="41" spans="1:3" x14ac:dyDescent="0.25">
      <c r="A41" s="2" t="s">
        <v>450</v>
      </c>
      <c r="C41" s="2" t="s">
        <v>451</v>
      </c>
    </row>
    <row r="43" spans="1:3" ht="216" customHeight="1" x14ac:dyDescent="0.25"/>
    <row r="46" spans="1:3" x14ac:dyDescent="0.25">
      <c r="A46" s="2" t="s">
        <v>427</v>
      </c>
      <c r="C46" s="2" t="s">
        <v>427</v>
      </c>
    </row>
    <row r="47" spans="1:3" x14ac:dyDescent="0.25">
      <c r="A47" s="2" t="s">
        <v>452</v>
      </c>
      <c r="C47" s="2" t="s">
        <v>453</v>
      </c>
    </row>
    <row r="48" spans="1:3" x14ac:dyDescent="0.25">
      <c r="A48" s="2" t="s">
        <v>454</v>
      </c>
      <c r="C48" s="2" t="s">
        <v>455</v>
      </c>
    </row>
    <row r="50" spans="1:3" ht="216" customHeight="1" x14ac:dyDescent="0.25"/>
    <row r="53" spans="1:3" x14ac:dyDescent="0.25">
      <c r="A53" s="2" t="s">
        <v>427</v>
      </c>
      <c r="C53" s="2" t="s">
        <v>427</v>
      </c>
    </row>
    <row r="54" spans="1:3" x14ac:dyDescent="0.25">
      <c r="A54" s="2" t="s">
        <v>456</v>
      </c>
      <c r="C54" s="2" t="s">
        <v>457</v>
      </c>
    </row>
    <row r="55" spans="1:3" x14ac:dyDescent="0.25">
      <c r="A55" s="2" t="s">
        <v>458</v>
      </c>
      <c r="C55" s="2" t="s">
        <v>459</v>
      </c>
    </row>
    <row r="57" spans="1:3" ht="216" customHeight="1" x14ac:dyDescent="0.25"/>
    <row r="60" spans="1:3" x14ac:dyDescent="0.25">
      <c r="A60" s="2" t="s">
        <v>427</v>
      </c>
      <c r="C60" s="2" t="s">
        <v>427</v>
      </c>
    </row>
    <row r="61" spans="1:3" x14ac:dyDescent="0.25">
      <c r="A61" s="2" t="s">
        <v>460</v>
      </c>
      <c r="C61" s="2" t="s">
        <v>461</v>
      </c>
    </row>
    <row r="62" spans="1:3" x14ac:dyDescent="0.25">
      <c r="A62" s="2" t="s">
        <v>462</v>
      </c>
      <c r="C62" s="2" t="s">
        <v>463</v>
      </c>
    </row>
    <row r="64" spans="1:3" ht="216" customHeight="1" x14ac:dyDescent="0.25"/>
    <row r="67" spans="1:9" x14ac:dyDescent="0.25">
      <c r="A67" s="2" t="s">
        <v>427</v>
      </c>
      <c r="C67" s="2" t="s">
        <v>427</v>
      </c>
      <c r="H67">
        <v>22.06</v>
      </c>
      <c r="I67">
        <f xml:space="preserve"> -12.1123 + (14288.5 + 12.1123) / ((1 + (H67 / 1602.32)^-1.30825))^1.26082</f>
        <v>6.2275146345776022E-3</v>
      </c>
    </row>
    <row r="68" spans="1:9" x14ac:dyDescent="0.25">
      <c r="A68" s="2" t="s">
        <v>464</v>
      </c>
      <c r="C68" s="2" t="s">
        <v>465</v>
      </c>
    </row>
    <row r="69" spans="1:9" x14ac:dyDescent="0.25">
      <c r="A69" s="2" t="s">
        <v>466</v>
      </c>
      <c r="C69" s="2" t="s">
        <v>467</v>
      </c>
    </row>
    <row r="71" spans="1:9" ht="216" customHeight="1" x14ac:dyDescent="0.25"/>
    <row r="74" spans="1:9" x14ac:dyDescent="0.25">
      <c r="A74" s="2" t="s">
        <v>427</v>
      </c>
      <c r="C74" s="2" t="s">
        <v>427</v>
      </c>
    </row>
    <row r="75" spans="1:9" x14ac:dyDescent="0.25">
      <c r="A75" s="2" t="s">
        <v>468</v>
      </c>
      <c r="C75" s="2" t="s">
        <v>469</v>
      </c>
    </row>
    <row r="76" spans="1:9" x14ac:dyDescent="0.25">
      <c r="A76" s="2" t="s">
        <v>470</v>
      </c>
      <c r="C76" s="2" t="s">
        <v>471</v>
      </c>
    </row>
    <row r="78" spans="1:9" ht="216" customHeight="1" x14ac:dyDescent="0.25"/>
    <row r="81" spans="1:1" x14ac:dyDescent="0.25">
      <c r="A81" s="2" t="s">
        <v>427</v>
      </c>
    </row>
    <row r="82" spans="1:1" x14ac:dyDescent="0.25">
      <c r="A82" s="2" t="s">
        <v>472</v>
      </c>
    </row>
    <row r="83" spans="1:1" x14ac:dyDescent="0.25">
      <c r="A83" s="2" t="s">
        <v>473</v>
      </c>
    </row>
  </sheetData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51CC-CD64-432F-99E4-E00E6A808915}">
  <dimension ref="A1:AA75"/>
  <sheetViews>
    <sheetView workbookViewId="0">
      <selection activeCell="E1" sqref="E1"/>
    </sheetView>
  </sheetViews>
  <sheetFormatPr defaultRowHeight="15" x14ac:dyDescent="0.25"/>
  <sheetData>
    <row r="1" spans="1:27" x14ac:dyDescent="0.25">
      <c r="A1" t="s">
        <v>475</v>
      </c>
      <c r="B1" t="s">
        <v>476</v>
      </c>
      <c r="C1" t="s">
        <v>425</v>
      </c>
      <c r="D1" t="s">
        <v>477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</row>
    <row r="2" spans="1:27" x14ac:dyDescent="0.25">
      <c r="A2">
        <v>3.0700000000000002E-2</v>
      </c>
      <c r="B2">
        <v>3.0700000000000003</v>
      </c>
      <c r="C2">
        <v>0</v>
      </c>
      <c r="D2">
        <v>1</v>
      </c>
      <c r="E2">
        <v>190.38762214983711</v>
      </c>
      <c r="F2">
        <v>0</v>
      </c>
      <c r="G2">
        <v>2.8403908794788273</v>
      </c>
      <c r="H2">
        <v>2.4332247557003255</v>
      </c>
      <c r="I2">
        <v>0.48534201954397388</v>
      </c>
      <c r="J2">
        <v>9.4853420195439728</v>
      </c>
      <c r="K2">
        <v>13.237785016286644</v>
      </c>
      <c r="L2">
        <v>13.09771986970684</v>
      </c>
      <c r="M2">
        <v>1.4201954397394136</v>
      </c>
      <c r="N2">
        <v>0.34853420195439738</v>
      </c>
      <c r="O2">
        <v>0.95114006514657967</v>
      </c>
      <c r="P2">
        <v>0.74267100977198686</v>
      </c>
      <c r="Q2">
        <v>0.37133550488599343</v>
      </c>
      <c r="R2">
        <v>0.39739413680781754</v>
      </c>
      <c r="S2">
        <v>0.5472312703583061</v>
      </c>
      <c r="T2">
        <v>3.5244299674267099</v>
      </c>
      <c r="U2">
        <v>3.0618892508143323</v>
      </c>
      <c r="V2">
        <v>7.879478827361563</v>
      </c>
      <c r="W2">
        <v>69.035830618892504</v>
      </c>
      <c r="X2">
        <v>26.76872964169381</v>
      </c>
      <c r="Y2">
        <v>3.1302931596091201</v>
      </c>
      <c r="Z2">
        <v>121.80781758957653</v>
      </c>
      <c r="AA2">
        <v>3.7915309446254071</v>
      </c>
    </row>
    <row r="3" spans="1:27" x14ac:dyDescent="0.25">
      <c r="A3">
        <v>2.6700000000000002E-2</v>
      </c>
      <c r="B3">
        <v>2.67</v>
      </c>
      <c r="C3">
        <v>0</v>
      </c>
      <c r="D3">
        <v>2</v>
      </c>
      <c r="E3">
        <v>234.62546816479403</v>
      </c>
      <c r="F3">
        <v>0</v>
      </c>
      <c r="G3">
        <v>2.3970037453183521</v>
      </c>
      <c r="H3">
        <v>2.1685393258426968</v>
      </c>
      <c r="I3">
        <v>0</v>
      </c>
      <c r="J3">
        <v>10.52434456928839</v>
      </c>
      <c r="K3">
        <v>12.397003745318353</v>
      </c>
      <c r="L3">
        <v>11.992509363295882</v>
      </c>
      <c r="M3">
        <v>2.0749063670411987</v>
      </c>
      <c r="N3">
        <v>0.40074906367041202</v>
      </c>
      <c r="O3">
        <v>0.45318352059925093</v>
      </c>
      <c r="P3">
        <v>0.71161048689138573</v>
      </c>
      <c r="Q3">
        <v>0.2808988764044944</v>
      </c>
      <c r="R3">
        <v>0.15355805243445692</v>
      </c>
      <c r="S3">
        <v>0.68164794007490637</v>
      </c>
      <c r="T3">
        <v>2.7752808988764048</v>
      </c>
      <c r="U3">
        <v>3.363295880149813</v>
      </c>
      <c r="V3">
        <v>7.4007490636704132</v>
      </c>
      <c r="W3">
        <v>40.048689138576783</v>
      </c>
      <c r="X3">
        <v>0</v>
      </c>
      <c r="Y3">
        <v>2.0898876404494384</v>
      </c>
      <c r="Z3">
        <v>84.419475655430716</v>
      </c>
      <c r="AA3">
        <v>4.3595505617977528</v>
      </c>
    </row>
    <row r="4" spans="1:27" x14ac:dyDescent="0.25">
      <c r="A4">
        <v>2.9899999999999999E-2</v>
      </c>
      <c r="B4">
        <v>2.9899999999999998</v>
      </c>
      <c r="C4">
        <v>0</v>
      </c>
      <c r="D4">
        <v>3</v>
      </c>
      <c r="E4">
        <v>202.00668896321071</v>
      </c>
      <c r="F4">
        <v>0</v>
      </c>
      <c r="G4">
        <v>3.5886287625418065</v>
      </c>
      <c r="H4">
        <v>3.8428093645484953</v>
      </c>
      <c r="I4">
        <v>0.33110367892976589</v>
      </c>
      <c r="J4">
        <v>23.284280936454852</v>
      </c>
      <c r="K4">
        <v>15.267558528428093</v>
      </c>
      <c r="L4">
        <v>19.906354515050168</v>
      </c>
      <c r="M4">
        <v>2.2909698996655519</v>
      </c>
      <c r="N4">
        <v>0.46153846153846156</v>
      </c>
      <c r="O4">
        <v>1.8160535117056857</v>
      </c>
      <c r="P4">
        <v>0.93979933110367897</v>
      </c>
      <c r="Q4">
        <v>0.27424749163879597</v>
      </c>
      <c r="R4">
        <v>0.7993311036789299</v>
      </c>
      <c r="S4">
        <v>0.87959866220735794</v>
      </c>
      <c r="T4">
        <v>4.3812709030100336</v>
      </c>
      <c r="U4">
        <v>4.5250836120401337</v>
      </c>
      <c r="V4">
        <v>8.3344481605351177</v>
      </c>
      <c r="W4">
        <v>51.508361204013376</v>
      </c>
      <c r="X4">
        <v>14.752508361204015</v>
      </c>
      <c r="Y4">
        <v>2.8695652173913047</v>
      </c>
      <c r="Z4">
        <v>89.802675585284291</v>
      </c>
      <c r="AA4">
        <v>6.1538461538461542</v>
      </c>
    </row>
    <row r="5" spans="1:27" x14ac:dyDescent="0.25">
      <c r="A5">
        <v>2.9399999999999999E-2</v>
      </c>
      <c r="B5">
        <v>2.94</v>
      </c>
      <c r="C5">
        <v>0</v>
      </c>
      <c r="D5">
        <v>4</v>
      </c>
      <c r="E5">
        <v>159.8299319727891</v>
      </c>
      <c r="F5">
        <v>0</v>
      </c>
      <c r="G5">
        <v>2.9659863945578233</v>
      </c>
      <c r="H5">
        <v>3.129251700680272</v>
      </c>
      <c r="I5">
        <v>0.67006802721088432</v>
      </c>
      <c r="J5">
        <v>6.9183673469387754</v>
      </c>
      <c r="K5">
        <v>16.166666666666668</v>
      </c>
      <c r="L5">
        <v>12.295918367346939</v>
      </c>
      <c r="M5">
        <v>2.1530612244897962</v>
      </c>
      <c r="N5">
        <v>0.36394557823129253</v>
      </c>
      <c r="O5">
        <v>1.1496598639455782</v>
      </c>
      <c r="P5">
        <v>0.73129251700680276</v>
      </c>
      <c r="Q5">
        <v>0.30612244897959184</v>
      </c>
      <c r="R5">
        <v>0.41496598639455784</v>
      </c>
      <c r="S5">
        <v>0.65986394557823125</v>
      </c>
      <c r="T5">
        <v>3.214285714285714</v>
      </c>
      <c r="U5">
        <v>4.8843537414965983</v>
      </c>
      <c r="V5">
        <v>24.370748299319729</v>
      </c>
      <c r="W5">
        <v>63.363945578231288</v>
      </c>
      <c r="X5">
        <v>11.755102040816327</v>
      </c>
      <c r="Y5">
        <v>2.1462585034013606</v>
      </c>
      <c r="Z5">
        <v>55.707482993197281</v>
      </c>
      <c r="AA5">
        <v>4.3367346938775508</v>
      </c>
    </row>
    <row r="6" spans="1:27" x14ac:dyDescent="0.25">
      <c r="A6">
        <v>4.8399999999999999E-2</v>
      </c>
      <c r="B6">
        <v>4.84</v>
      </c>
      <c r="C6">
        <v>0</v>
      </c>
      <c r="D6">
        <v>5</v>
      </c>
      <c r="E6">
        <v>205.93801652892563</v>
      </c>
      <c r="F6">
        <v>0</v>
      </c>
      <c r="G6">
        <v>2.9380165289256199</v>
      </c>
      <c r="H6">
        <v>2.3471074380165287</v>
      </c>
      <c r="I6">
        <v>0.40702479338842978</v>
      </c>
      <c r="J6">
        <v>12.380165289256199</v>
      </c>
      <c r="K6">
        <v>9.6900826446280988</v>
      </c>
      <c r="L6">
        <v>9.1280991735537196</v>
      </c>
      <c r="M6">
        <v>1.3078512396694215</v>
      </c>
      <c r="N6">
        <v>0.25206611570247933</v>
      </c>
      <c r="O6">
        <v>1.3946280991735538</v>
      </c>
      <c r="P6">
        <v>0.6074380165289256</v>
      </c>
      <c r="Q6">
        <v>0.21900826446280994</v>
      </c>
      <c r="R6">
        <v>0.493801652892562</v>
      </c>
      <c r="S6">
        <v>0.63429752066115697</v>
      </c>
      <c r="T6">
        <v>2.8966942148760331</v>
      </c>
      <c r="U6">
        <v>2.7665289256198351</v>
      </c>
      <c r="V6">
        <v>4.7520661157024797</v>
      </c>
      <c r="W6">
        <v>65.621900826446279</v>
      </c>
      <c r="X6">
        <v>19.204545454545457</v>
      </c>
      <c r="Y6">
        <v>3.1280991735537191</v>
      </c>
      <c r="Z6">
        <v>108.45661157024793</v>
      </c>
      <c r="AA6">
        <v>5.0020661157024797</v>
      </c>
    </row>
    <row r="7" spans="1:27" x14ac:dyDescent="0.25">
      <c r="A7">
        <v>0.04</v>
      </c>
      <c r="B7">
        <v>4</v>
      </c>
      <c r="C7">
        <v>0</v>
      </c>
      <c r="D7">
        <v>6</v>
      </c>
      <c r="E7">
        <v>136.97499999999999</v>
      </c>
      <c r="F7">
        <v>0</v>
      </c>
      <c r="G7">
        <v>0.86</v>
      </c>
      <c r="H7">
        <v>1.625</v>
      </c>
      <c r="I7">
        <v>0</v>
      </c>
      <c r="J7">
        <v>8.8000000000000007</v>
      </c>
      <c r="K7">
        <v>9.5325000000000006</v>
      </c>
      <c r="L7">
        <v>5.8550000000000004</v>
      </c>
      <c r="M7">
        <v>1.2424999999999999</v>
      </c>
      <c r="N7">
        <v>0.19</v>
      </c>
      <c r="O7">
        <v>0</v>
      </c>
      <c r="P7">
        <v>0.53749999999999998</v>
      </c>
      <c r="Q7">
        <v>0.11</v>
      </c>
      <c r="R7">
        <v>0.10249999999999999</v>
      </c>
      <c r="S7">
        <v>0.62</v>
      </c>
      <c r="T7">
        <v>2.08</v>
      </c>
      <c r="U7">
        <v>3.16</v>
      </c>
      <c r="V7">
        <v>7.2275</v>
      </c>
      <c r="W7">
        <v>44.615000000000002</v>
      </c>
      <c r="X7">
        <v>6.5274999999999999</v>
      </c>
      <c r="Y7">
        <v>2.1124999999999998</v>
      </c>
      <c r="Z7">
        <v>84.54</v>
      </c>
      <c r="AA7">
        <v>3.7450000000000001</v>
      </c>
    </row>
    <row r="8" spans="1:27" x14ac:dyDescent="0.25">
      <c r="A8">
        <v>2.9100000000000001E-2</v>
      </c>
      <c r="B8">
        <v>2.91</v>
      </c>
      <c r="C8">
        <v>0</v>
      </c>
      <c r="D8">
        <v>7</v>
      </c>
      <c r="E8">
        <v>205.25773195876286</v>
      </c>
      <c r="F8">
        <v>0</v>
      </c>
      <c r="G8">
        <v>2.1993127147766325</v>
      </c>
      <c r="H8">
        <v>2.0687285223367695</v>
      </c>
      <c r="I8">
        <v>0</v>
      </c>
      <c r="J8">
        <v>16.88659793814433</v>
      </c>
      <c r="K8">
        <v>9.6460481099656352</v>
      </c>
      <c r="L8">
        <v>11.003436426116838</v>
      </c>
      <c r="M8">
        <v>1.8144329896907216</v>
      </c>
      <c r="N8">
        <v>0.36769759450171824</v>
      </c>
      <c r="O8">
        <v>0.32646048109965631</v>
      </c>
      <c r="P8">
        <v>1.0103092783505154</v>
      </c>
      <c r="Q8">
        <v>7.560137457044673E-2</v>
      </c>
      <c r="R8">
        <v>0.41924398625429549</v>
      </c>
      <c r="S8">
        <v>0.40206185567010305</v>
      </c>
      <c r="T8">
        <v>2.1546391752577319</v>
      </c>
      <c r="U8">
        <v>3.7491408934707904</v>
      </c>
      <c r="V8">
        <v>7.195876288659794</v>
      </c>
      <c r="W8">
        <v>80.728522336769757</v>
      </c>
      <c r="X8">
        <v>5.2474226804123711</v>
      </c>
      <c r="Y8">
        <v>4.0790378006872849</v>
      </c>
      <c r="Z8">
        <v>154.05841924398624</v>
      </c>
      <c r="AA8">
        <v>5.1477663230240545</v>
      </c>
    </row>
    <row r="9" spans="1:27" x14ac:dyDescent="0.25">
      <c r="A9">
        <v>3.15E-2</v>
      </c>
      <c r="B9">
        <v>3.15</v>
      </c>
      <c r="C9">
        <v>0</v>
      </c>
      <c r="D9">
        <v>8</v>
      </c>
      <c r="E9">
        <v>202.72063492063495</v>
      </c>
      <c r="F9">
        <v>0</v>
      </c>
      <c r="G9">
        <v>1.0920634920634922</v>
      </c>
      <c r="H9">
        <v>3.5650793650793653</v>
      </c>
      <c r="I9">
        <v>0.6253968253968254</v>
      </c>
      <c r="J9">
        <v>11.015873015873018</v>
      </c>
      <c r="K9">
        <v>11.307936507936507</v>
      </c>
      <c r="L9">
        <v>15.269841269841271</v>
      </c>
      <c r="M9">
        <v>2.0603174603174605</v>
      </c>
      <c r="N9">
        <v>0.38730158730158731</v>
      </c>
      <c r="O9">
        <v>2.8317460317460319</v>
      </c>
      <c r="P9">
        <v>0.93333333333333335</v>
      </c>
      <c r="Q9">
        <v>0.15238095238095237</v>
      </c>
      <c r="R9">
        <v>0.63492063492063489</v>
      </c>
      <c r="S9">
        <v>0.50476190476190486</v>
      </c>
      <c r="T9">
        <v>3.7238095238095239</v>
      </c>
      <c r="U9">
        <v>4.7968253968253967</v>
      </c>
      <c r="V9">
        <v>4.3015873015873023</v>
      </c>
      <c r="W9">
        <v>46.733333333333334</v>
      </c>
      <c r="X9">
        <v>0</v>
      </c>
      <c r="Y9">
        <v>2.0412698412698411</v>
      </c>
      <c r="Z9">
        <v>100.13333333333334</v>
      </c>
      <c r="AA9">
        <v>4.7555555555555555</v>
      </c>
    </row>
    <row r="10" spans="1:27" x14ac:dyDescent="0.25">
      <c r="A10">
        <v>2.98E-2</v>
      </c>
      <c r="B10">
        <v>2.98</v>
      </c>
      <c r="C10">
        <v>0</v>
      </c>
      <c r="D10">
        <v>9</v>
      </c>
      <c r="E10">
        <v>264.82550335570465</v>
      </c>
      <c r="F10">
        <v>0</v>
      </c>
      <c r="G10">
        <v>1.6946308724832215</v>
      </c>
      <c r="H10">
        <v>3.5973154362416109</v>
      </c>
      <c r="I10">
        <v>0</v>
      </c>
      <c r="J10">
        <v>5.7651006711409396</v>
      </c>
      <c r="K10">
        <v>14.057046979865772</v>
      </c>
      <c r="L10">
        <v>13.493288590604028</v>
      </c>
      <c r="M10">
        <v>2.2281879194630871</v>
      </c>
      <c r="N10">
        <v>0.3087248322147651</v>
      </c>
      <c r="O10">
        <v>2.0805369127516777</v>
      </c>
      <c r="P10">
        <v>0.72147651006711411</v>
      </c>
      <c r="Q10">
        <v>5.0335570469798654E-2</v>
      </c>
      <c r="R10">
        <v>0.93288590604026844</v>
      </c>
      <c r="S10">
        <v>0.59395973154362414</v>
      </c>
      <c r="T10">
        <v>3.4026845637583896</v>
      </c>
      <c r="U10">
        <v>4.3087248322147653</v>
      </c>
      <c r="V10">
        <v>6.0838926174496644</v>
      </c>
      <c r="W10">
        <v>70.627516778523486</v>
      </c>
      <c r="X10">
        <v>5.124161073825503</v>
      </c>
      <c r="Y10">
        <v>2.5906040268456376</v>
      </c>
      <c r="Z10">
        <v>80.291946308724832</v>
      </c>
      <c r="AA10">
        <v>5.026845637583893</v>
      </c>
    </row>
    <row r="11" spans="1:27" x14ac:dyDescent="0.25">
      <c r="A11">
        <v>3.9199999999999999E-2</v>
      </c>
      <c r="B11">
        <v>3.92</v>
      </c>
      <c r="C11">
        <v>0</v>
      </c>
      <c r="D11">
        <v>10</v>
      </c>
      <c r="E11">
        <v>206.98979591836735</v>
      </c>
      <c r="F11">
        <v>0</v>
      </c>
      <c r="G11">
        <v>3.1989795918367347</v>
      </c>
      <c r="H11">
        <v>4.8265306122448983</v>
      </c>
      <c r="I11">
        <v>0.86734693877551017</v>
      </c>
      <c r="J11">
        <v>10.767857142857144</v>
      </c>
      <c r="K11">
        <v>18.339285714285715</v>
      </c>
      <c r="L11">
        <v>17.997448979591837</v>
      </c>
      <c r="M11">
        <v>1.9107142857142858</v>
      </c>
      <c r="N11">
        <v>0.41071428571428575</v>
      </c>
      <c r="O11">
        <v>5.0153061224489797</v>
      </c>
      <c r="P11">
        <v>0.68367346938775519</v>
      </c>
      <c r="Q11">
        <v>0.27040816326530615</v>
      </c>
      <c r="R11">
        <v>1.2040816326530612</v>
      </c>
      <c r="S11">
        <v>1.3163265306122449</v>
      </c>
      <c r="T11">
        <v>7.0841836734693882</v>
      </c>
      <c r="U11">
        <v>4.8520408163265305</v>
      </c>
      <c r="V11">
        <v>5.7933673469387754</v>
      </c>
      <c r="W11">
        <v>54.441326530612244</v>
      </c>
      <c r="X11">
        <v>16.010204081632654</v>
      </c>
      <c r="Y11">
        <v>2.4948979591836733</v>
      </c>
      <c r="Z11">
        <v>75.625</v>
      </c>
      <c r="AA11">
        <v>7.3852040816326534</v>
      </c>
    </row>
    <row r="12" spans="1:27" x14ac:dyDescent="0.25">
      <c r="A12">
        <v>2.8400000000000002E-2</v>
      </c>
      <c r="B12">
        <v>2.8400000000000003</v>
      </c>
      <c r="C12">
        <v>0</v>
      </c>
      <c r="D12">
        <v>11</v>
      </c>
      <c r="E12">
        <v>273.84507042253517</v>
      </c>
      <c r="F12">
        <v>0</v>
      </c>
      <c r="G12">
        <v>3.778169014084507</v>
      </c>
      <c r="H12">
        <v>5.334507042253521</v>
      </c>
      <c r="I12">
        <v>2.3239436619718306</v>
      </c>
      <c r="J12">
        <v>9.5352112676056322</v>
      </c>
      <c r="K12">
        <v>17.616197183098588</v>
      </c>
      <c r="L12">
        <v>32.302816901408448</v>
      </c>
      <c r="M12">
        <v>3.0915492957746475</v>
      </c>
      <c r="N12">
        <v>0.64788732394366189</v>
      </c>
      <c r="O12">
        <v>4.253521126760563</v>
      </c>
      <c r="P12">
        <v>1.3204225352112675</v>
      </c>
      <c r="Q12">
        <v>0.34507042253521125</v>
      </c>
      <c r="R12">
        <v>1.7957746478873235</v>
      </c>
      <c r="S12">
        <v>1.242957746478873</v>
      </c>
      <c r="T12">
        <v>6.788732394366197</v>
      </c>
      <c r="U12">
        <v>4.6197183098591541</v>
      </c>
      <c r="V12">
        <v>9.6091549295774641</v>
      </c>
      <c r="W12">
        <v>53.035211267605632</v>
      </c>
      <c r="X12">
        <v>26.781690140845068</v>
      </c>
      <c r="Y12">
        <v>3.158450704225352</v>
      </c>
      <c r="Z12">
        <v>85.577464788732385</v>
      </c>
      <c r="AA12">
        <v>9.3556338028169002</v>
      </c>
    </row>
    <row r="13" spans="1:27" x14ac:dyDescent="0.25">
      <c r="A13">
        <v>2.5399999999999999E-2</v>
      </c>
      <c r="B13">
        <v>2.54</v>
      </c>
      <c r="C13">
        <v>0</v>
      </c>
      <c r="D13">
        <v>12</v>
      </c>
      <c r="E13">
        <v>169.83464566929135</v>
      </c>
      <c r="F13">
        <v>0</v>
      </c>
      <c r="G13">
        <v>2.5196850393700787</v>
      </c>
      <c r="H13">
        <v>2</v>
      </c>
      <c r="I13">
        <v>0</v>
      </c>
      <c r="J13">
        <v>9.4448818897637796</v>
      </c>
      <c r="K13">
        <v>11.051181102362206</v>
      </c>
      <c r="L13">
        <v>12.606299212598426</v>
      </c>
      <c r="M13">
        <v>2.326771653543307</v>
      </c>
      <c r="N13">
        <v>0.36220472440944884</v>
      </c>
      <c r="O13">
        <v>0.86614173228346458</v>
      </c>
      <c r="P13">
        <v>0.84645669291338577</v>
      </c>
      <c r="Q13">
        <v>0.23228346456692911</v>
      </c>
      <c r="R13">
        <v>0.32283464566929132</v>
      </c>
      <c r="S13">
        <v>0.62598425196850394</v>
      </c>
      <c r="T13">
        <v>2.6456692913385824</v>
      </c>
      <c r="U13">
        <v>4.6771653543307092</v>
      </c>
      <c r="V13">
        <v>3.3543307086614171</v>
      </c>
      <c r="W13">
        <v>61.295275590551178</v>
      </c>
      <c r="X13">
        <v>0</v>
      </c>
      <c r="Y13">
        <v>1.9763779527559053</v>
      </c>
      <c r="Z13">
        <v>69.204724409448815</v>
      </c>
      <c r="AA13">
        <v>4.5826771653543306</v>
      </c>
    </row>
    <row r="14" spans="1:27" x14ac:dyDescent="0.25">
      <c r="A14">
        <v>2.0400000000000001E-2</v>
      </c>
      <c r="B14">
        <v>2.04</v>
      </c>
      <c r="C14">
        <v>0</v>
      </c>
      <c r="D14">
        <v>13</v>
      </c>
      <c r="E14">
        <v>207.91176470588235</v>
      </c>
      <c r="F14">
        <v>0</v>
      </c>
      <c r="G14">
        <v>1.6862745098039216</v>
      </c>
      <c r="H14">
        <v>2.0392156862745097</v>
      </c>
      <c r="I14">
        <v>0</v>
      </c>
      <c r="J14">
        <v>14.274509803921569</v>
      </c>
      <c r="K14">
        <v>10.666666666666668</v>
      </c>
      <c r="L14">
        <v>11.480392156862745</v>
      </c>
      <c r="M14">
        <v>2.5392156862745097</v>
      </c>
      <c r="N14">
        <v>0.37254901960784315</v>
      </c>
      <c r="O14">
        <v>0</v>
      </c>
      <c r="P14">
        <v>0.93137254901960775</v>
      </c>
      <c r="Q14">
        <v>0.44117647058823528</v>
      </c>
      <c r="R14">
        <v>0</v>
      </c>
      <c r="S14">
        <v>0.40196078431372545</v>
      </c>
      <c r="T14">
        <v>2.4068627450980391</v>
      </c>
      <c r="U14">
        <v>5.4852941176470589</v>
      </c>
      <c r="V14">
        <v>7.7303921568627452</v>
      </c>
      <c r="W14">
        <v>44.421568627450981</v>
      </c>
      <c r="X14">
        <v>0</v>
      </c>
      <c r="Y14">
        <v>3.7205882352941173</v>
      </c>
      <c r="Z14">
        <v>133.24019607843138</v>
      </c>
      <c r="AA14">
        <v>4.6372549019607847</v>
      </c>
    </row>
    <row r="15" spans="1:27" x14ac:dyDescent="0.25">
      <c r="A15">
        <v>3.0499999999999999E-2</v>
      </c>
      <c r="B15">
        <v>3.05</v>
      </c>
      <c r="C15">
        <v>0</v>
      </c>
      <c r="D15">
        <v>14</v>
      </c>
      <c r="E15">
        <v>119.53770491803279</v>
      </c>
      <c r="F15">
        <v>0</v>
      </c>
      <c r="G15">
        <v>3.1967213114754101</v>
      </c>
      <c r="H15">
        <v>1.4393442622950821</v>
      </c>
      <c r="I15">
        <v>0</v>
      </c>
      <c r="J15">
        <v>5.806557377049181</v>
      </c>
      <c r="K15">
        <v>10.029508196721313</v>
      </c>
      <c r="L15">
        <v>9.1081967213114758</v>
      </c>
      <c r="M15">
        <v>2.0754098360655737</v>
      </c>
      <c r="N15">
        <v>0.35081967213114756</v>
      </c>
      <c r="O15">
        <v>0.31147540983606559</v>
      </c>
      <c r="P15">
        <v>0.79016393442622956</v>
      </c>
      <c r="Q15">
        <v>9.5081967213114751E-2</v>
      </c>
      <c r="R15">
        <v>0.13442622950819672</v>
      </c>
      <c r="S15">
        <v>0.46229508196721314</v>
      </c>
      <c r="T15">
        <v>1.9081967213114757</v>
      </c>
      <c r="U15">
        <v>3.7606557377049183</v>
      </c>
      <c r="V15">
        <v>4.7344262295081965</v>
      </c>
      <c r="W15">
        <v>33.098360655737707</v>
      </c>
      <c r="X15">
        <v>0</v>
      </c>
      <c r="Y15">
        <v>2.3901639344262295</v>
      </c>
      <c r="Z15">
        <v>62.65245901639345</v>
      </c>
      <c r="AA15">
        <v>4.1803278688524594</v>
      </c>
    </row>
    <row r="16" spans="1:27" x14ac:dyDescent="0.25">
      <c r="A16">
        <v>3.0499999999999999E-2</v>
      </c>
      <c r="B16">
        <v>3.05</v>
      </c>
      <c r="C16">
        <v>0</v>
      </c>
      <c r="D16">
        <v>15</v>
      </c>
      <c r="E16">
        <v>83.327868852459019</v>
      </c>
      <c r="F16">
        <v>0</v>
      </c>
      <c r="G16">
        <v>1.1278688524590164</v>
      </c>
      <c r="H16">
        <v>1.2163934426229508</v>
      </c>
      <c r="I16">
        <v>0</v>
      </c>
      <c r="J16">
        <v>11.708196721311475</v>
      </c>
      <c r="K16">
        <v>11.059016393442622</v>
      </c>
      <c r="L16">
        <v>9.1081967213114758</v>
      </c>
      <c r="M16">
        <v>1.8360655737704918</v>
      </c>
      <c r="N16">
        <v>0.30163934426229511</v>
      </c>
      <c r="O16">
        <v>3.9344262295081971E-2</v>
      </c>
      <c r="P16">
        <v>0.62295081967213117</v>
      </c>
      <c r="Q16">
        <v>4.9180327868852458E-2</v>
      </c>
      <c r="R16">
        <v>0.13442622950819672</v>
      </c>
      <c r="S16">
        <v>0.60327868852459021</v>
      </c>
      <c r="T16">
        <v>1.6098360655737707</v>
      </c>
      <c r="U16">
        <v>2.9901639344262296</v>
      </c>
      <c r="V16">
        <v>5.5081967213114762</v>
      </c>
      <c r="W16">
        <v>47.134426229508193</v>
      </c>
      <c r="X16">
        <v>0</v>
      </c>
      <c r="Y16">
        <v>1.5639344262295081</v>
      </c>
      <c r="Z16">
        <v>47.554098360655736</v>
      </c>
      <c r="AA16">
        <v>3.4557377049180329</v>
      </c>
    </row>
    <row r="17" spans="1:27" x14ac:dyDescent="0.25">
      <c r="A17">
        <v>2.1899999999999999E-2</v>
      </c>
      <c r="B17">
        <v>2.19</v>
      </c>
      <c r="C17">
        <v>3</v>
      </c>
      <c r="D17">
        <v>16</v>
      </c>
      <c r="E17">
        <v>263.66666666666663</v>
      </c>
      <c r="F17">
        <v>0</v>
      </c>
      <c r="G17">
        <v>7.2146118721461194</v>
      </c>
      <c r="H17">
        <v>3.5251141552511416</v>
      </c>
      <c r="I17">
        <v>1.3378995433789955</v>
      </c>
      <c r="J17">
        <v>10.479452054794521</v>
      </c>
      <c r="K17">
        <v>16.264840182648403</v>
      </c>
      <c r="L17">
        <v>16.506849315068493</v>
      </c>
      <c r="M17">
        <v>2.8904109589041096</v>
      </c>
      <c r="N17">
        <v>0.42009132420091327</v>
      </c>
      <c r="O17">
        <v>0.19178082191780821</v>
      </c>
      <c r="P17">
        <v>0.86757990867579904</v>
      </c>
      <c r="Q17">
        <v>0.48401826484018268</v>
      </c>
      <c r="R17">
        <v>1.182648401826484</v>
      </c>
      <c r="S17">
        <v>1.9178082191780823</v>
      </c>
      <c r="T17">
        <v>4.1095890410958908</v>
      </c>
      <c r="U17">
        <v>4.4794520547945211</v>
      </c>
      <c r="V17">
        <v>8.8173515981735164</v>
      </c>
      <c r="W17">
        <v>101.42465753424658</v>
      </c>
      <c r="X17">
        <v>11.922374429223744</v>
      </c>
      <c r="Y17">
        <v>2.1004566210045663</v>
      </c>
      <c r="Z17">
        <v>167.34703196347033</v>
      </c>
      <c r="AA17">
        <v>7.3561643835616435</v>
      </c>
    </row>
    <row r="18" spans="1:27" x14ac:dyDescent="0.25">
      <c r="A18">
        <v>2.18E-2</v>
      </c>
      <c r="B18">
        <v>2.1800000000000002</v>
      </c>
      <c r="C18">
        <v>3</v>
      </c>
      <c r="D18">
        <v>17</v>
      </c>
      <c r="E18">
        <v>67.376146788990823</v>
      </c>
      <c r="F18">
        <v>1.1605504587155961</v>
      </c>
      <c r="G18">
        <v>0</v>
      </c>
      <c r="H18">
        <v>0</v>
      </c>
      <c r="I18">
        <v>0</v>
      </c>
      <c r="J18">
        <v>9.3302752293577971</v>
      </c>
      <c r="K18">
        <v>0</v>
      </c>
      <c r="L18">
        <v>0</v>
      </c>
      <c r="M18">
        <v>0.2293577981651376</v>
      </c>
      <c r="N18">
        <v>0.55963302752293576</v>
      </c>
      <c r="O18">
        <v>0</v>
      </c>
      <c r="P18">
        <v>0.63761467889908252</v>
      </c>
      <c r="Q18">
        <v>0</v>
      </c>
      <c r="R18">
        <v>0.18807339449541283</v>
      </c>
      <c r="S18">
        <v>3.1146788990825685</v>
      </c>
      <c r="T18">
        <v>0.49082568807339449</v>
      </c>
      <c r="U18">
        <v>1.1880733944954127</v>
      </c>
      <c r="V18">
        <v>8.7889908256880727</v>
      </c>
      <c r="W18">
        <v>193.0366972477064</v>
      </c>
      <c r="X18">
        <v>0</v>
      </c>
      <c r="Y18">
        <v>1.1513761467889907</v>
      </c>
      <c r="Z18">
        <v>40.495412844036693</v>
      </c>
      <c r="AA18">
        <v>0.82110091743119262</v>
      </c>
    </row>
    <row r="19" spans="1:27" x14ac:dyDescent="0.25">
      <c r="A19">
        <v>3.0499999999999999E-2</v>
      </c>
      <c r="B19">
        <v>3.05</v>
      </c>
      <c r="C19">
        <v>3</v>
      </c>
      <c r="D19">
        <v>18</v>
      </c>
      <c r="E19">
        <v>284.81967213114757</v>
      </c>
      <c r="F19">
        <v>2.750819672131148</v>
      </c>
      <c r="G19">
        <v>4.111475409836066</v>
      </c>
      <c r="H19">
        <v>4.7934426229508196</v>
      </c>
      <c r="I19">
        <v>4.7442622950819677</v>
      </c>
      <c r="J19">
        <v>88.101639344262296</v>
      </c>
      <c r="K19">
        <v>21.73114754098361</v>
      </c>
      <c r="L19">
        <v>17.036065573770493</v>
      </c>
      <c r="M19">
        <v>2.59672131147541</v>
      </c>
      <c r="N19">
        <v>0.90163934426229508</v>
      </c>
      <c r="O19">
        <v>1.2229508196721313</v>
      </c>
      <c r="P19">
        <v>0.878688524590164</v>
      </c>
      <c r="Q19">
        <v>0.63606557377049178</v>
      </c>
      <c r="R19">
        <v>2.4229508196721312</v>
      </c>
      <c r="S19">
        <v>5.3475409836065575</v>
      </c>
      <c r="T19">
        <v>4.1475409836065573</v>
      </c>
      <c r="U19">
        <v>5.2032786885245903</v>
      </c>
      <c r="V19">
        <v>38.836065573770497</v>
      </c>
      <c r="W19">
        <v>676.24918032786888</v>
      </c>
      <c r="X19">
        <v>120.54426229508198</v>
      </c>
      <c r="Y19">
        <v>33.875409836065572</v>
      </c>
      <c r="Z19">
        <v>423.38032786885248</v>
      </c>
      <c r="AA19">
        <v>9.1016393442622956</v>
      </c>
    </row>
    <row r="20" spans="1:27" x14ac:dyDescent="0.25">
      <c r="A20">
        <v>2.0199999999999999E-2</v>
      </c>
      <c r="B20">
        <v>2.02</v>
      </c>
      <c r="C20">
        <v>3</v>
      </c>
      <c r="D20">
        <v>19</v>
      </c>
      <c r="E20">
        <v>376.2772277227723</v>
      </c>
      <c r="F20">
        <v>2.5445544554455446</v>
      </c>
      <c r="G20">
        <v>7.0396039603960396</v>
      </c>
      <c r="H20">
        <v>5.4306930693069306</v>
      </c>
      <c r="I20">
        <v>3.2673267326732671</v>
      </c>
      <c r="J20">
        <v>43.980198019801982</v>
      </c>
      <c r="K20">
        <v>30.029702970297027</v>
      </c>
      <c r="L20">
        <v>23.811881188118811</v>
      </c>
      <c r="M20">
        <v>4.6138613861386135</v>
      </c>
      <c r="N20">
        <v>0.75742574257425743</v>
      </c>
      <c r="O20">
        <v>2.4653465346534653</v>
      </c>
      <c r="P20">
        <v>1.8564356435643565</v>
      </c>
      <c r="Q20">
        <v>0.67821782178217827</v>
      </c>
      <c r="R20">
        <v>1.5693069306930694</v>
      </c>
      <c r="S20">
        <v>4.5792079207920793</v>
      </c>
      <c r="T20">
        <v>6.7128712871287126</v>
      </c>
      <c r="U20">
        <v>7.7871287128712874</v>
      </c>
      <c r="V20">
        <v>23.06930693069307</v>
      </c>
      <c r="W20">
        <v>382.65346534653469</v>
      </c>
      <c r="X20">
        <v>76.054455445544548</v>
      </c>
      <c r="Y20">
        <v>12.742574257425742</v>
      </c>
      <c r="Z20">
        <v>436.0792079207921</v>
      </c>
      <c r="AA20">
        <v>15.51980198019802</v>
      </c>
    </row>
    <row r="21" spans="1:27" x14ac:dyDescent="0.25">
      <c r="A21">
        <v>3.39E-2</v>
      </c>
      <c r="B21">
        <v>3.39</v>
      </c>
      <c r="C21">
        <v>3</v>
      </c>
      <c r="D21">
        <v>20</v>
      </c>
      <c r="E21">
        <v>352.75221238938047</v>
      </c>
      <c r="F21">
        <v>0</v>
      </c>
      <c r="G21">
        <v>4.6607669616519178</v>
      </c>
      <c r="H21">
        <v>5.1799410029498523</v>
      </c>
      <c r="I21">
        <v>2.9911504424778763</v>
      </c>
      <c r="J21">
        <v>18.823008849557521</v>
      </c>
      <c r="K21">
        <v>23.598820058997049</v>
      </c>
      <c r="L21">
        <v>20.274336283185843</v>
      </c>
      <c r="M21">
        <v>2.1150442477876106</v>
      </c>
      <c r="N21">
        <v>0.54277286135693215</v>
      </c>
      <c r="O21">
        <v>4.2359882005899703</v>
      </c>
      <c r="P21">
        <v>1.0265486725663717</v>
      </c>
      <c r="Q21">
        <v>0.40412979351032452</v>
      </c>
      <c r="R21">
        <v>1.1651917404129795</v>
      </c>
      <c r="S21">
        <v>3.0825958702064895</v>
      </c>
      <c r="T21">
        <v>7.9882005899705009</v>
      </c>
      <c r="U21">
        <v>5.4896755162241888</v>
      </c>
      <c r="V21">
        <v>24.174041297935105</v>
      </c>
      <c r="W21">
        <v>93.324483775811203</v>
      </c>
      <c r="X21">
        <v>34.613569321533923</v>
      </c>
      <c r="Y21">
        <v>2.5929203539823007</v>
      </c>
      <c r="Z21">
        <v>306.23893805309734</v>
      </c>
      <c r="AA21">
        <v>11.401179941002949</v>
      </c>
    </row>
    <row r="22" spans="1:27" x14ac:dyDescent="0.25">
      <c r="A22">
        <v>3.0599999999999999E-2</v>
      </c>
      <c r="B22">
        <v>3.06</v>
      </c>
      <c r="C22">
        <v>3</v>
      </c>
      <c r="D22">
        <v>21</v>
      </c>
      <c r="E22">
        <v>211.58169934640523</v>
      </c>
      <c r="F22">
        <v>0</v>
      </c>
      <c r="G22">
        <v>3.5065359477124183</v>
      </c>
      <c r="H22">
        <v>3.5849673202614381</v>
      </c>
      <c r="I22">
        <v>0</v>
      </c>
      <c r="J22">
        <v>24.957516339869283</v>
      </c>
      <c r="K22">
        <v>14.509803921568627</v>
      </c>
      <c r="L22">
        <v>18.222222222222221</v>
      </c>
      <c r="M22">
        <v>3.0457516339869279</v>
      </c>
      <c r="N22">
        <v>0.4509803921568627</v>
      </c>
      <c r="O22">
        <v>0.79738562091503262</v>
      </c>
      <c r="P22">
        <v>1.0032679738562091</v>
      </c>
      <c r="Q22">
        <v>0.3202614379084967</v>
      </c>
      <c r="R22">
        <v>0.39869281045751631</v>
      </c>
      <c r="S22">
        <v>1.3725490196078431</v>
      </c>
      <c r="T22">
        <v>3.9836601307189539</v>
      </c>
      <c r="U22">
        <v>4.6013071895424833</v>
      </c>
      <c r="V22">
        <v>9.5915032679738559</v>
      </c>
      <c r="W22">
        <v>69.74183006535948</v>
      </c>
      <c r="X22">
        <v>24.078431372549023</v>
      </c>
      <c r="Y22">
        <v>3.8300653594771243</v>
      </c>
      <c r="Z22">
        <v>205.15032679738562</v>
      </c>
      <c r="AA22">
        <v>7.5294117647058822</v>
      </c>
    </row>
    <row r="23" spans="1:27" x14ac:dyDescent="0.25">
      <c r="A23">
        <v>2.9499999999999998E-2</v>
      </c>
      <c r="B23">
        <v>2.9499999999999997</v>
      </c>
      <c r="C23">
        <v>3</v>
      </c>
      <c r="D23">
        <v>22</v>
      </c>
      <c r="E23">
        <v>186.05084745762716</v>
      </c>
      <c r="F23">
        <v>0</v>
      </c>
      <c r="G23">
        <v>2.1694915254237293</v>
      </c>
      <c r="H23">
        <v>2.4915254237288136</v>
      </c>
      <c r="I23">
        <v>0</v>
      </c>
      <c r="J23">
        <v>13.633898305084747</v>
      </c>
      <c r="K23">
        <v>14.623728813559323</v>
      </c>
      <c r="L23">
        <v>9.4169491525423741</v>
      </c>
      <c r="M23">
        <v>2.0372881355932204</v>
      </c>
      <c r="N23">
        <v>0.31186440677966104</v>
      </c>
      <c r="O23">
        <v>0.14237288135593221</v>
      </c>
      <c r="P23">
        <v>0.72881355932203395</v>
      </c>
      <c r="Q23">
        <v>0.12542372881355934</v>
      </c>
      <c r="R23">
        <v>0.54576271186440684</v>
      </c>
      <c r="S23">
        <v>1.2813559322033898</v>
      </c>
      <c r="T23">
        <v>2.6644067796610171</v>
      </c>
      <c r="U23">
        <v>3.7932203389830512</v>
      </c>
      <c r="V23">
        <v>8.2000000000000011</v>
      </c>
      <c r="W23">
        <v>69.335593220338993</v>
      </c>
      <c r="X23">
        <v>18.45084745762712</v>
      </c>
      <c r="Y23">
        <v>2.2983050847457629</v>
      </c>
      <c r="Z23">
        <v>86.430508474576285</v>
      </c>
      <c r="AA23">
        <v>4.6983050847457628</v>
      </c>
    </row>
    <row r="24" spans="1:27" x14ac:dyDescent="0.25">
      <c r="A24">
        <v>2.1100000000000001E-2</v>
      </c>
      <c r="B24">
        <v>2.11</v>
      </c>
      <c r="C24">
        <v>3</v>
      </c>
      <c r="D24">
        <v>23</v>
      </c>
      <c r="E24">
        <v>166.11848341232229</v>
      </c>
      <c r="F24">
        <v>0</v>
      </c>
      <c r="G24">
        <v>4.1327014218009488</v>
      </c>
      <c r="H24">
        <v>4.1232227488151656</v>
      </c>
      <c r="I24">
        <v>1.3886255924170618</v>
      </c>
      <c r="J24">
        <v>34.824644549763036</v>
      </c>
      <c r="K24">
        <v>19.85308056872038</v>
      </c>
      <c r="L24">
        <v>13.165876777251187</v>
      </c>
      <c r="M24">
        <v>3.7014218009478674</v>
      </c>
      <c r="N24">
        <v>0.61611374407582942</v>
      </c>
      <c r="O24">
        <v>0.57345971563981046</v>
      </c>
      <c r="P24">
        <v>1.14218009478673</v>
      </c>
      <c r="Q24">
        <v>0.13744075829383887</v>
      </c>
      <c r="R24">
        <v>1.1327014218009479</v>
      </c>
      <c r="S24">
        <v>2.0663507109004744</v>
      </c>
      <c r="T24">
        <v>3.9431279620853084</v>
      </c>
      <c r="U24">
        <v>5.75829383886256</v>
      </c>
      <c r="V24">
        <v>22.786729857819907</v>
      </c>
      <c r="W24">
        <v>266.61137440758296</v>
      </c>
      <c r="X24">
        <v>32.592417061611371</v>
      </c>
      <c r="Y24">
        <v>8.3696682464454977</v>
      </c>
      <c r="Z24">
        <v>219.96208530805688</v>
      </c>
      <c r="AA24">
        <v>7.0995260663507116</v>
      </c>
    </row>
    <row r="25" spans="1:27" x14ac:dyDescent="0.25">
      <c r="A25">
        <v>2.7699999999999999E-2</v>
      </c>
      <c r="B25">
        <v>2.77</v>
      </c>
      <c r="C25">
        <v>3</v>
      </c>
      <c r="D25">
        <v>24</v>
      </c>
      <c r="E25">
        <v>320.85559566787003</v>
      </c>
      <c r="F25">
        <v>2.5379061371841156</v>
      </c>
      <c r="G25">
        <v>4.5270758122743677</v>
      </c>
      <c r="H25">
        <v>6.046931407942238</v>
      </c>
      <c r="I25">
        <v>1.3971119133574008</v>
      </c>
      <c r="J25">
        <v>39.620938628158846</v>
      </c>
      <c r="K25">
        <v>24.151624548736464</v>
      </c>
      <c r="L25">
        <v>22.826714801444041</v>
      </c>
      <c r="M25">
        <v>3.2851985559566788</v>
      </c>
      <c r="N25">
        <v>0.68953068592057754</v>
      </c>
      <c r="O25">
        <v>2.9855595667870034</v>
      </c>
      <c r="P25">
        <v>1.0613718411552346</v>
      </c>
      <c r="Q25">
        <v>0.49458483754512639</v>
      </c>
      <c r="R25">
        <v>1.3537906137184115</v>
      </c>
      <c r="S25">
        <v>4.7039711191335734</v>
      </c>
      <c r="T25">
        <v>6.9602888086642603</v>
      </c>
      <c r="U25">
        <v>5.231046931407942</v>
      </c>
      <c r="V25">
        <v>23.63176895306859</v>
      </c>
      <c r="W25">
        <v>201.33212996389892</v>
      </c>
      <c r="X25">
        <v>66.920577617328519</v>
      </c>
      <c r="Y25">
        <v>10.610108303249097</v>
      </c>
      <c r="Z25">
        <v>202.41516245487367</v>
      </c>
      <c r="AA25">
        <v>9.5920577617328515</v>
      </c>
    </row>
    <row r="26" spans="1:27" x14ac:dyDescent="0.25">
      <c r="A26">
        <v>3.0099999999999998E-2</v>
      </c>
      <c r="B26">
        <v>3.01</v>
      </c>
      <c r="C26">
        <v>3</v>
      </c>
      <c r="D26">
        <v>25</v>
      </c>
      <c r="E26">
        <v>527.92691029900334</v>
      </c>
      <c r="F26">
        <v>1.7076411960132891</v>
      </c>
      <c r="G26">
        <v>6.6710963455149503</v>
      </c>
      <c r="H26">
        <v>7.614617940199337</v>
      </c>
      <c r="I26">
        <v>4.6644518272425248</v>
      </c>
      <c r="J26">
        <v>27.2890365448505</v>
      </c>
      <c r="K26">
        <v>28.441860465116282</v>
      </c>
      <c r="L26">
        <v>39.980066445182729</v>
      </c>
      <c r="M26">
        <v>4.0033222591362128</v>
      </c>
      <c r="N26">
        <v>1.0166112956810631</v>
      </c>
      <c r="O26">
        <v>6.9302325581395348</v>
      </c>
      <c r="P26">
        <v>2.1827242524916945</v>
      </c>
      <c r="Q26">
        <v>0.29900332225913623</v>
      </c>
      <c r="R26">
        <v>2.6445182724252492</v>
      </c>
      <c r="S26">
        <v>3.4119601328903655</v>
      </c>
      <c r="T26">
        <v>11.521594684385382</v>
      </c>
      <c r="U26">
        <v>7.9136212624584727</v>
      </c>
      <c r="V26">
        <v>21.159468438538205</v>
      </c>
      <c r="W26">
        <v>125.66112956810632</v>
      </c>
      <c r="X26">
        <v>49.501661129568113</v>
      </c>
      <c r="Y26">
        <v>5.4186046511627906</v>
      </c>
      <c r="Z26">
        <v>522.98006644518273</v>
      </c>
      <c r="AA26">
        <v>19.916943521594686</v>
      </c>
    </row>
    <row r="27" spans="1:27" x14ac:dyDescent="0.25">
      <c r="A27">
        <v>4.1300000000000003E-2</v>
      </c>
      <c r="B27">
        <v>4.1300000000000008</v>
      </c>
      <c r="C27">
        <v>3</v>
      </c>
      <c r="D27">
        <v>26</v>
      </c>
      <c r="E27">
        <v>381.63196125907984</v>
      </c>
      <c r="F27">
        <v>16.75060532687651</v>
      </c>
      <c r="G27">
        <v>5.0217917675544781</v>
      </c>
      <c r="H27">
        <v>4.6150121065375291</v>
      </c>
      <c r="I27">
        <v>3.0871670702179173</v>
      </c>
      <c r="J27">
        <v>71.602905569007262</v>
      </c>
      <c r="K27">
        <v>20.728813559322031</v>
      </c>
      <c r="L27">
        <v>13.501210653753024</v>
      </c>
      <c r="M27">
        <v>1.8135593220338979</v>
      </c>
      <c r="N27">
        <v>0.81355932203389814</v>
      </c>
      <c r="O27">
        <v>3.101694915254237</v>
      </c>
      <c r="P27">
        <v>0.84261501210653733</v>
      </c>
      <c r="Q27">
        <v>0.38983050847457623</v>
      </c>
      <c r="R27">
        <v>1.3292978208232444</v>
      </c>
      <c r="S27">
        <v>9.476997578692492</v>
      </c>
      <c r="T27">
        <v>5.7239709443099267</v>
      </c>
      <c r="U27">
        <v>4.8377723970944304</v>
      </c>
      <c r="V27">
        <v>124.68280871670702</v>
      </c>
      <c r="W27">
        <v>557.52542372881339</v>
      </c>
      <c r="X27">
        <v>81.292978208232427</v>
      </c>
      <c r="Y27">
        <v>17.9273607748184</v>
      </c>
      <c r="Z27">
        <v>313.18159806295392</v>
      </c>
      <c r="AA27">
        <v>10.852300242130749</v>
      </c>
    </row>
    <row r="28" spans="1:27" x14ac:dyDescent="0.25">
      <c r="A28">
        <v>2.5399999999999999E-2</v>
      </c>
      <c r="B28">
        <v>2.54</v>
      </c>
      <c r="C28">
        <v>3</v>
      </c>
      <c r="D28">
        <v>27</v>
      </c>
      <c r="E28">
        <v>405.3661417322835</v>
      </c>
      <c r="F28">
        <v>0</v>
      </c>
      <c r="G28">
        <v>4.5866141732283463</v>
      </c>
      <c r="H28">
        <v>6.0669291338582676</v>
      </c>
      <c r="I28">
        <v>0.77559055118110232</v>
      </c>
      <c r="J28">
        <v>15.440944881889763</v>
      </c>
      <c r="K28">
        <v>22.405511811023619</v>
      </c>
      <c r="L28">
        <v>31.996062992125982</v>
      </c>
      <c r="M28">
        <v>3.1181102362204722</v>
      </c>
      <c r="N28">
        <v>0.60236220472440949</v>
      </c>
      <c r="O28">
        <v>4.7165354330708666</v>
      </c>
      <c r="P28">
        <v>1.0551181102362206</v>
      </c>
      <c r="Q28">
        <v>0.51181102362204722</v>
      </c>
      <c r="R28">
        <v>2.4606299212598426</v>
      </c>
      <c r="S28">
        <v>2.0944881889763782</v>
      </c>
      <c r="T28">
        <v>7.8622047244094482</v>
      </c>
      <c r="U28">
        <v>6.1653543307086611</v>
      </c>
      <c r="V28">
        <v>10.566929133858267</v>
      </c>
      <c r="W28">
        <v>150.26377952755905</v>
      </c>
      <c r="X28">
        <v>22.9251968503937</v>
      </c>
      <c r="Y28">
        <v>2.7755905511811023</v>
      </c>
      <c r="Z28">
        <v>108.92913385826772</v>
      </c>
      <c r="AA28">
        <v>10.929133858267717</v>
      </c>
    </row>
    <row r="29" spans="1:27" x14ac:dyDescent="0.25">
      <c r="A29">
        <v>2.81E-2</v>
      </c>
      <c r="B29">
        <v>2.81</v>
      </c>
      <c r="C29">
        <v>3</v>
      </c>
      <c r="D29">
        <v>28</v>
      </c>
      <c r="E29">
        <v>422.07117437722417</v>
      </c>
      <c r="F29">
        <v>1.8291814946619216</v>
      </c>
      <c r="G29">
        <v>4.462633451957295</v>
      </c>
      <c r="H29">
        <v>5.1067615658362984</v>
      </c>
      <c r="I29">
        <v>2.3487544483985765</v>
      </c>
      <c r="J29">
        <v>25.807829181494661</v>
      </c>
      <c r="K29">
        <v>20.252669039145907</v>
      </c>
      <c r="L29">
        <v>15.722419928825623</v>
      </c>
      <c r="M29">
        <v>3.2775800711743774</v>
      </c>
      <c r="N29">
        <v>0.59786476868327398</v>
      </c>
      <c r="O29">
        <v>2.1672597864768681</v>
      </c>
      <c r="P29">
        <v>1.3345195729537367</v>
      </c>
      <c r="Q29">
        <v>0.46263345195729538</v>
      </c>
      <c r="R29">
        <v>1.1281138790035588</v>
      </c>
      <c r="S29">
        <v>2.2953736654804269</v>
      </c>
      <c r="T29">
        <v>5.4768683274021353</v>
      </c>
      <c r="U29">
        <v>5.4519572953736652</v>
      </c>
      <c r="V29">
        <v>46.444839857651239</v>
      </c>
      <c r="W29">
        <v>276.88612099644126</v>
      </c>
      <c r="X29">
        <v>64.167259786476862</v>
      </c>
      <c r="Y29">
        <v>11.843416370106763</v>
      </c>
      <c r="Z29">
        <v>297.93950177935943</v>
      </c>
      <c r="AA29">
        <v>9.0355871886120998</v>
      </c>
    </row>
    <row r="30" spans="1:27" x14ac:dyDescent="0.25">
      <c r="A30">
        <v>3.1E-2</v>
      </c>
      <c r="B30">
        <v>3.1</v>
      </c>
      <c r="C30">
        <v>3</v>
      </c>
      <c r="D30">
        <v>29</v>
      </c>
      <c r="E30">
        <v>258.05806451612904</v>
      </c>
      <c r="F30">
        <v>0</v>
      </c>
      <c r="G30">
        <v>3.1451612903225805</v>
      </c>
      <c r="H30">
        <v>5.9290322580645158</v>
      </c>
      <c r="I30">
        <v>0.94516129032258067</v>
      </c>
      <c r="J30">
        <v>18.06774193548387</v>
      </c>
      <c r="K30">
        <v>18.35806451612903</v>
      </c>
      <c r="L30">
        <v>22.758064516129032</v>
      </c>
      <c r="M30">
        <v>3.1806451612903222</v>
      </c>
      <c r="N30">
        <v>0.59354838709677415</v>
      </c>
      <c r="O30">
        <v>3.8290322580645157</v>
      </c>
      <c r="P30">
        <v>1.1225806451612903</v>
      </c>
      <c r="Q30">
        <v>0.29032258064516131</v>
      </c>
      <c r="R30">
        <v>1.3967741935483871</v>
      </c>
      <c r="S30">
        <v>1.767741935483871</v>
      </c>
      <c r="T30">
        <v>5.9225806451612897</v>
      </c>
      <c r="U30">
        <v>5.2967741935483872</v>
      </c>
      <c r="V30">
        <v>7.419354838709677</v>
      </c>
      <c r="W30">
        <v>128.95806451612901</v>
      </c>
      <c r="X30">
        <v>29.983870967741936</v>
      </c>
      <c r="Y30">
        <v>4.5354838709677416</v>
      </c>
      <c r="Z30">
        <v>90.945161290322574</v>
      </c>
      <c r="AA30">
        <v>8.1903225806451605</v>
      </c>
    </row>
    <row r="31" spans="1:27" x14ac:dyDescent="0.25">
      <c r="A31">
        <v>2.9000000000000001E-2</v>
      </c>
      <c r="B31">
        <v>2.9000000000000004</v>
      </c>
      <c r="C31">
        <v>4</v>
      </c>
      <c r="D31">
        <v>31</v>
      </c>
      <c r="E31">
        <v>288.72758620689649</v>
      </c>
      <c r="F31">
        <v>0</v>
      </c>
      <c r="G31">
        <v>5.9620689655172407</v>
      </c>
      <c r="H31">
        <v>8.6310344827586203</v>
      </c>
      <c r="I31">
        <v>5.5758620689655167</v>
      </c>
      <c r="J31">
        <v>24.675862068965515</v>
      </c>
      <c r="K31">
        <v>30.37931034482758</v>
      </c>
      <c r="L31">
        <v>52.031034482758606</v>
      </c>
      <c r="M31">
        <v>3.5482758620689649</v>
      </c>
      <c r="N31">
        <v>1.0275862068965516</v>
      </c>
      <c r="O31">
        <v>7.6103448275862062</v>
      </c>
      <c r="P31">
        <v>2.1655172413793102</v>
      </c>
      <c r="Q31">
        <v>0.64137931034482754</v>
      </c>
      <c r="R31">
        <v>3.4655172413793101</v>
      </c>
      <c r="S31">
        <v>3.8241379310344823</v>
      </c>
      <c r="T31">
        <v>12.59655172413793</v>
      </c>
      <c r="U31">
        <v>8.7310344827586199</v>
      </c>
      <c r="V31">
        <v>14.951724137931032</v>
      </c>
      <c r="W31">
        <v>96.396551724137922</v>
      </c>
      <c r="X31">
        <v>37.713793103448275</v>
      </c>
      <c r="Y31">
        <v>5.3034482758620687</v>
      </c>
      <c r="Z31">
        <v>231.95517241379306</v>
      </c>
      <c r="AA31">
        <v>20.672413793103448</v>
      </c>
    </row>
    <row r="32" spans="1:27" x14ac:dyDescent="0.25">
      <c r="A32">
        <v>3.6499999999999998E-2</v>
      </c>
      <c r="B32">
        <v>3.65</v>
      </c>
      <c r="C32">
        <v>4</v>
      </c>
      <c r="D32">
        <v>32</v>
      </c>
      <c r="E32">
        <v>453.39726027397262</v>
      </c>
      <c r="F32">
        <v>0.84657534246575339</v>
      </c>
      <c r="G32">
        <v>7.6602739726027398</v>
      </c>
      <c r="H32">
        <v>7.4027397260273977</v>
      </c>
      <c r="I32">
        <v>3.375342465753425</v>
      </c>
      <c r="J32">
        <v>45.526027397260272</v>
      </c>
      <c r="K32">
        <v>26.86849315068493</v>
      </c>
      <c r="L32">
        <v>35.205479452054796</v>
      </c>
      <c r="M32">
        <v>2.4054794520547942</v>
      </c>
      <c r="N32">
        <v>0.75342465753424659</v>
      </c>
      <c r="O32">
        <v>5.5506849315068498</v>
      </c>
      <c r="P32">
        <v>1.4082191780821918</v>
      </c>
      <c r="Q32">
        <v>0.61917808219178083</v>
      </c>
      <c r="R32">
        <v>4.9095890410958907</v>
      </c>
      <c r="S32">
        <v>3.9260273972602739</v>
      </c>
      <c r="T32">
        <v>8.8712328767123303</v>
      </c>
      <c r="U32">
        <v>10.561643835616438</v>
      </c>
      <c r="V32">
        <v>25.273972602739725</v>
      </c>
      <c r="W32">
        <v>211.76986301369865</v>
      </c>
      <c r="X32">
        <v>70.265753424657547</v>
      </c>
      <c r="Y32">
        <v>12.479452054794519</v>
      </c>
      <c r="Z32">
        <v>313.49863013698632</v>
      </c>
      <c r="AA32">
        <v>13.994520547945205</v>
      </c>
    </row>
    <row r="33" spans="1:27" x14ac:dyDescent="0.25">
      <c r="A33">
        <v>3.0599999999999999E-2</v>
      </c>
      <c r="B33">
        <v>3.06</v>
      </c>
      <c r="C33">
        <v>4</v>
      </c>
      <c r="D33">
        <v>33</v>
      </c>
      <c r="E33">
        <v>450.04575163398698</v>
      </c>
      <c r="F33">
        <v>1.1830065359477124</v>
      </c>
      <c r="G33">
        <v>5.1633986928104578</v>
      </c>
      <c r="H33">
        <v>5.9150326797385624</v>
      </c>
      <c r="I33">
        <v>3.4575163398692812</v>
      </c>
      <c r="J33">
        <v>39.264705882352942</v>
      </c>
      <c r="K33">
        <v>25.735294117647058</v>
      </c>
      <c r="L33">
        <v>28.84967320261438</v>
      </c>
      <c r="M33">
        <v>2.1699346405228757</v>
      </c>
      <c r="N33">
        <v>0.84967320261437906</v>
      </c>
      <c r="O33">
        <v>3.7450980392156863</v>
      </c>
      <c r="P33">
        <v>1.6339869281045751</v>
      </c>
      <c r="Q33">
        <v>0.39869281045751631</v>
      </c>
      <c r="R33">
        <v>1.5424836601307188</v>
      </c>
      <c r="S33">
        <v>3.9967320261437909</v>
      </c>
      <c r="T33">
        <v>7.4248366013071889</v>
      </c>
      <c r="U33">
        <v>5.4084967320261441</v>
      </c>
      <c r="V33">
        <v>149.55882352941177</v>
      </c>
      <c r="W33">
        <v>286.3660130718954</v>
      </c>
      <c r="X33">
        <v>49.535947712418306</v>
      </c>
      <c r="Y33">
        <v>7.7941176470588243</v>
      </c>
      <c r="Z33">
        <v>418.52941176470591</v>
      </c>
      <c r="AA33">
        <v>14.241830065359476</v>
      </c>
    </row>
    <row r="34" spans="1:27" x14ac:dyDescent="0.25">
      <c r="A34">
        <v>4.4400000000000002E-2</v>
      </c>
      <c r="B34">
        <v>4.4400000000000004</v>
      </c>
      <c r="C34">
        <v>4</v>
      </c>
      <c r="D34">
        <v>34</v>
      </c>
      <c r="E34">
        <v>199.60360360360357</v>
      </c>
      <c r="F34">
        <v>0</v>
      </c>
      <c r="G34">
        <v>2.6238738738738738</v>
      </c>
      <c r="H34">
        <v>3.3513513513513513</v>
      </c>
      <c r="I34">
        <v>1.0788288288288288</v>
      </c>
      <c r="J34">
        <v>20.222972972972972</v>
      </c>
      <c r="K34">
        <v>16.754504504504503</v>
      </c>
      <c r="L34">
        <v>9.9504504504504503</v>
      </c>
      <c r="M34">
        <v>1.5427927927927925</v>
      </c>
      <c r="N34">
        <v>0.31081081081081074</v>
      </c>
      <c r="O34">
        <v>1.322072072072072</v>
      </c>
      <c r="P34">
        <v>0.72297297297297292</v>
      </c>
      <c r="Q34">
        <v>0.30855855855855857</v>
      </c>
      <c r="R34">
        <v>0.62612612612612606</v>
      </c>
      <c r="S34">
        <v>2.894144144144144</v>
      </c>
      <c r="T34">
        <v>3.826576576576576</v>
      </c>
      <c r="U34">
        <v>3.4189189189189184</v>
      </c>
      <c r="V34">
        <v>11.558558558558557</v>
      </c>
      <c r="W34">
        <v>77.549549549549539</v>
      </c>
      <c r="X34">
        <v>20.621621621621621</v>
      </c>
      <c r="Y34">
        <v>1.5202702702702702</v>
      </c>
      <c r="Z34">
        <v>84.743243243243228</v>
      </c>
      <c r="AA34">
        <v>8.1531531531531538</v>
      </c>
    </row>
    <row r="35" spans="1:27" x14ac:dyDescent="0.25">
      <c r="A35">
        <v>4.9700000000000001E-2</v>
      </c>
      <c r="B35">
        <v>4.97</v>
      </c>
      <c r="C35">
        <v>4</v>
      </c>
      <c r="D35">
        <v>35</v>
      </c>
      <c r="E35">
        <v>117.25754527162978</v>
      </c>
      <c r="F35">
        <v>73.34406438631791</v>
      </c>
      <c r="G35">
        <v>12.311871227364186</v>
      </c>
      <c r="H35">
        <v>6.5070422535211279</v>
      </c>
      <c r="I35">
        <v>8.8631790744466805</v>
      </c>
      <c r="J35">
        <v>230.5030181086519</v>
      </c>
      <c r="K35">
        <v>39.555331991951711</v>
      </c>
      <c r="L35">
        <v>18.458752515090541</v>
      </c>
      <c r="M35">
        <v>1.5291750503018109</v>
      </c>
      <c r="N35">
        <v>2.436619718309859</v>
      </c>
      <c r="O35">
        <v>1.8792756539235413</v>
      </c>
      <c r="P35">
        <v>1.6740442655935615</v>
      </c>
      <c r="Q35">
        <v>0.63782696177062381</v>
      </c>
      <c r="R35">
        <v>5.6579476861167004</v>
      </c>
      <c r="S35">
        <v>157.13078470824951</v>
      </c>
      <c r="T35">
        <v>5.9597585513078473</v>
      </c>
      <c r="U35">
        <v>7.9336016096579476</v>
      </c>
      <c r="V35">
        <v>156.9416498993964</v>
      </c>
      <c r="W35">
        <v>3393.2434607645873</v>
      </c>
      <c r="X35">
        <v>915.48088531187125</v>
      </c>
      <c r="Y35">
        <v>140.08249496981892</v>
      </c>
      <c r="Z35">
        <v>1684.5553319919518</v>
      </c>
      <c r="AA35">
        <v>16.889336016096578</v>
      </c>
    </row>
    <row r="36" spans="1:27" x14ac:dyDescent="0.25">
      <c r="A36">
        <v>4.24E-2</v>
      </c>
      <c r="B36">
        <v>4.24</v>
      </c>
      <c r="C36">
        <v>4</v>
      </c>
      <c r="D36">
        <v>36</v>
      </c>
      <c r="E36">
        <v>289.68396226415092</v>
      </c>
      <c r="F36">
        <v>41.544811320754718</v>
      </c>
      <c r="G36">
        <v>6.7264150943396226</v>
      </c>
      <c r="H36">
        <v>7.1839622641509431</v>
      </c>
      <c r="I36">
        <v>6.1816037735849054</v>
      </c>
      <c r="J36">
        <v>100.38443396226414</v>
      </c>
      <c r="K36">
        <v>35.766509433962263</v>
      </c>
      <c r="L36">
        <v>29.153301886792452</v>
      </c>
      <c r="M36">
        <v>1.9693396226415092</v>
      </c>
      <c r="N36">
        <v>1.1485849056603774</v>
      </c>
      <c r="O36">
        <v>6.0707547169811313</v>
      </c>
      <c r="P36">
        <v>1.8584905660377358</v>
      </c>
      <c r="Q36">
        <v>0.51415094339622647</v>
      </c>
      <c r="R36">
        <v>3.257075471698113</v>
      </c>
      <c r="S36">
        <v>19.820754716981131</v>
      </c>
      <c r="T36">
        <v>9.1603773584905657</v>
      </c>
      <c r="U36">
        <v>4.2759433962264151</v>
      </c>
      <c r="V36">
        <v>78.419811320754718</v>
      </c>
      <c r="W36">
        <v>602.97877358490564</v>
      </c>
      <c r="X36">
        <v>100.90801886792453</v>
      </c>
      <c r="Y36">
        <v>22.25</v>
      </c>
      <c r="Z36">
        <v>501.45754716981128</v>
      </c>
      <c r="AA36">
        <v>22.292452830188676</v>
      </c>
    </row>
    <row r="37" spans="1:27" x14ac:dyDescent="0.25">
      <c r="A37">
        <v>3.2500000000000001E-2</v>
      </c>
      <c r="B37">
        <v>3.25</v>
      </c>
      <c r="C37">
        <v>4</v>
      </c>
      <c r="D37">
        <v>37</v>
      </c>
      <c r="E37">
        <v>940.29230769230765</v>
      </c>
      <c r="F37">
        <v>81.812307692307684</v>
      </c>
      <c r="G37">
        <v>12.153846153846153</v>
      </c>
      <c r="H37">
        <v>9.5046153846153842</v>
      </c>
      <c r="I37">
        <v>17.212307692307693</v>
      </c>
      <c r="J37">
        <v>589.3169230769231</v>
      </c>
      <c r="K37">
        <v>55.301538461538456</v>
      </c>
      <c r="L37">
        <v>36.519999999999996</v>
      </c>
      <c r="M37">
        <v>2.2400000000000002</v>
      </c>
      <c r="N37">
        <v>2.8461538461538463</v>
      </c>
      <c r="O37">
        <v>4.483076923076923</v>
      </c>
      <c r="P37">
        <v>1.9323076923076923</v>
      </c>
      <c r="Q37">
        <v>0.97538461538461541</v>
      </c>
      <c r="R37">
        <v>8.596923076923078</v>
      </c>
      <c r="S37">
        <v>28.950769230769232</v>
      </c>
      <c r="T37">
        <v>14.36923076923077</v>
      </c>
      <c r="U37">
        <v>15.895384615384614</v>
      </c>
      <c r="V37">
        <v>156.37846153846155</v>
      </c>
      <c r="W37">
        <v>2189.0030769230771</v>
      </c>
      <c r="X37">
        <v>488.06461538461542</v>
      </c>
      <c r="Y37">
        <v>166.93230769230769</v>
      </c>
      <c r="Z37">
        <v>1258.9907692307693</v>
      </c>
      <c r="AA37">
        <v>19.627692307692307</v>
      </c>
    </row>
    <row r="38" spans="1:27" x14ac:dyDescent="0.25">
      <c r="A38">
        <v>2.3099999999999999E-2</v>
      </c>
      <c r="B38">
        <v>2.31</v>
      </c>
      <c r="C38">
        <v>4</v>
      </c>
      <c r="D38">
        <v>38</v>
      </c>
      <c r="E38">
        <v>516.35064935064929</v>
      </c>
      <c r="F38">
        <v>0</v>
      </c>
      <c r="G38">
        <v>7.4848484848484844</v>
      </c>
      <c r="H38">
        <v>10.471861471861471</v>
      </c>
      <c r="I38">
        <v>4.0129870129870131</v>
      </c>
      <c r="J38">
        <v>40.316017316017316</v>
      </c>
      <c r="K38">
        <v>33.281385281385276</v>
      </c>
      <c r="L38">
        <v>49.952380952380949</v>
      </c>
      <c r="M38">
        <v>4.4112554112554108</v>
      </c>
      <c r="N38">
        <v>1.1904761904761905</v>
      </c>
      <c r="O38">
        <v>7.1082251082251089</v>
      </c>
      <c r="P38">
        <v>2.1038961038961039</v>
      </c>
      <c r="Q38">
        <v>0.59307359307359309</v>
      </c>
      <c r="R38">
        <v>3.1991341991341988</v>
      </c>
      <c r="S38">
        <v>4.6277056277056277</v>
      </c>
      <c r="T38">
        <v>15.415584415584416</v>
      </c>
      <c r="U38">
        <v>8.887445887445887</v>
      </c>
      <c r="V38">
        <v>16.346320346320343</v>
      </c>
      <c r="W38">
        <v>153.16450216450215</v>
      </c>
      <c r="X38">
        <v>59.675324675324674</v>
      </c>
      <c r="Y38">
        <v>6.2337662337662341</v>
      </c>
      <c r="Z38">
        <v>333.5930735930736</v>
      </c>
      <c r="AA38">
        <v>20.484848484848484</v>
      </c>
    </row>
    <row r="39" spans="1:27" x14ac:dyDescent="0.25">
      <c r="A39">
        <v>4.1500000000000002E-2</v>
      </c>
      <c r="B39">
        <v>4.1500000000000004</v>
      </c>
      <c r="C39">
        <v>4</v>
      </c>
      <c r="D39">
        <v>39</v>
      </c>
      <c r="E39">
        <v>241.70361445783132</v>
      </c>
      <c r="F39">
        <v>0</v>
      </c>
      <c r="G39">
        <v>4.5108433734939757</v>
      </c>
      <c r="H39">
        <v>5.6915662650602403</v>
      </c>
      <c r="I39">
        <v>3.3831325301204815</v>
      </c>
      <c r="J39">
        <v>12.79036144578313</v>
      </c>
      <c r="K39">
        <v>17.474698795180721</v>
      </c>
      <c r="L39">
        <v>32.522891566265059</v>
      </c>
      <c r="M39">
        <v>2.012048192771084</v>
      </c>
      <c r="N39">
        <v>0.66265060240963847</v>
      </c>
      <c r="O39">
        <v>6.226506024096385</v>
      </c>
      <c r="P39">
        <v>1.2048192771084336</v>
      </c>
      <c r="Q39">
        <v>0.21686746987951805</v>
      </c>
      <c r="R39">
        <v>1.8722891566265059</v>
      </c>
      <c r="S39">
        <v>2.4096385542168672</v>
      </c>
      <c r="T39">
        <v>8.1349397590361434</v>
      </c>
      <c r="U39">
        <v>7.1204819277108431</v>
      </c>
      <c r="V39">
        <v>6.6819277108433734</v>
      </c>
      <c r="W39">
        <v>53.17590361445783</v>
      </c>
      <c r="X39">
        <v>24.975903614457831</v>
      </c>
      <c r="Y39">
        <v>1.4265060240963854</v>
      </c>
      <c r="Z39">
        <v>114.71807228915661</v>
      </c>
      <c r="AA39">
        <v>12.308433734939758</v>
      </c>
    </row>
    <row r="40" spans="1:27" x14ac:dyDescent="0.25">
      <c r="A40">
        <v>2.9399999999999999E-2</v>
      </c>
      <c r="B40">
        <v>2.94</v>
      </c>
      <c r="C40">
        <v>4</v>
      </c>
      <c r="D40">
        <v>40</v>
      </c>
      <c r="E40">
        <v>322.03061224489795</v>
      </c>
      <c r="F40">
        <v>26.037414965986393</v>
      </c>
      <c r="G40">
        <v>6.8299319727891152</v>
      </c>
      <c r="H40">
        <v>8.6564625850340136</v>
      </c>
      <c r="I40">
        <v>5.2108843537414966</v>
      </c>
      <c r="J40">
        <v>142.22108843537416</v>
      </c>
      <c r="K40">
        <v>34.414965986394563</v>
      </c>
      <c r="L40">
        <v>33.537414965986393</v>
      </c>
      <c r="M40">
        <v>3.1326530612244903</v>
      </c>
      <c r="N40">
        <v>1.1428571428571428</v>
      </c>
      <c r="O40">
        <v>8.8571428571428577</v>
      </c>
      <c r="P40">
        <v>1.8435374149659864</v>
      </c>
      <c r="Q40">
        <v>0.25510204081632654</v>
      </c>
      <c r="R40">
        <v>3.6734693877551026</v>
      </c>
      <c r="S40">
        <v>9.1428571428571423</v>
      </c>
      <c r="T40">
        <v>12.112244897959183</v>
      </c>
      <c r="U40">
        <v>11.513605442176871</v>
      </c>
      <c r="V40">
        <v>55.302721088435376</v>
      </c>
      <c r="W40">
        <v>962.72108843537421</v>
      </c>
      <c r="X40">
        <v>171.15306122448979</v>
      </c>
      <c r="Y40">
        <v>86.360544217687078</v>
      </c>
      <c r="Z40">
        <v>987.36734693877554</v>
      </c>
      <c r="AA40">
        <v>16.520408163265305</v>
      </c>
    </row>
    <row r="41" spans="1:27" x14ac:dyDescent="0.25">
      <c r="A41">
        <v>3.5799999999999998E-2</v>
      </c>
      <c r="B41">
        <v>3.58</v>
      </c>
      <c r="C41">
        <v>4</v>
      </c>
      <c r="D41">
        <v>41</v>
      </c>
      <c r="E41">
        <v>28.606145251396647</v>
      </c>
      <c r="F41">
        <v>0</v>
      </c>
      <c r="G41">
        <v>0</v>
      </c>
      <c r="H41">
        <v>0</v>
      </c>
      <c r="I41">
        <v>0</v>
      </c>
      <c r="J41">
        <v>10.955307262569832</v>
      </c>
      <c r="K41">
        <v>0</v>
      </c>
      <c r="L41">
        <v>0</v>
      </c>
      <c r="M41">
        <v>0.11731843575418993</v>
      </c>
      <c r="N41">
        <v>0.42737430167597767</v>
      </c>
      <c r="O41">
        <v>2.5502793296089385</v>
      </c>
      <c r="P41">
        <v>0</v>
      </c>
      <c r="Q41">
        <v>0</v>
      </c>
      <c r="R41">
        <v>1.2094972067039107</v>
      </c>
      <c r="S41">
        <v>0</v>
      </c>
      <c r="T41">
        <v>0</v>
      </c>
      <c r="U41">
        <v>0.84078212290502785</v>
      </c>
      <c r="V41">
        <v>0.223463687150838</v>
      </c>
      <c r="W41">
        <v>32.036312849162009</v>
      </c>
      <c r="X41">
        <v>0</v>
      </c>
      <c r="Y41">
        <v>0.60614525139664799</v>
      </c>
      <c r="Z41">
        <v>8.7150837988826808</v>
      </c>
      <c r="AA41">
        <v>0</v>
      </c>
    </row>
    <row r="42" spans="1:27" x14ac:dyDescent="0.25">
      <c r="A42">
        <v>2.7799999999999998E-2</v>
      </c>
      <c r="B42">
        <v>2.78</v>
      </c>
      <c r="C42">
        <v>4</v>
      </c>
      <c r="D42">
        <v>42</v>
      </c>
      <c r="E42">
        <v>321.8129496402878</v>
      </c>
      <c r="F42">
        <v>0</v>
      </c>
      <c r="G42">
        <v>9.4496402877697854</v>
      </c>
      <c r="H42">
        <v>9.6151079136690658</v>
      </c>
      <c r="I42">
        <v>7.3345323741007205</v>
      </c>
      <c r="J42">
        <v>41.690647482014391</v>
      </c>
      <c r="K42">
        <v>41.550359712230218</v>
      </c>
      <c r="L42">
        <v>61.010791366906481</v>
      </c>
      <c r="M42">
        <v>5.1151079136690649</v>
      </c>
      <c r="N42">
        <v>1.6187050359712232</v>
      </c>
      <c r="O42">
        <v>10.219424460431656</v>
      </c>
      <c r="P42">
        <v>4.4028776978417268</v>
      </c>
      <c r="Q42">
        <v>0.41007194244604317</v>
      </c>
      <c r="R42">
        <v>3.3417266187050361</v>
      </c>
      <c r="S42">
        <v>5.0719424460431659</v>
      </c>
      <c r="T42">
        <v>12.640287769784173</v>
      </c>
      <c r="U42">
        <v>13.255395683453239</v>
      </c>
      <c r="V42">
        <v>13.050359712230216</v>
      </c>
      <c r="W42">
        <v>77.816546762589937</v>
      </c>
      <c r="X42">
        <v>33.931654676258994</v>
      </c>
      <c r="Y42">
        <v>2.9172661870503598</v>
      </c>
      <c r="Z42">
        <v>238.83453237410075</v>
      </c>
      <c r="AA42">
        <v>33.043165467625904</v>
      </c>
    </row>
    <row r="43" spans="1:27" x14ac:dyDescent="0.25">
      <c r="A43">
        <v>1.6899999999999998E-2</v>
      </c>
      <c r="B43">
        <v>1.69</v>
      </c>
      <c r="C43">
        <v>4</v>
      </c>
      <c r="D43">
        <v>43</v>
      </c>
      <c r="E43">
        <v>2175.8284023668639</v>
      </c>
      <c r="F43">
        <v>778.60355029585799</v>
      </c>
      <c r="G43">
        <v>42.313609467455628</v>
      </c>
      <c r="H43">
        <v>20.260355029585799</v>
      </c>
      <c r="I43">
        <v>36.816568047337277</v>
      </c>
      <c r="J43">
        <v>723.20710059171597</v>
      </c>
      <c r="K43">
        <v>164.91124260355031</v>
      </c>
      <c r="L43">
        <v>89.284023668639051</v>
      </c>
      <c r="M43">
        <v>5.5147928994082847</v>
      </c>
      <c r="N43">
        <v>11.964497041420119</v>
      </c>
      <c r="O43">
        <v>5.6568047337278111</v>
      </c>
      <c r="P43">
        <v>5.3609467455621305</v>
      </c>
      <c r="Q43">
        <v>3.5266272189349115</v>
      </c>
      <c r="R43">
        <v>36.627218934911241</v>
      </c>
      <c r="S43">
        <v>197.07100591715977</v>
      </c>
      <c r="T43">
        <v>27.355029585798814</v>
      </c>
      <c r="U43">
        <v>48.721893491124263</v>
      </c>
      <c r="V43">
        <v>1457.6982248520712</v>
      </c>
      <c r="W43">
        <v>12553.171597633136</v>
      </c>
      <c r="X43">
        <v>4261.1183431952668</v>
      </c>
      <c r="Y43">
        <v>760.85207100591708</v>
      </c>
      <c r="Z43">
        <v>2597.9763313609469</v>
      </c>
      <c r="AA43">
        <v>71.449704142011839</v>
      </c>
    </row>
    <row r="44" spans="1:27" x14ac:dyDescent="0.25">
      <c r="A44">
        <v>2.2800000000000001E-2</v>
      </c>
      <c r="B44">
        <v>2.2800000000000002</v>
      </c>
      <c r="C44">
        <v>4</v>
      </c>
      <c r="D44">
        <v>44</v>
      </c>
      <c r="E44">
        <v>572.17982456140339</v>
      </c>
      <c r="F44">
        <v>0</v>
      </c>
      <c r="G44">
        <v>8.8070175438596472</v>
      </c>
      <c r="H44">
        <v>8.7192982456140342</v>
      </c>
      <c r="I44">
        <v>4.0657894736842097</v>
      </c>
      <c r="J44">
        <v>21.337719298245609</v>
      </c>
      <c r="K44">
        <v>39.188596491228061</v>
      </c>
      <c r="L44">
        <v>40.23684210526315</v>
      </c>
      <c r="M44">
        <v>4.2763157894736841</v>
      </c>
      <c r="N44">
        <v>1.1052631578947367</v>
      </c>
      <c r="O44">
        <v>12.026315789473683</v>
      </c>
      <c r="P44">
        <v>1.8859649122807014</v>
      </c>
      <c r="Q44">
        <v>0.49999999999999989</v>
      </c>
      <c r="R44">
        <v>3.4912280701754383</v>
      </c>
      <c r="S44">
        <v>2.5482456140350873</v>
      </c>
      <c r="T44">
        <v>15.618421052631577</v>
      </c>
      <c r="U44">
        <v>10.956140350877192</v>
      </c>
      <c r="V44">
        <v>13.32456140350877</v>
      </c>
      <c r="W44">
        <v>120.88596491228068</v>
      </c>
      <c r="X44">
        <v>50.403508771929822</v>
      </c>
      <c r="Y44">
        <v>4.7456140350877192</v>
      </c>
      <c r="Z44">
        <v>258.35964912280696</v>
      </c>
      <c r="AA44">
        <v>22.403508771929822</v>
      </c>
    </row>
    <row r="45" spans="1:27" x14ac:dyDescent="0.25">
      <c r="A45">
        <v>2.8899999999999999E-2</v>
      </c>
      <c r="B45">
        <v>2.8899999999999997</v>
      </c>
      <c r="C45">
        <v>4</v>
      </c>
      <c r="D45">
        <v>45</v>
      </c>
      <c r="E45">
        <v>380.68166089965405</v>
      </c>
      <c r="F45">
        <v>0</v>
      </c>
      <c r="G45">
        <v>2.2145328719723185</v>
      </c>
      <c r="H45">
        <v>7.1176470588235299</v>
      </c>
      <c r="I45">
        <v>1.0138408304498272</v>
      </c>
      <c r="J45">
        <v>26.093425605536336</v>
      </c>
      <c r="K45">
        <v>19.474048442906575</v>
      </c>
      <c r="L45">
        <v>30.54671280276817</v>
      </c>
      <c r="M45">
        <v>2.757785467128028</v>
      </c>
      <c r="N45">
        <v>0.58131487889273359</v>
      </c>
      <c r="O45">
        <v>5.3252595155709352</v>
      </c>
      <c r="P45">
        <v>1.6332179930795849</v>
      </c>
      <c r="Q45">
        <v>5.1903114186851215E-2</v>
      </c>
      <c r="R45">
        <v>1.4982698961937717</v>
      </c>
      <c r="S45">
        <v>1.8027681660899655</v>
      </c>
      <c r="T45">
        <v>8.6574394463667836</v>
      </c>
      <c r="U45">
        <v>8.1211072664359865</v>
      </c>
      <c r="V45">
        <v>10.820069204152251</v>
      </c>
      <c r="W45">
        <v>77.356401384083057</v>
      </c>
      <c r="X45">
        <v>26.044982698961938</v>
      </c>
      <c r="Y45">
        <v>3.4463667820069213</v>
      </c>
      <c r="Z45">
        <v>175.35640138408306</v>
      </c>
      <c r="AA45">
        <v>12.94809688581315</v>
      </c>
    </row>
    <row r="46" spans="1:27" x14ac:dyDescent="0.25">
      <c r="A46">
        <v>3.73E-2</v>
      </c>
      <c r="B46">
        <v>3.73</v>
      </c>
      <c r="C46">
        <v>5</v>
      </c>
      <c r="D46">
        <v>46</v>
      </c>
      <c r="E46">
        <v>368.37801608579088</v>
      </c>
      <c r="F46">
        <v>23.120643431635386</v>
      </c>
      <c r="G46">
        <v>8.0804289544235921</v>
      </c>
      <c r="H46">
        <v>5</v>
      </c>
      <c r="I46">
        <v>5.6916890080428955</v>
      </c>
      <c r="J46">
        <v>120.40750670241287</v>
      </c>
      <c r="K46">
        <v>27.962466487935657</v>
      </c>
      <c r="L46">
        <v>15.455764075067023</v>
      </c>
      <c r="M46">
        <v>2.1367292225201071</v>
      </c>
      <c r="N46">
        <v>0.94101876675603213</v>
      </c>
      <c r="O46">
        <v>1.7506702412868633</v>
      </c>
      <c r="P46">
        <v>1.190348525469169</v>
      </c>
      <c r="Q46">
        <v>0.34852546916890081</v>
      </c>
      <c r="R46">
        <v>2.0831099195710454</v>
      </c>
      <c r="S46">
        <v>9.8203753351206444</v>
      </c>
      <c r="T46">
        <v>5.1072386058981234</v>
      </c>
      <c r="U46">
        <v>8.0697050938337807</v>
      </c>
      <c r="V46">
        <v>47.92761394101877</v>
      </c>
      <c r="W46">
        <v>605.71313672922247</v>
      </c>
      <c r="X46">
        <v>278.26005361930299</v>
      </c>
      <c r="Y46">
        <v>70.139410187667565</v>
      </c>
      <c r="Z46">
        <v>1440.2332439678285</v>
      </c>
      <c r="AA46">
        <v>9.3780160857908843</v>
      </c>
    </row>
    <row r="47" spans="1:27" x14ac:dyDescent="0.25">
      <c r="A47">
        <v>3.3399999999999999E-2</v>
      </c>
      <c r="B47">
        <v>3.34</v>
      </c>
      <c r="C47">
        <v>5</v>
      </c>
      <c r="D47">
        <v>47</v>
      </c>
      <c r="E47">
        <v>307.14670658682633</v>
      </c>
      <c r="F47">
        <v>0</v>
      </c>
      <c r="G47">
        <v>5.1766467065868262</v>
      </c>
      <c r="H47">
        <v>8.9880239520958085</v>
      </c>
      <c r="I47">
        <v>3.0359281437125754</v>
      </c>
      <c r="J47">
        <v>17.50299401197605</v>
      </c>
      <c r="K47">
        <v>30.107784431137727</v>
      </c>
      <c r="L47">
        <v>39.443113772455092</v>
      </c>
      <c r="M47">
        <v>2.7245508982035926</v>
      </c>
      <c r="N47">
        <v>0.84730538922155696</v>
      </c>
      <c r="O47">
        <v>9.8532934131736525</v>
      </c>
      <c r="P47">
        <v>1.2874251497005988</v>
      </c>
      <c r="Q47">
        <v>0.17664670658682635</v>
      </c>
      <c r="R47">
        <v>3.0089820359281441</v>
      </c>
      <c r="S47">
        <v>2.6646706586826348</v>
      </c>
      <c r="T47">
        <v>12.871257485029941</v>
      </c>
      <c r="U47">
        <v>11.724550898203592</v>
      </c>
      <c r="V47">
        <v>10.68562874251497</v>
      </c>
      <c r="W47">
        <v>59.443113772455092</v>
      </c>
      <c r="X47">
        <v>31.032934131736528</v>
      </c>
      <c r="Y47">
        <v>4.0868263473053892</v>
      </c>
      <c r="Z47">
        <v>367.95808383233538</v>
      </c>
      <c r="AA47">
        <v>16.047904191616766</v>
      </c>
    </row>
    <row r="48" spans="1:27" x14ac:dyDescent="0.25">
      <c r="A48">
        <v>3.9699999999999999E-2</v>
      </c>
      <c r="B48">
        <v>3.9699999999999998</v>
      </c>
      <c r="C48">
        <v>5</v>
      </c>
      <c r="D48">
        <v>48</v>
      </c>
      <c r="E48">
        <v>181.82619647355165</v>
      </c>
      <c r="F48">
        <v>0</v>
      </c>
      <c r="G48">
        <v>4.355163727959698</v>
      </c>
      <c r="H48">
        <v>6.6624685138539048</v>
      </c>
      <c r="I48">
        <v>2.6649874055415621</v>
      </c>
      <c r="J48">
        <v>16.073047858942068</v>
      </c>
      <c r="K48">
        <v>21.879093198992443</v>
      </c>
      <c r="L48">
        <v>27.387909319899247</v>
      </c>
      <c r="M48">
        <v>2.1561712846347612</v>
      </c>
      <c r="N48">
        <v>0.61712846347607064</v>
      </c>
      <c r="O48">
        <v>6.3602015113350134</v>
      </c>
      <c r="P48">
        <v>1.3652392947103276</v>
      </c>
      <c r="Q48">
        <v>0.20654911838790932</v>
      </c>
      <c r="R48">
        <v>1.8614609571788414</v>
      </c>
      <c r="S48">
        <v>2.8387909319899247</v>
      </c>
      <c r="T48">
        <v>9.4911838790931995</v>
      </c>
      <c r="U48">
        <v>8.0100755667506309</v>
      </c>
      <c r="V48">
        <v>8.4710327455919412</v>
      </c>
      <c r="W48">
        <v>62.670025188916881</v>
      </c>
      <c r="X48">
        <v>42.19899244332494</v>
      </c>
      <c r="Y48">
        <v>6.5390428211586906</v>
      </c>
      <c r="Z48">
        <v>527.67002518891684</v>
      </c>
      <c r="AA48">
        <v>11.604534005037785</v>
      </c>
    </row>
    <row r="49" spans="1:27" x14ac:dyDescent="0.25">
      <c r="A49">
        <v>3.44E-2</v>
      </c>
      <c r="B49">
        <v>3.44</v>
      </c>
      <c r="C49">
        <v>5</v>
      </c>
      <c r="D49">
        <v>49</v>
      </c>
      <c r="E49">
        <v>312.23255813953489</v>
      </c>
      <c r="F49">
        <v>53.741279069767444</v>
      </c>
      <c r="G49">
        <v>12.00872093023256</v>
      </c>
      <c r="H49">
        <v>15.116279069767442</v>
      </c>
      <c r="I49">
        <v>97.738372093023258</v>
      </c>
      <c r="J49">
        <v>459.14244186046511</v>
      </c>
      <c r="K49">
        <v>57.14825581395349</v>
      </c>
      <c r="L49">
        <v>34.502906976744185</v>
      </c>
      <c r="M49">
        <v>2.5203488372093021</v>
      </c>
      <c r="N49">
        <v>3.8255813953488373</v>
      </c>
      <c r="O49">
        <v>5.4505813953488369</v>
      </c>
      <c r="P49">
        <v>2.851744186046512</v>
      </c>
      <c r="Q49">
        <v>1.0436046511627908</v>
      </c>
      <c r="R49">
        <v>7.4767441860465116</v>
      </c>
      <c r="S49">
        <v>65.130813953488371</v>
      </c>
      <c r="T49">
        <v>10.752906976744187</v>
      </c>
      <c r="U49">
        <v>9.6220930232558146</v>
      </c>
      <c r="V49">
        <v>113.68313953488372</v>
      </c>
      <c r="W49">
        <v>7364.4970930232557</v>
      </c>
      <c r="X49">
        <v>3165.9186046511627</v>
      </c>
      <c r="Y49">
        <v>1059.1656976744187</v>
      </c>
      <c r="Z49">
        <v>8116.3575581395353</v>
      </c>
      <c r="AA49">
        <v>29.220930232558139</v>
      </c>
    </row>
    <row r="50" spans="1:27" x14ac:dyDescent="0.25">
      <c r="A50">
        <v>2.4899999999999999E-2</v>
      </c>
      <c r="B50">
        <v>2.4899999999999998</v>
      </c>
      <c r="C50">
        <v>5</v>
      </c>
      <c r="D50">
        <v>50</v>
      </c>
      <c r="E50">
        <v>255.18072289156629</v>
      </c>
      <c r="F50">
        <v>0</v>
      </c>
      <c r="G50">
        <v>1.3815261044176708</v>
      </c>
      <c r="H50">
        <v>9.1526104417670684</v>
      </c>
      <c r="I50">
        <v>0.59839357429718876</v>
      </c>
      <c r="J50">
        <v>24.453815261044181</v>
      </c>
      <c r="K50">
        <v>26.116465863453818</v>
      </c>
      <c r="L50">
        <v>38.911646586345384</v>
      </c>
      <c r="M50">
        <v>0.41767068273092373</v>
      </c>
      <c r="N50">
        <v>0.73895582329317278</v>
      </c>
      <c r="O50">
        <v>4.0522088353413661</v>
      </c>
      <c r="P50">
        <v>0.96787148594377526</v>
      </c>
      <c r="Q50">
        <v>0.36144578313253017</v>
      </c>
      <c r="R50">
        <v>4.6425702811244989</v>
      </c>
      <c r="S50">
        <v>2.8514056224899598</v>
      </c>
      <c r="T50">
        <v>11.152610441767068</v>
      </c>
      <c r="U50">
        <v>7.8032128514056227</v>
      </c>
      <c r="V50">
        <v>28.064257028112451</v>
      </c>
      <c r="W50">
        <v>140.19277108433735</v>
      </c>
      <c r="X50">
        <v>56.662650602409649</v>
      </c>
      <c r="Y50">
        <v>16.253012048192772</v>
      </c>
      <c r="Z50">
        <v>338.48594377510045</v>
      </c>
      <c r="AA50">
        <v>9.9598393574297202</v>
      </c>
    </row>
    <row r="51" spans="1:27" x14ac:dyDescent="0.25">
      <c r="A51">
        <v>4.0800000000000003E-2</v>
      </c>
      <c r="B51">
        <v>4.08</v>
      </c>
      <c r="C51">
        <v>5</v>
      </c>
      <c r="D51">
        <v>51</v>
      </c>
      <c r="E51">
        <v>481.03676470588238</v>
      </c>
      <c r="F51">
        <v>60.823529411764703</v>
      </c>
      <c r="G51">
        <v>8.0269607843137258</v>
      </c>
      <c r="H51">
        <v>7.6789215686274508</v>
      </c>
      <c r="I51">
        <v>6.625</v>
      </c>
      <c r="J51">
        <v>114.22794117647059</v>
      </c>
      <c r="K51">
        <v>31.671568627450981</v>
      </c>
      <c r="L51">
        <v>30.698529411764707</v>
      </c>
      <c r="M51">
        <v>2.2426470588235294</v>
      </c>
      <c r="N51">
        <v>1.3799019607843137</v>
      </c>
      <c r="O51">
        <v>4.6691176470588234</v>
      </c>
      <c r="P51">
        <v>1.6789215686274508</v>
      </c>
      <c r="Q51">
        <v>0.65441176470588236</v>
      </c>
      <c r="R51">
        <v>4.6666666666666661</v>
      </c>
      <c r="S51">
        <v>18.120098039215687</v>
      </c>
      <c r="T51">
        <v>12.240196078431373</v>
      </c>
      <c r="U51">
        <v>6.909313725490196</v>
      </c>
      <c r="V51">
        <v>71.691176470588232</v>
      </c>
      <c r="W51">
        <v>903.86764705882354</v>
      </c>
      <c r="X51">
        <v>216.77696078431373</v>
      </c>
      <c r="Y51">
        <v>71.311274509803923</v>
      </c>
      <c r="Z51">
        <v>1132.688725490196</v>
      </c>
      <c r="AA51">
        <v>15.634803921568627</v>
      </c>
    </row>
    <row r="52" spans="1:27" x14ac:dyDescent="0.25">
      <c r="A52">
        <v>3.6299999999999999E-2</v>
      </c>
      <c r="B52">
        <v>3.63</v>
      </c>
      <c r="C52">
        <v>5</v>
      </c>
      <c r="D52">
        <v>52</v>
      </c>
      <c r="E52">
        <v>388.93939393939394</v>
      </c>
      <c r="F52">
        <v>0</v>
      </c>
      <c r="G52">
        <v>2.9559228650137741</v>
      </c>
      <c r="H52">
        <v>6.123966942148761</v>
      </c>
      <c r="I52">
        <v>2.4325068870523419</v>
      </c>
      <c r="J52">
        <v>27.099173553719009</v>
      </c>
      <c r="K52">
        <v>24.44077134986226</v>
      </c>
      <c r="L52">
        <v>21.41322314049587</v>
      </c>
      <c r="M52">
        <v>2.0936639118457299</v>
      </c>
      <c r="N52">
        <v>0.63085399449035817</v>
      </c>
      <c r="O52">
        <v>7.0110192837465561</v>
      </c>
      <c r="P52">
        <v>0.88429752066115708</v>
      </c>
      <c r="Q52">
        <v>0.33608815426997246</v>
      </c>
      <c r="R52">
        <v>0.9807162534435262</v>
      </c>
      <c r="S52">
        <v>2.0192837465564737</v>
      </c>
      <c r="T52">
        <v>9.7438016528925608</v>
      </c>
      <c r="U52">
        <v>8.3663911845730041</v>
      </c>
      <c r="V52">
        <v>8.9393939393939412</v>
      </c>
      <c r="W52">
        <v>63.550964187327828</v>
      </c>
      <c r="X52">
        <v>28.016528925619838</v>
      </c>
      <c r="Y52">
        <v>2.6887052341597797</v>
      </c>
      <c r="Z52">
        <v>160.09366391184574</v>
      </c>
      <c r="AA52">
        <v>10.647382920110193</v>
      </c>
    </row>
    <row r="53" spans="1:27" x14ac:dyDescent="0.25">
      <c r="A53">
        <v>2.58E-2</v>
      </c>
      <c r="B53">
        <v>2.58</v>
      </c>
      <c r="C53">
        <v>5</v>
      </c>
      <c r="D53">
        <v>53</v>
      </c>
      <c r="E53">
        <v>9.1899224806201545</v>
      </c>
      <c r="F53">
        <v>0</v>
      </c>
      <c r="G53">
        <v>0</v>
      </c>
      <c r="H53">
        <v>0.76356589147286824</v>
      </c>
      <c r="I53">
        <v>0</v>
      </c>
      <c r="J53">
        <v>0.24806201550387597</v>
      </c>
      <c r="K53">
        <v>0</v>
      </c>
      <c r="L53">
        <v>9.0775193798449614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1.1124031007751938</v>
      </c>
      <c r="U53">
        <v>0</v>
      </c>
      <c r="V53">
        <v>1.5775193798449614</v>
      </c>
      <c r="W53">
        <v>0</v>
      </c>
      <c r="X53">
        <v>0</v>
      </c>
      <c r="Y53">
        <v>0.33333333333333331</v>
      </c>
      <c r="Z53">
        <v>25.364341085271317</v>
      </c>
      <c r="AA53">
        <v>0</v>
      </c>
    </row>
    <row r="54" spans="1:27" x14ac:dyDescent="0.25">
      <c r="A54">
        <v>2.5899999999999999E-2</v>
      </c>
      <c r="B54">
        <v>2.59</v>
      </c>
      <c r="C54">
        <v>5</v>
      </c>
      <c r="D54">
        <v>54</v>
      </c>
      <c r="E54">
        <v>439.3050193050193</v>
      </c>
      <c r="F54">
        <v>0</v>
      </c>
      <c r="G54">
        <v>6.6756756756756754</v>
      </c>
      <c r="H54">
        <v>8.6911196911196917</v>
      </c>
      <c r="I54">
        <v>6.5714285714285721</v>
      </c>
      <c r="J54">
        <v>63.073359073359079</v>
      </c>
      <c r="K54">
        <v>34.015444015444018</v>
      </c>
      <c r="L54">
        <v>44.552123552123554</v>
      </c>
      <c r="M54">
        <v>4.3552123552123554</v>
      </c>
      <c r="N54">
        <v>1.0926640926640927</v>
      </c>
      <c r="O54">
        <v>5.3088803088803092</v>
      </c>
      <c r="P54">
        <v>1.9845559845559846</v>
      </c>
      <c r="Q54">
        <v>0.59073359073359077</v>
      </c>
      <c r="R54">
        <v>2.5598455598455598</v>
      </c>
      <c r="S54">
        <v>4.1274131274131278</v>
      </c>
      <c r="T54">
        <v>10.722007722007723</v>
      </c>
      <c r="U54">
        <v>6.3899613899613907</v>
      </c>
      <c r="V54">
        <v>42.552123552123554</v>
      </c>
      <c r="W54">
        <v>192.64478764478764</v>
      </c>
      <c r="X54">
        <v>82.710424710424718</v>
      </c>
      <c r="Y54">
        <v>12.644787644787645</v>
      </c>
      <c r="Z54">
        <v>1034.8378378378379</v>
      </c>
      <c r="AA54">
        <v>19.722007722007721</v>
      </c>
    </row>
    <row r="55" spans="1:27" x14ac:dyDescent="0.25">
      <c r="A55">
        <v>2.4199999999999999E-2</v>
      </c>
      <c r="B55">
        <v>2.42</v>
      </c>
      <c r="C55">
        <v>5</v>
      </c>
      <c r="D55">
        <v>55</v>
      </c>
      <c r="E55">
        <v>346.90495867768595</v>
      </c>
      <c r="F55">
        <v>0</v>
      </c>
      <c r="G55">
        <v>5.1818181818181817</v>
      </c>
      <c r="H55">
        <v>8.1570247933884286</v>
      </c>
      <c r="I55">
        <v>3.6487603305785123</v>
      </c>
      <c r="J55">
        <v>25.966942148760332</v>
      </c>
      <c r="K55">
        <v>28.93388429752066</v>
      </c>
      <c r="L55">
        <v>39.330578512396698</v>
      </c>
      <c r="M55">
        <v>4.1198347107438025</v>
      </c>
      <c r="N55">
        <v>1.0413223140495869</v>
      </c>
      <c r="O55">
        <v>6.1487603305785132</v>
      </c>
      <c r="P55">
        <v>2.0082644628099175</v>
      </c>
      <c r="Q55">
        <v>0.53719008264462809</v>
      </c>
      <c r="R55">
        <v>2.7396694214876032</v>
      </c>
      <c r="S55">
        <v>2.1528925619834713</v>
      </c>
      <c r="T55">
        <v>10.338842975206612</v>
      </c>
      <c r="U55">
        <v>7.6322314049586772</v>
      </c>
      <c r="V55">
        <v>14.016528925619836</v>
      </c>
      <c r="W55">
        <v>127.13223140495869</v>
      </c>
      <c r="X55">
        <v>63.694214876033051</v>
      </c>
      <c r="Y55">
        <v>10.417355371900827</v>
      </c>
      <c r="Z55">
        <v>1024.2355371900828</v>
      </c>
      <c r="AA55">
        <v>15.971074380165289</v>
      </c>
    </row>
    <row r="56" spans="1:27" x14ac:dyDescent="0.25">
      <c r="A56">
        <v>3.8300000000000001E-2</v>
      </c>
      <c r="B56">
        <v>3.83</v>
      </c>
      <c r="C56">
        <v>5</v>
      </c>
      <c r="D56">
        <v>56</v>
      </c>
      <c r="E56">
        <v>418.47519582245428</v>
      </c>
      <c r="F56">
        <v>46.652741514360315</v>
      </c>
      <c r="G56">
        <v>4.8877284595300257</v>
      </c>
      <c r="H56">
        <v>4.5143603133159269</v>
      </c>
      <c r="I56">
        <v>1.7232375979112271</v>
      </c>
      <c r="J56">
        <v>46.558746736292427</v>
      </c>
      <c r="K56">
        <v>24.629242819843341</v>
      </c>
      <c r="L56">
        <v>22.138381201044389</v>
      </c>
      <c r="M56">
        <v>1.6370757180156656</v>
      </c>
      <c r="N56">
        <v>0.77806788511749347</v>
      </c>
      <c r="O56">
        <v>2.5509138381201044</v>
      </c>
      <c r="P56">
        <v>1.0522193211488251</v>
      </c>
      <c r="Q56">
        <v>0.195822454308094</v>
      </c>
      <c r="R56">
        <v>2.2271540469973887</v>
      </c>
      <c r="S56">
        <v>14.874673629242819</v>
      </c>
      <c r="T56">
        <v>6.6527415143603132</v>
      </c>
      <c r="U56">
        <v>5.7362924281984329</v>
      </c>
      <c r="V56">
        <v>69.93994778067885</v>
      </c>
      <c r="W56">
        <v>408.67885117493472</v>
      </c>
      <c r="X56">
        <v>108.69973890339425</v>
      </c>
      <c r="Y56">
        <v>22.182767624020887</v>
      </c>
      <c r="Z56">
        <v>604.09399477806778</v>
      </c>
      <c r="AA56">
        <v>10.412532637075719</v>
      </c>
    </row>
    <row r="57" spans="1:27" x14ac:dyDescent="0.25">
      <c r="A57">
        <v>3.4500000000000003E-2</v>
      </c>
      <c r="B57">
        <v>3.45</v>
      </c>
      <c r="C57">
        <v>5</v>
      </c>
      <c r="D57">
        <v>57</v>
      </c>
      <c r="E57">
        <v>121.33043478260868</v>
      </c>
      <c r="F57">
        <v>2.5594202898550722</v>
      </c>
      <c r="G57">
        <v>1.855072463768116</v>
      </c>
      <c r="H57">
        <v>5.8811594202898547</v>
      </c>
      <c r="I57">
        <v>0</v>
      </c>
      <c r="J57">
        <v>11.799999999999999</v>
      </c>
      <c r="K57">
        <v>0</v>
      </c>
      <c r="L57">
        <v>23.556521739130432</v>
      </c>
      <c r="M57">
        <v>0.62898550724637681</v>
      </c>
      <c r="N57">
        <v>0.53333333333333333</v>
      </c>
      <c r="O57">
        <v>2.9246376811594201</v>
      </c>
      <c r="P57">
        <v>1.327536231884058</v>
      </c>
      <c r="Q57">
        <v>8.4057971014492749E-2</v>
      </c>
      <c r="R57">
        <v>1.7014492753623187</v>
      </c>
      <c r="S57">
        <v>0</v>
      </c>
      <c r="T57">
        <v>3.6666666666666665</v>
      </c>
      <c r="U57">
        <v>1.7623188405797101</v>
      </c>
      <c r="V57">
        <v>52.373913043478261</v>
      </c>
      <c r="W57">
        <v>601.03768115942023</v>
      </c>
      <c r="X57">
        <v>96.837681159420271</v>
      </c>
      <c r="Y57">
        <v>8.0840579710144933</v>
      </c>
      <c r="Z57">
        <v>992.56521739130426</v>
      </c>
      <c r="AA57">
        <v>7.3594202898550725</v>
      </c>
    </row>
    <row r="58" spans="1:27" x14ac:dyDescent="0.25">
      <c r="A58">
        <v>5.1499999999999997E-2</v>
      </c>
      <c r="B58">
        <v>5.1499999999999995</v>
      </c>
      <c r="C58">
        <v>5</v>
      </c>
      <c r="D58">
        <v>58</v>
      </c>
      <c r="E58">
        <v>384.07766990291265</v>
      </c>
      <c r="F58">
        <v>0</v>
      </c>
      <c r="G58">
        <v>2.7611650485436896</v>
      </c>
      <c r="H58">
        <v>2.7611650485436896</v>
      </c>
      <c r="I58">
        <v>0</v>
      </c>
      <c r="J58">
        <v>17.619417475728156</v>
      </c>
      <c r="K58">
        <v>11.050485436893204</v>
      </c>
      <c r="L58">
        <v>9.7145631067961169</v>
      </c>
      <c r="M58">
        <v>1.2485436893203885</v>
      </c>
      <c r="N58">
        <v>0.32621359223300972</v>
      </c>
      <c r="O58">
        <v>1.3106796116504855</v>
      </c>
      <c r="P58">
        <v>0.46796116504854379</v>
      </c>
      <c r="Q58">
        <v>0.29708737864077672</v>
      </c>
      <c r="R58">
        <v>0.31262135922330103</v>
      </c>
      <c r="S58">
        <v>1.1980582524271846</v>
      </c>
      <c r="T58">
        <v>2.9883495145631072</v>
      </c>
      <c r="U58">
        <v>3.0271844660194178</v>
      </c>
      <c r="V58">
        <v>7.3611650485436897</v>
      </c>
      <c r="W58">
        <v>60.467961165048557</v>
      </c>
      <c r="X58">
        <v>25.481553398058253</v>
      </c>
      <c r="Y58">
        <v>4.1048543689320391</v>
      </c>
      <c r="Z58">
        <v>329.29708737864081</v>
      </c>
      <c r="AA58">
        <v>5.6213592233009715</v>
      </c>
    </row>
    <row r="59" spans="1:27" x14ac:dyDescent="0.25">
      <c r="A59">
        <v>2.8500000000000001E-2</v>
      </c>
      <c r="B59">
        <v>2.85</v>
      </c>
      <c r="C59">
        <v>5</v>
      </c>
      <c r="D59">
        <v>59</v>
      </c>
      <c r="E59">
        <v>321.45614035087715</v>
      </c>
      <c r="F59">
        <v>0</v>
      </c>
      <c r="G59">
        <v>9.2175438596491226</v>
      </c>
      <c r="H59">
        <v>6.0666666666666664</v>
      </c>
      <c r="I59">
        <v>0.86315789473684201</v>
      </c>
      <c r="J59">
        <v>27.473684210526315</v>
      </c>
      <c r="K59">
        <v>20.845614035087717</v>
      </c>
      <c r="L59">
        <v>28.515789473684208</v>
      </c>
      <c r="M59">
        <v>2.3684210526315788</v>
      </c>
      <c r="N59">
        <v>0.64561403508771931</v>
      </c>
      <c r="O59">
        <v>1.8280701754385964</v>
      </c>
      <c r="P59">
        <v>2.1017543859649122</v>
      </c>
      <c r="Q59">
        <v>0.45614035087719296</v>
      </c>
      <c r="R59">
        <v>1.3157894736842104</v>
      </c>
      <c r="S59">
        <v>2.4912280701754383</v>
      </c>
      <c r="T59">
        <v>6.764912280701755</v>
      </c>
      <c r="U59">
        <v>6.4350877192982452</v>
      </c>
      <c r="V59">
        <v>11.385964912280702</v>
      </c>
      <c r="W59">
        <v>117.86666666666667</v>
      </c>
      <c r="X59">
        <v>39.466666666666669</v>
      </c>
      <c r="Y59">
        <v>7.9929824561403509</v>
      </c>
      <c r="Z59">
        <v>780.50877192982443</v>
      </c>
      <c r="AA59">
        <v>12.273684210526314</v>
      </c>
    </row>
    <row r="60" spans="1:27" x14ac:dyDescent="0.25">
      <c r="A60">
        <v>2.86E-2</v>
      </c>
      <c r="B60">
        <v>2.86</v>
      </c>
      <c r="C60">
        <v>5</v>
      </c>
      <c r="D60">
        <v>60</v>
      </c>
      <c r="E60">
        <v>468.30769230769232</v>
      </c>
      <c r="F60">
        <v>23.972027972027973</v>
      </c>
      <c r="G60">
        <v>9.9720279720279716</v>
      </c>
      <c r="H60">
        <v>7.5769230769230775</v>
      </c>
      <c r="I60">
        <v>12.59090909090909</v>
      </c>
      <c r="J60">
        <v>59.409090909090914</v>
      </c>
      <c r="K60">
        <v>44.744755244755247</v>
      </c>
      <c r="L60">
        <v>36.842657342657347</v>
      </c>
      <c r="M60">
        <v>2.9545454545454546</v>
      </c>
      <c r="N60">
        <v>1.0944055944055944</v>
      </c>
      <c r="O60">
        <v>5.9160839160839167</v>
      </c>
      <c r="P60">
        <v>1.6013986013986015</v>
      </c>
      <c r="Q60">
        <v>0.56293706293706303</v>
      </c>
      <c r="R60">
        <v>4.6328671328671334</v>
      </c>
      <c r="S60">
        <v>14.797202797202798</v>
      </c>
      <c r="T60">
        <v>9.3881118881118883</v>
      </c>
      <c r="U60">
        <v>7.9195804195804191</v>
      </c>
      <c r="V60">
        <v>93.506993006993014</v>
      </c>
      <c r="W60">
        <v>954.06993006993002</v>
      </c>
      <c r="X60">
        <v>334.04545454545456</v>
      </c>
      <c r="Y60">
        <v>99.730769230769241</v>
      </c>
      <c r="Z60">
        <v>1380.3076923076924</v>
      </c>
      <c r="AA60">
        <v>19.181818181818183</v>
      </c>
    </row>
    <row r="61" spans="1:27" x14ac:dyDescent="0.25">
      <c r="A61">
        <v>4.7100000000000003E-2</v>
      </c>
      <c r="B61">
        <v>4.71</v>
      </c>
      <c r="C61">
        <v>8</v>
      </c>
      <c r="D61">
        <v>61</v>
      </c>
      <c r="E61">
        <v>342.0615711252654</v>
      </c>
      <c r="F61">
        <v>70.590233545647564</v>
      </c>
      <c r="G61">
        <v>8.1910828025477702</v>
      </c>
      <c r="H61">
        <v>12.456475583864119</v>
      </c>
      <c r="I61">
        <v>24.437367303609342</v>
      </c>
      <c r="J61">
        <v>59.027600849256899</v>
      </c>
      <c r="K61">
        <v>28.227176220806793</v>
      </c>
      <c r="L61">
        <v>30.014861995753716</v>
      </c>
      <c r="M61">
        <v>1.8407643312101911</v>
      </c>
      <c r="N61">
        <v>2.3779193205944797</v>
      </c>
      <c r="O61">
        <v>3.2250530785562632</v>
      </c>
      <c r="P61">
        <v>1.8280254777070062</v>
      </c>
      <c r="Q61">
        <v>0.69002123142250527</v>
      </c>
      <c r="R61">
        <v>4.3588110403397033</v>
      </c>
      <c r="S61">
        <v>39.08492569002123</v>
      </c>
      <c r="T61">
        <v>6.8259023354564752</v>
      </c>
      <c r="U61">
        <v>6.6794055201698512</v>
      </c>
      <c r="V61">
        <v>199.13588110403396</v>
      </c>
      <c r="W61">
        <v>1407.8641188959659</v>
      </c>
      <c r="X61">
        <v>674.03609341825904</v>
      </c>
      <c r="Y61">
        <v>131.08917197452229</v>
      </c>
      <c r="Z61">
        <v>2755.9532908704887</v>
      </c>
      <c r="AA61">
        <v>21.910828025477709</v>
      </c>
    </row>
    <row r="62" spans="1:27" x14ac:dyDescent="0.25">
      <c r="A62">
        <v>5.9200000000000003E-2</v>
      </c>
      <c r="B62">
        <v>5.92</v>
      </c>
      <c r="C62">
        <v>8</v>
      </c>
      <c r="D62">
        <v>62</v>
      </c>
      <c r="E62">
        <v>96.878378378378372</v>
      </c>
      <c r="F62">
        <v>84.5</v>
      </c>
      <c r="G62">
        <v>6.5168918918918921</v>
      </c>
      <c r="H62">
        <v>20.385135135135137</v>
      </c>
      <c r="I62">
        <v>371.3851351351351</v>
      </c>
      <c r="J62">
        <v>178.64864864864865</v>
      </c>
      <c r="K62">
        <v>44.954391891891895</v>
      </c>
      <c r="L62">
        <v>17.22972972972973</v>
      </c>
      <c r="M62">
        <v>1.2111486486486487</v>
      </c>
      <c r="N62">
        <v>2.7297297297297298</v>
      </c>
      <c r="O62">
        <v>5.1959459459459465</v>
      </c>
      <c r="P62">
        <v>1.9628378378378377</v>
      </c>
      <c r="Q62">
        <v>0.56418918918918914</v>
      </c>
      <c r="R62">
        <v>3.0591216216216215</v>
      </c>
      <c r="S62">
        <v>32.45945945945946</v>
      </c>
      <c r="T62">
        <v>5.8969594594594588</v>
      </c>
      <c r="U62">
        <v>10.719594594594595</v>
      </c>
      <c r="V62">
        <v>82.329391891891888</v>
      </c>
      <c r="W62">
        <v>0</v>
      </c>
      <c r="X62">
        <v>4094.6993243243242</v>
      </c>
      <c r="Y62">
        <v>0</v>
      </c>
      <c r="Z62">
        <v>5477.2466216216217</v>
      </c>
      <c r="AA62">
        <v>23.052364864864867</v>
      </c>
    </row>
    <row r="63" spans="1:27" x14ac:dyDescent="0.25">
      <c r="A63">
        <v>4.8399999999999999E-2</v>
      </c>
      <c r="B63">
        <v>4.84</v>
      </c>
      <c r="C63">
        <v>8</v>
      </c>
      <c r="D63">
        <v>63</v>
      </c>
      <c r="E63">
        <v>175.02479338842977</v>
      </c>
      <c r="F63">
        <v>1.0619834710743801</v>
      </c>
      <c r="G63">
        <v>2.2169421487603307</v>
      </c>
      <c r="H63">
        <v>1.9524793388429751</v>
      </c>
      <c r="I63">
        <v>0.79958677685950419</v>
      </c>
      <c r="J63">
        <v>32.690082644628099</v>
      </c>
      <c r="K63">
        <v>14.595041322314049</v>
      </c>
      <c r="L63">
        <v>5.7396694214876041</v>
      </c>
      <c r="M63">
        <v>1.0599173553719008</v>
      </c>
      <c r="N63">
        <v>0.25206611570247933</v>
      </c>
      <c r="O63">
        <v>0.19628099173553717</v>
      </c>
      <c r="P63">
        <v>0.58057851239669422</v>
      </c>
      <c r="Q63">
        <v>0.28305785123966948</v>
      </c>
      <c r="R63">
        <v>0.25206611570247933</v>
      </c>
      <c r="S63">
        <v>1.7066115702479339</v>
      </c>
      <c r="T63">
        <v>2.4235537190082646</v>
      </c>
      <c r="U63">
        <v>5.4566115702479339</v>
      </c>
      <c r="V63">
        <v>13.28099173553719</v>
      </c>
      <c r="W63">
        <v>48.826446280991739</v>
      </c>
      <c r="X63">
        <v>42.859504132231407</v>
      </c>
      <c r="Y63">
        <v>6.1177685950413228</v>
      </c>
      <c r="Z63">
        <v>805.29752066115702</v>
      </c>
      <c r="AA63">
        <v>4.276859504132231</v>
      </c>
    </row>
    <row r="64" spans="1:27" x14ac:dyDescent="0.25">
      <c r="A64">
        <v>1.77E-2</v>
      </c>
      <c r="B64">
        <v>1.77</v>
      </c>
      <c r="C64">
        <v>8</v>
      </c>
      <c r="D64">
        <v>64</v>
      </c>
      <c r="E64">
        <v>225.39548022598871</v>
      </c>
      <c r="F64">
        <v>0</v>
      </c>
      <c r="G64">
        <v>0</v>
      </c>
      <c r="H64">
        <v>5.5536723163841808</v>
      </c>
      <c r="I64">
        <v>0.2655367231638418</v>
      </c>
      <c r="J64">
        <v>94.412429378531087</v>
      </c>
      <c r="K64">
        <v>27.203389830508474</v>
      </c>
      <c r="L64">
        <v>35.72316384180791</v>
      </c>
      <c r="M64">
        <v>4.231638418079096</v>
      </c>
      <c r="N64">
        <v>0.68926553672316382</v>
      </c>
      <c r="O64">
        <v>1.7796610169491525</v>
      </c>
      <c r="P64">
        <v>1.8135593220338984</v>
      </c>
      <c r="Q64">
        <v>0.16384180790960451</v>
      </c>
      <c r="R64">
        <v>2.6666666666666665</v>
      </c>
      <c r="S64">
        <v>4.6666666666666661</v>
      </c>
      <c r="T64">
        <v>5.2146892655367232</v>
      </c>
      <c r="U64">
        <v>6.8644067796610173</v>
      </c>
      <c r="V64">
        <v>14.830508474576272</v>
      </c>
      <c r="W64">
        <v>129.5310734463277</v>
      </c>
      <c r="X64">
        <v>80.316384180790962</v>
      </c>
      <c r="Y64">
        <v>12.242937853107346</v>
      </c>
      <c r="Z64">
        <v>401.23728813559325</v>
      </c>
      <c r="AA64">
        <v>14.344632768361581</v>
      </c>
    </row>
    <row r="65" spans="1:27" x14ac:dyDescent="0.25">
      <c r="A65">
        <v>3.5499999999999997E-2</v>
      </c>
      <c r="B65">
        <v>3.55</v>
      </c>
      <c r="C65">
        <v>8</v>
      </c>
      <c r="D65">
        <v>65</v>
      </c>
      <c r="E65">
        <v>236.5380281690141</v>
      </c>
      <c r="F65">
        <v>0</v>
      </c>
      <c r="G65">
        <v>4.450704225352113</v>
      </c>
      <c r="H65">
        <v>3.4901408450704228</v>
      </c>
      <c r="I65">
        <v>0.55492957746478877</v>
      </c>
      <c r="J65">
        <v>34.645070422535213</v>
      </c>
      <c r="K65">
        <v>14.622535211267605</v>
      </c>
      <c r="L65">
        <v>12.445070422535212</v>
      </c>
      <c r="M65">
        <v>1.5464788732394368</v>
      </c>
      <c r="N65">
        <v>0.3436619718309859</v>
      </c>
      <c r="O65">
        <v>1.0845070422535212</v>
      </c>
      <c r="P65">
        <v>0.9802816901408451</v>
      </c>
      <c r="Q65">
        <v>0.23098591549295774</v>
      </c>
      <c r="R65">
        <v>0.56338028169014087</v>
      </c>
      <c r="S65">
        <v>2.4563380281690144</v>
      </c>
      <c r="T65">
        <v>3.4338028169014083</v>
      </c>
      <c r="U65">
        <v>4.1605633802816904</v>
      </c>
      <c r="V65">
        <v>10.71830985915493</v>
      </c>
      <c r="W65">
        <v>60.938028169014089</v>
      </c>
      <c r="X65">
        <v>58.91549295774648</v>
      </c>
      <c r="Y65">
        <v>9.887323943661972</v>
      </c>
      <c r="Z65">
        <v>1476.2788732394367</v>
      </c>
      <c r="AA65">
        <v>6.1605633802816904</v>
      </c>
    </row>
    <row r="66" spans="1:27" x14ac:dyDescent="0.25">
      <c r="A66">
        <v>4.2099999999999999E-2</v>
      </c>
      <c r="B66">
        <v>4.21</v>
      </c>
      <c r="C66">
        <v>8</v>
      </c>
      <c r="D66">
        <v>66</v>
      </c>
      <c r="E66">
        <v>392.38004750593825</v>
      </c>
      <c r="F66">
        <v>11.629453681710213</v>
      </c>
      <c r="G66">
        <v>5.8194774346793352</v>
      </c>
      <c r="H66">
        <v>3.0973871733966742</v>
      </c>
      <c r="I66">
        <v>5.6365795724465562</v>
      </c>
      <c r="J66">
        <v>151.04988123515437</v>
      </c>
      <c r="K66">
        <v>10.247030878859858</v>
      </c>
      <c r="L66">
        <v>12.342042755344419</v>
      </c>
      <c r="M66">
        <v>0.50356294536817103</v>
      </c>
      <c r="N66">
        <v>1.5178147268408551</v>
      </c>
      <c r="O66">
        <v>0.83135391923990498</v>
      </c>
      <c r="P66">
        <v>1.2541567695961997</v>
      </c>
      <c r="Q66">
        <v>0.51781472684085517</v>
      </c>
      <c r="R66">
        <v>2.2969121140142517</v>
      </c>
      <c r="S66">
        <v>16.36104513064133</v>
      </c>
      <c r="T66">
        <v>2.1377672209026128</v>
      </c>
      <c r="U66">
        <v>3.1163895486935864</v>
      </c>
      <c r="V66">
        <v>44.002375296912113</v>
      </c>
      <c r="W66">
        <v>369.19952494061755</v>
      </c>
      <c r="X66">
        <v>145.36104513064134</v>
      </c>
      <c r="Y66">
        <v>22.035629453681711</v>
      </c>
      <c r="Z66">
        <v>1025.0831353919241</v>
      </c>
      <c r="AA66">
        <v>6.3111638954869358</v>
      </c>
    </row>
    <row r="67" spans="1:27" x14ac:dyDescent="0.25">
      <c r="A67">
        <v>4.1500000000000002E-2</v>
      </c>
      <c r="B67">
        <v>4.1500000000000004</v>
      </c>
      <c r="C67">
        <v>8</v>
      </c>
      <c r="D67">
        <v>67</v>
      </c>
      <c r="E67">
        <v>113.75180722891565</v>
      </c>
      <c r="F67">
        <v>0</v>
      </c>
      <c r="G67">
        <v>1.542168674698795</v>
      </c>
      <c r="H67">
        <v>1.4795180722891563</v>
      </c>
      <c r="I67">
        <v>0.23855421686746986</v>
      </c>
      <c r="J67">
        <v>45.893975903614454</v>
      </c>
      <c r="K67">
        <v>14.918072289156624</v>
      </c>
      <c r="L67">
        <v>6.6939759036144579</v>
      </c>
      <c r="M67">
        <v>1.125301204819277</v>
      </c>
      <c r="N67">
        <v>0.31325301204819278</v>
      </c>
      <c r="O67">
        <v>0.10120481927710842</v>
      </c>
      <c r="P67">
        <v>0.580722891566265</v>
      </c>
      <c r="Q67">
        <v>0.21686746987951805</v>
      </c>
      <c r="R67">
        <v>0.1975903614457831</v>
      </c>
      <c r="S67">
        <v>2.1590361445783133</v>
      </c>
      <c r="T67">
        <v>2.2771084337349392</v>
      </c>
      <c r="U67">
        <v>2.8963855421686744</v>
      </c>
      <c r="V67">
        <v>14.424096385542168</v>
      </c>
      <c r="W67">
        <v>31.221686746987949</v>
      </c>
      <c r="X67">
        <v>20.159036144578312</v>
      </c>
      <c r="Y67">
        <v>2.5759036144578311</v>
      </c>
      <c r="Z67">
        <v>473.84819277108431</v>
      </c>
      <c r="AA67">
        <v>4.7108433734939759</v>
      </c>
    </row>
    <row r="68" spans="1:27" x14ac:dyDescent="0.25">
      <c r="A68">
        <v>3.27E-2</v>
      </c>
      <c r="B68">
        <v>3.27</v>
      </c>
      <c r="C68">
        <v>8</v>
      </c>
      <c r="D68">
        <v>68</v>
      </c>
      <c r="E68">
        <v>239.82874617737002</v>
      </c>
      <c r="F68">
        <v>0</v>
      </c>
      <c r="G68">
        <v>1.0519877675840978</v>
      </c>
      <c r="H68">
        <v>1.9877675840978593</v>
      </c>
      <c r="I68">
        <v>0</v>
      </c>
      <c r="J68">
        <v>17.128440366972477</v>
      </c>
      <c r="K68">
        <v>11.660550458715598</v>
      </c>
      <c r="L68">
        <v>7.1620795107033643</v>
      </c>
      <c r="M68">
        <v>1.7737003058103975</v>
      </c>
      <c r="N68">
        <v>0.23241590214067279</v>
      </c>
      <c r="O68">
        <v>0.29051987767584098</v>
      </c>
      <c r="P68">
        <v>0.58103975535168195</v>
      </c>
      <c r="Q68">
        <v>0.37308868501529052</v>
      </c>
      <c r="R68">
        <v>0.25076452599388377</v>
      </c>
      <c r="S68">
        <v>1.2201834862385321</v>
      </c>
      <c r="T68">
        <v>2.3333333333333335</v>
      </c>
      <c r="U68">
        <v>3.3363914373088686</v>
      </c>
      <c r="V68">
        <v>7.4403669724770634</v>
      </c>
      <c r="W68">
        <v>64.36391437308869</v>
      </c>
      <c r="X68">
        <v>26.256880733944953</v>
      </c>
      <c r="Y68">
        <v>3.2140672782874615</v>
      </c>
      <c r="Z68">
        <v>516.42201834862385</v>
      </c>
      <c r="AA68">
        <v>4.238532110091743</v>
      </c>
    </row>
    <row r="69" spans="1:27" x14ac:dyDescent="0.25">
      <c r="A69">
        <v>2.8500000000000001E-2</v>
      </c>
      <c r="B69">
        <v>2.85</v>
      </c>
      <c r="C69">
        <v>8</v>
      </c>
      <c r="D69">
        <v>69</v>
      </c>
      <c r="E69">
        <v>382.4807017543859</v>
      </c>
      <c r="F69">
        <v>45.115789473684217</v>
      </c>
      <c r="G69">
        <v>10.389473684210525</v>
      </c>
      <c r="H69">
        <v>9.280701754385964</v>
      </c>
      <c r="I69">
        <v>29.982456140350877</v>
      </c>
      <c r="J69">
        <v>246.71228070175437</v>
      </c>
      <c r="K69">
        <v>37.470175438596492</v>
      </c>
      <c r="L69">
        <v>18.231578947368419</v>
      </c>
      <c r="M69">
        <v>2.0350877192982453</v>
      </c>
      <c r="N69">
        <v>2.7157894736842105</v>
      </c>
      <c r="O69">
        <v>4.9333333333333336</v>
      </c>
      <c r="P69">
        <v>1.3649122807017544</v>
      </c>
      <c r="Q69">
        <v>0.92280701754385963</v>
      </c>
      <c r="R69">
        <v>2.7263157894736838</v>
      </c>
      <c r="S69">
        <v>16.375438596491229</v>
      </c>
      <c r="T69">
        <v>7.6491228070175437</v>
      </c>
      <c r="U69">
        <v>6.3122807017543856</v>
      </c>
      <c r="V69">
        <v>116.71929824561403</v>
      </c>
      <c r="W69">
        <v>961.52631578947364</v>
      </c>
      <c r="X69">
        <v>1039.0631578947368</v>
      </c>
      <c r="Y69">
        <v>203.97543859649124</v>
      </c>
      <c r="Z69">
        <v>3868.0842105263159</v>
      </c>
      <c r="AA69">
        <v>15.726315789473684</v>
      </c>
    </row>
    <row r="70" spans="1:27" x14ac:dyDescent="0.25">
      <c r="A70">
        <v>2.6599999999999999E-2</v>
      </c>
      <c r="B70">
        <v>2.6599999999999997</v>
      </c>
      <c r="C70">
        <v>8</v>
      </c>
      <c r="D70">
        <v>70</v>
      </c>
      <c r="E70">
        <v>461.25563909774445</v>
      </c>
      <c r="F70">
        <v>0</v>
      </c>
      <c r="G70">
        <v>1.2932330827067671</v>
      </c>
      <c r="H70">
        <v>4.4135338345864668</v>
      </c>
      <c r="I70">
        <v>0</v>
      </c>
      <c r="J70">
        <v>21.977443609022558</v>
      </c>
      <c r="K70">
        <v>17.631578947368421</v>
      </c>
      <c r="L70">
        <v>27.203007518796994</v>
      </c>
      <c r="M70">
        <v>2.5187969924812035</v>
      </c>
      <c r="N70">
        <v>0.77819548872180455</v>
      </c>
      <c r="O70">
        <v>2.3721804511278197</v>
      </c>
      <c r="P70">
        <v>0.90601503759398516</v>
      </c>
      <c r="Q70">
        <v>0.1954887218045113</v>
      </c>
      <c r="R70">
        <v>1.4849624060150379</v>
      </c>
      <c r="S70">
        <v>2.7556390977443614</v>
      </c>
      <c r="T70">
        <v>5.7857142857142865</v>
      </c>
      <c r="U70">
        <v>5.0864661654135341</v>
      </c>
      <c r="V70">
        <v>9.0375939849624061</v>
      </c>
      <c r="W70">
        <v>61.646616541353389</v>
      </c>
      <c r="X70">
        <v>31.172932330827074</v>
      </c>
      <c r="Y70">
        <v>5.3233082706766925</v>
      </c>
      <c r="Z70">
        <v>1173.281954887218</v>
      </c>
      <c r="AA70">
        <v>12.695488721804514</v>
      </c>
    </row>
    <row r="71" spans="1:27" x14ac:dyDescent="0.25">
      <c r="A71">
        <v>3.2500000000000001E-2</v>
      </c>
      <c r="B71">
        <v>3.25</v>
      </c>
      <c r="C71">
        <v>8</v>
      </c>
      <c r="D71">
        <v>71</v>
      </c>
      <c r="E71">
        <v>240.23999999999998</v>
      </c>
      <c r="F71">
        <v>9.1753846153846155</v>
      </c>
      <c r="G71">
        <v>5.3199999999999994</v>
      </c>
      <c r="H71">
        <v>4.8246153846153845</v>
      </c>
      <c r="I71">
        <v>15.024615384615384</v>
      </c>
      <c r="J71">
        <v>118.42153846153846</v>
      </c>
      <c r="K71">
        <v>22.695384615384619</v>
      </c>
      <c r="L71">
        <v>9.8523076923076935</v>
      </c>
      <c r="M71">
        <v>1.3723076923076922</v>
      </c>
      <c r="N71">
        <v>1.4523076923076923</v>
      </c>
      <c r="O71">
        <v>0.67692307692307696</v>
      </c>
      <c r="P71">
        <v>1.1538461538461537</v>
      </c>
      <c r="Q71">
        <v>0.35076923076923072</v>
      </c>
      <c r="R71">
        <v>3.7876923076923079</v>
      </c>
      <c r="S71">
        <v>7.7969230769230773</v>
      </c>
      <c r="T71">
        <v>3.9630769230769234</v>
      </c>
      <c r="U71">
        <v>4.6061538461538465</v>
      </c>
      <c r="V71">
        <v>27.027692307692309</v>
      </c>
      <c r="W71">
        <v>362.03384615384613</v>
      </c>
      <c r="X71">
        <v>1450.3261538461541</v>
      </c>
      <c r="Y71">
        <v>305.44923076923078</v>
      </c>
      <c r="Z71">
        <v>2456.5015384615385</v>
      </c>
      <c r="AA71">
        <v>6.0153846153846153</v>
      </c>
    </row>
    <row r="72" spans="1:27" x14ac:dyDescent="0.25">
      <c r="A72">
        <v>5.1499999999999997E-2</v>
      </c>
      <c r="B72">
        <v>5.1499999999999995</v>
      </c>
      <c r="C72">
        <v>8</v>
      </c>
      <c r="D72">
        <v>72</v>
      </c>
      <c r="E72">
        <v>348.41165048543689</v>
      </c>
      <c r="F72">
        <v>0</v>
      </c>
      <c r="G72">
        <v>3.63495145631068</v>
      </c>
      <c r="H72">
        <v>3.8873786407766993</v>
      </c>
      <c r="I72">
        <v>2.5592233009708738</v>
      </c>
      <c r="J72">
        <v>131.11262135922331</v>
      </c>
      <c r="K72">
        <v>16.139805825242721</v>
      </c>
      <c r="L72">
        <v>7.8077669902912632</v>
      </c>
      <c r="M72">
        <v>0.87572815533980586</v>
      </c>
      <c r="N72">
        <v>0.44466019417475733</v>
      </c>
      <c r="O72">
        <v>0.4038834951456311</v>
      </c>
      <c r="P72">
        <v>0.72815533980582536</v>
      </c>
      <c r="Q72">
        <v>0.33786407766990295</v>
      </c>
      <c r="R72">
        <v>0.91650485436893203</v>
      </c>
      <c r="S72">
        <v>2.6640776699029129</v>
      </c>
      <c r="T72">
        <v>3.6097087378640782</v>
      </c>
      <c r="U72">
        <v>3.0951456310679615</v>
      </c>
      <c r="V72">
        <v>26.856310679611653</v>
      </c>
      <c r="W72">
        <v>219.22330097087382</v>
      </c>
      <c r="X72">
        <v>81.357281553398067</v>
      </c>
      <c r="Y72">
        <v>16.01359223300971</v>
      </c>
      <c r="Z72">
        <v>3400.9456310679611</v>
      </c>
      <c r="AA72">
        <v>5.1592233009708748</v>
      </c>
    </row>
    <row r="73" spans="1:27" x14ac:dyDescent="0.25">
      <c r="A73">
        <v>2.9399999999999999E-2</v>
      </c>
      <c r="B73">
        <v>2.94</v>
      </c>
      <c r="C73">
        <v>8</v>
      </c>
      <c r="D73">
        <v>73</v>
      </c>
      <c r="E73">
        <v>444.11224489795921</v>
      </c>
      <c r="F73">
        <v>0</v>
      </c>
      <c r="G73">
        <v>0</v>
      </c>
      <c r="H73">
        <v>2.2925170068027212</v>
      </c>
      <c r="I73">
        <v>0</v>
      </c>
      <c r="J73">
        <v>9.0340136054421762</v>
      </c>
      <c r="K73">
        <v>18.292517006802722</v>
      </c>
      <c r="L73">
        <v>8.7108843537414966</v>
      </c>
      <c r="M73">
        <v>1.6904761904761905</v>
      </c>
      <c r="N73">
        <v>0.36394557823129253</v>
      </c>
      <c r="O73">
        <v>0</v>
      </c>
      <c r="P73">
        <v>0.391156462585034</v>
      </c>
      <c r="Q73">
        <v>5.1020408163265307E-2</v>
      </c>
      <c r="R73">
        <v>0</v>
      </c>
      <c r="S73">
        <v>0.58163265306122447</v>
      </c>
      <c r="T73">
        <v>1.5918367346938775</v>
      </c>
      <c r="U73">
        <v>5.0714285714285712</v>
      </c>
      <c r="V73">
        <v>6.3673469387755102</v>
      </c>
      <c r="W73">
        <v>77.013605442176868</v>
      </c>
      <c r="X73">
        <v>28.204081632653061</v>
      </c>
      <c r="Y73">
        <v>3.6632653061224487</v>
      </c>
      <c r="Z73">
        <v>210.65646258503403</v>
      </c>
      <c r="AA73">
        <v>5.8673469387755102</v>
      </c>
    </row>
    <row r="74" spans="1:27" x14ac:dyDescent="0.25">
      <c r="A74">
        <v>2.2499999999999999E-2</v>
      </c>
      <c r="B74">
        <v>2.25</v>
      </c>
      <c r="C74">
        <v>8</v>
      </c>
      <c r="D74">
        <v>74</v>
      </c>
      <c r="E74">
        <v>631.77333333333331</v>
      </c>
      <c r="F74">
        <v>0</v>
      </c>
      <c r="G74">
        <v>4.7688888888888892</v>
      </c>
      <c r="H74">
        <v>8.9555555555555557</v>
      </c>
      <c r="I74">
        <v>1.5111111111111111</v>
      </c>
      <c r="J74">
        <v>41.604444444444447</v>
      </c>
      <c r="K74">
        <v>38.048888888888889</v>
      </c>
      <c r="L74">
        <v>32.955555555555556</v>
      </c>
      <c r="M74">
        <v>4.333333333333333</v>
      </c>
      <c r="N74">
        <v>0.78222222222222226</v>
      </c>
      <c r="O74">
        <v>9.9422222222222221</v>
      </c>
      <c r="P74">
        <v>1.4266666666666667</v>
      </c>
      <c r="Q74">
        <v>0.23111111111111113</v>
      </c>
      <c r="R74">
        <v>2.2666666666666666</v>
      </c>
      <c r="S74">
        <v>3.8266666666666662</v>
      </c>
      <c r="T74">
        <v>11.12</v>
      </c>
      <c r="U74">
        <v>10.373333333333333</v>
      </c>
      <c r="V74">
        <v>17.111111111111111</v>
      </c>
      <c r="W74">
        <v>76.484444444444449</v>
      </c>
      <c r="X74">
        <v>54.773333333333333</v>
      </c>
      <c r="Y74">
        <v>9.9422222222222221</v>
      </c>
      <c r="Z74">
        <v>522.48</v>
      </c>
      <c r="AA74">
        <v>21.031111111111112</v>
      </c>
    </row>
    <row r="75" spans="1:27" x14ac:dyDescent="0.25">
      <c r="A75">
        <v>2.6499999999999999E-2</v>
      </c>
      <c r="B75">
        <v>2.65</v>
      </c>
      <c r="C75">
        <v>8</v>
      </c>
      <c r="D75">
        <v>75</v>
      </c>
      <c r="E75">
        <v>110.81132075471697</v>
      </c>
      <c r="F75">
        <v>0</v>
      </c>
      <c r="G75">
        <v>5.9622641509433967</v>
      </c>
      <c r="H75">
        <v>5.4679245283018867</v>
      </c>
      <c r="I75">
        <v>1.6339622641509435</v>
      </c>
      <c r="J75">
        <v>78.73207547169811</v>
      </c>
      <c r="K75">
        <v>29.954716981132076</v>
      </c>
      <c r="L75">
        <v>18.150943396226417</v>
      </c>
      <c r="M75">
        <v>2.1132075471698113</v>
      </c>
      <c r="N75">
        <v>0.86415094339622645</v>
      </c>
      <c r="O75">
        <v>3.9245283018867929</v>
      </c>
      <c r="P75">
        <v>1.2113207547169811</v>
      </c>
      <c r="Q75">
        <v>0.19622641509433963</v>
      </c>
      <c r="R75">
        <v>1.0490566037735849</v>
      </c>
      <c r="S75">
        <v>4.8716981132075476</v>
      </c>
      <c r="T75">
        <v>6.6716981132075475</v>
      </c>
      <c r="U75">
        <v>5.2113207547169811</v>
      </c>
      <c r="V75">
        <v>19.920754716981133</v>
      </c>
      <c r="W75">
        <v>85.981132075471706</v>
      </c>
      <c r="X75">
        <v>84.901886792452842</v>
      </c>
      <c r="Y75">
        <v>25.075471698113208</v>
      </c>
      <c r="Z75">
        <v>875.45283018867917</v>
      </c>
      <c r="AA75">
        <v>14.120754716981134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6B19-3CCA-48E7-899E-C0AF7D7FC8AE}">
  <dimension ref="A1:X2"/>
  <sheetViews>
    <sheetView tabSelected="1" workbookViewId="0">
      <selection activeCell="W11" sqref="W11"/>
    </sheetView>
  </sheetViews>
  <sheetFormatPr defaultRowHeight="15" x14ac:dyDescent="0.25"/>
  <cols>
    <col min="3" max="3" width="11.42578125" bestFit="1" customWidth="1"/>
  </cols>
  <sheetData>
    <row r="1" spans="1:24" x14ac:dyDescent="0.25">
      <c r="A1" t="s">
        <v>479</v>
      </c>
      <c r="B1" t="s">
        <v>480</v>
      </c>
      <c r="C1" t="s">
        <v>481</v>
      </c>
      <c r="D1" t="s">
        <v>482</v>
      </c>
      <c r="E1" t="s">
        <v>483</v>
      </c>
      <c r="F1" t="s">
        <v>484</v>
      </c>
      <c r="G1" t="s">
        <v>485</v>
      </c>
      <c r="H1" t="s">
        <v>486</v>
      </c>
      <c r="I1" t="s">
        <v>487</v>
      </c>
      <c r="J1" t="s">
        <v>488</v>
      </c>
      <c r="K1" t="s">
        <v>489</v>
      </c>
      <c r="L1" t="s">
        <v>490</v>
      </c>
      <c r="M1" t="s">
        <v>491</v>
      </c>
      <c r="N1" t="s">
        <v>492</v>
      </c>
      <c r="O1" t="s">
        <v>493</v>
      </c>
      <c r="P1" t="s">
        <v>494</v>
      </c>
      <c r="Q1" t="s">
        <v>495</v>
      </c>
      <c r="R1" t="s">
        <v>496</v>
      </c>
      <c r="S1" t="s">
        <v>497</v>
      </c>
      <c r="T1" t="s">
        <v>498</v>
      </c>
      <c r="U1" t="s">
        <v>499</v>
      </c>
      <c r="V1" t="s">
        <v>500</v>
      </c>
      <c r="W1" t="s">
        <v>501</v>
      </c>
      <c r="X1" t="s">
        <v>502</v>
      </c>
    </row>
    <row r="2" spans="1:24" x14ac:dyDescent="0.25">
      <c r="A2" t="s">
        <v>478</v>
      </c>
      <c r="B2">
        <v>1.71</v>
      </c>
      <c r="C2">
        <v>4.8499999999999996</v>
      </c>
      <c r="D2">
        <v>4.3600000000000003</v>
      </c>
      <c r="E2">
        <v>0.88</v>
      </c>
      <c r="F2">
        <v>2.85</v>
      </c>
      <c r="G2">
        <v>6.44</v>
      </c>
      <c r="H2">
        <v>2.58</v>
      </c>
      <c r="I2">
        <v>16.010000000000002</v>
      </c>
      <c r="J2">
        <v>0.52</v>
      </c>
      <c r="K2">
        <v>1.6</v>
      </c>
      <c r="L2">
        <v>1.22</v>
      </c>
      <c r="M2">
        <v>0.45</v>
      </c>
      <c r="N2">
        <v>0.37</v>
      </c>
      <c r="O2">
        <v>0.81</v>
      </c>
      <c r="P2">
        <v>0.41</v>
      </c>
      <c r="Q2">
        <v>4.04</v>
      </c>
      <c r="R2">
        <v>0.52</v>
      </c>
      <c r="S2">
        <v>1.59</v>
      </c>
      <c r="T2">
        <v>14.68</v>
      </c>
      <c r="U2">
        <v>15.95</v>
      </c>
      <c r="V2">
        <v>0.49</v>
      </c>
      <c r="W2">
        <v>11.8</v>
      </c>
      <c r="X2">
        <v>4.1900000000000004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DEDB721378F4ABE01DF43C082BF72" ma:contentTypeVersion="4" ma:contentTypeDescription="Create a new document." ma:contentTypeScope="" ma:versionID="ab235ce3fdfaabc05946528347d3c446">
  <xsd:schema xmlns:xsd="http://www.w3.org/2001/XMLSchema" xmlns:xs="http://www.w3.org/2001/XMLSchema" xmlns:p="http://schemas.microsoft.com/office/2006/metadata/properties" xmlns:ns2="8b164f46-aaef-4c2e-9818-4011414ce37c" targetNamespace="http://schemas.microsoft.com/office/2006/metadata/properties" ma:root="true" ma:fieldsID="c7be0201ea5b6252b9cc4f2737abd279" ns2:_="">
    <xsd:import namespace="8b164f46-aaef-4c2e-9818-4011414ce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64f46-aaef-4c2e-9818-4011414ce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6783A-A267-4F9B-B561-4FBFD76626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BF396C-A8BC-429C-BC64-6793599A0D0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9F1A042-6E33-4F2E-8943-AD5974CD40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64f46-aaef-4c2e-9818-4011414ce3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BH batch Plate 1 23plex</vt:lpstr>
      <vt:lpstr>Analysis plate 1</vt:lpstr>
      <vt:lpstr>Standard Curve</vt:lpstr>
      <vt:lpstr>Data_Reordered</vt:lpstr>
      <vt:lpstr>Detectability 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Suresh, Ramakrishna</cp:lastModifiedBy>
  <cp:revision/>
  <dcterms:created xsi:type="dcterms:W3CDTF">2021-04-08T20:43:00Z</dcterms:created>
  <dcterms:modified xsi:type="dcterms:W3CDTF">2025-03-04T19:37:05Z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0x0101004D7DEDB721378F4ABE01DF43C082BF72</vt:lpwstr>
  </property>
</Properties>
</file>