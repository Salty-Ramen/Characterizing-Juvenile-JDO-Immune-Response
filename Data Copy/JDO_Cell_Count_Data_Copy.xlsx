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tt-my.sharepoint.com/personal/ras365_pitt_edu/Documents/Documents/Research/JDO Project/Data Copy/"/>
    </mc:Choice>
  </mc:AlternateContent>
  <xr:revisionPtr revIDLastSave="41" documentId="13_ncr:1_{BB456BEF-2190-E746-A1AE-FC6A5DBE29BC}" xr6:coauthVersionLast="47" xr6:coauthVersionMax="47" xr10:uidLastSave="{0FB98B50-FA13-4D80-A7F7-DE78597ECFAC}"/>
  <bookViews>
    <workbookView xWindow="22932" yWindow="-108" windowWidth="30936" windowHeight="18696" firstSheet="6" activeTab="10" xr2:uid="{E8208104-5DE9-E74B-A6D1-344D50899D9C}"/>
  </bookViews>
  <sheets>
    <sheet name="Sheet1" sheetId="1" r:id="rId1"/>
    <sheet name="Female Lymphoid Panel Day 8" sheetId="7" r:id="rId2"/>
    <sheet name="Female Lymphoid Panel Day 5" sheetId="8" r:id="rId3"/>
    <sheet name="Female Lymphoid Panel Day 4" sheetId="9" r:id="rId4"/>
    <sheet name="Female Lymphoid Panel Day 3" sheetId="10" r:id="rId5"/>
    <sheet name="Female Lymphoid Panel Day 0" sheetId="11" r:id="rId6"/>
    <sheet name="Male Lymphoid Panel Day 8" sheetId="2" r:id="rId7"/>
    <sheet name="Male Lymphoid Panel Day 5" sheetId="3" r:id="rId8"/>
    <sheet name="Male Lymphoid Panel Day 3" sheetId="5" r:id="rId9"/>
    <sheet name="Male Lymphoid Panel Day 0" sheetId="6" r:id="rId10"/>
    <sheet name="Male Lymphoid Panel Day 4" sheetId="4" r:id="rId11"/>
    <sheet name="Male Myeloid Panel Day 3" sheetId="12" r:id="rId12"/>
    <sheet name="Male Myeloid Panel Day 5" sheetId="16" r:id="rId13"/>
    <sheet name="Male Myeloid Panel Day 8" sheetId="17" r:id="rId14"/>
    <sheet name="Male Myeloid Panel Day 0" sheetId="18" r:id="rId15"/>
    <sheet name="Male Myeloid Panel Day 4" sheetId="13" r:id="rId16"/>
    <sheet name="Female Myeloid Panel Day 0" sheetId="19" r:id="rId17"/>
    <sheet name="Female Myeloid Panel Day 3" sheetId="20" r:id="rId18"/>
    <sheet name="Female Myeloid Panel Day 4" sheetId="21" r:id="rId19"/>
    <sheet name="Female Myeloid Panel Day 5" sheetId="22" r:id="rId20"/>
    <sheet name="Female Myeloid panel day 8" sheetId="23" r:id="rId21"/>
    <sheet name="MALE CELL COUNTS" sheetId="14" r:id="rId22"/>
    <sheet name="FEMALE CELL COUNTS" sheetId="15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23" l="1"/>
  <c r="U36" i="23"/>
  <c r="E70" i="23"/>
  <c r="U70" i="23" s="1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H53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H52" i="23"/>
  <c r="G52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H51" i="23"/>
  <c r="G51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H50" i="23"/>
  <c r="G50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H49" i="23"/>
  <c r="G49" i="23"/>
  <c r="U48" i="23"/>
  <c r="T48" i="23"/>
  <c r="S48" i="23"/>
  <c r="R48" i="23"/>
  <c r="Q48" i="23"/>
  <c r="P48" i="23"/>
  <c r="O48" i="23"/>
  <c r="N48" i="23"/>
  <c r="M48" i="23"/>
  <c r="L48" i="23"/>
  <c r="K48" i="23"/>
  <c r="J48" i="23"/>
  <c r="H48" i="23"/>
  <c r="G48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H47" i="23"/>
  <c r="G47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H46" i="23"/>
  <c r="G46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H45" i="23"/>
  <c r="G45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H44" i="23"/>
  <c r="G44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H43" i="23"/>
  <c r="G43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H42" i="23"/>
  <c r="G42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H41" i="23"/>
  <c r="G41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H40" i="23"/>
  <c r="G40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H39" i="23"/>
  <c r="G39" i="23"/>
  <c r="T36" i="23"/>
  <c r="S36" i="23"/>
  <c r="R36" i="23"/>
  <c r="R70" i="23" s="1"/>
  <c r="Q36" i="23"/>
  <c r="P36" i="23"/>
  <c r="O36" i="23"/>
  <c r="O70" i="23" s="1"/>
  <c r="N36" i="23"/>
  <c r="M36" i="23"/>
  <c r="M70" i="23" s="1"/>
  <c r="L36" i="23"/>
  <c r="K36" i="23"/>
  <c r="K70" i="23" s="1"/>
  <c r="J36" i="23"/>
  <c r="J70" i="23" s="1"/>
  <c r="H36" i="23"/>
  <c r="H70" i="23" s="1"/>
  <c r="G36" i="23"/>
  <c r="F36" i="23"/>
  <c r="U35" i="23"/>
  <c r="T35" i="23"/>
  <c r="S35" i="23"/>
  <c r="R35" i="23"/>
  <c r="R69" i="23" s="1"/>
  <c r="Q35" i="23"/>
  <c r="P35" i="23"/>
  <c r="O35" i="23"/>
  <c r="O69" i="23" s="1"/>
  <c r="N35" i="23"/>
  <c r="M35" i="23"/>
  <c r="M69" i="23" s="1"/>
  <c r="L35" i="23"/>
  <c r="K35" i="23"/>
  <c r="K69" i="23" s="1"/>
  <c r="J35" i="23"/>
  <c r="J69" i="23" s="1"/>
  <c r="H35" i="23"/>
  <c r="H69" i="23" s="1"/>
  <c r="G35" i="23"/>
  <c r="F35" i="23"/>
  <c r="U34" i="23"/>
  <c r="U68" i="23" s="1"/>
  <c r="T34" i="23"/>
  <c r="S34" i="23"/>
  <c r="R34" i="23"/>
  <c r="R68" i="23" s="1"/>
  <c r="Q34" i="23"/>
  <c r="P34" i="23"/>
  <c r="O34" i="23"/>
  <c r="O68" i="23" s="1"/>
  <c r="N34" i="23"/>
  <c r="M34" i="23"/>
  <c r="M68" i="23" s="1"/>
  <c r="L34" i="23"/>
  <c r="K34" i="23"/>
  <c r="K68" i="23" s="1"/>
  <c r="J34" i="23"/>
  <c r="J68" i="23" s="1"/>
  <c r="H34" i="23"/>
  <c r="H68" i="23" s="1"/>
  <c r="G34" i="23"/>
  <c r="F34" i="23"/>
  <c r="U33" i="23"/>
  <c r="T33" i="23"/>
  <c r="S33" i="23"/>
  <c r="R33" i="23"/>
  <c r="R67" i="23" s="1"/>
  <c r="Q33" i="23"/>
  <c r="P33" i="23"/>
  <c r="O33" i="23"/>
  <c r="O67" i="23" s="1"/>
  <c r="N33" i="23"/>
  <c r="M33" i="23"/>
  <c r="M67" i="23" s="1"/>
  <c r="L33" i="23"/>
  <c r="K33" i="23"/>
  <c r="K67" i="23" s="1"/>
  <c r="J33" i="23"/>
  <c r="J67" i="23" s="1"/>
  <c r="H33" i="23"/>
  <c r="H67" i="23" s="1"/>
  <c r="G33" i="23"/>
  <c r="F33" i="23"/>
  <c r="U32" i="23"/>
  <c r="T32" i="23"/>
  <c r="S32" i="23"/>
  <c r="R32" i="23"/>
  <c r="R66" i="23" s="1"/>
  <c r="Q32" i="23"/>
  <c r="P32" i="23"/>
  <c r="O32" i="23"/>
  <c r="O66" i="23" s="1"/>
  <c r="N32" i="23"/>
  <c r="M32" i="23"/>
  <c r="M66" i="23" s="1"/>
  <c r="L32" i="23"/>
  <c r="K32" i="23"/>
  <c r="K66" i="23" s="1"/>
  <c r="J32" i="23"/>
  <c r="J66" i="23" s="1"/>
  <c r="H32" i="23"/>
  <c r="H66" i="23" s="1"/>
  <c r="G32" i="23"/>
  <c r="F32" i="23"/>
  <c r="U31" i="23"/>
  <c r="T31" i="23"/>
  <c r="S31" i="23"/>
  <c r="R31" i="23"/>
  <c r="R65" i="23" s="1"/>
  <c r="Q31" i="23"/>
  <c r="P31" i="23"/>
  <c r="O31" i="23"/>
  <c r="O65" i="23" s="1"/>
  <c r="N31" i="23"/>
  <c r="M31" i="23"/>
  <c r="M65" i="23" s="1"/>
  <c r="L31" i="23"/>
  <c r="K31" i="23"/>
  <c r="K65" i="23" s="1"/>
  <c r="J31" i="23"/>
  <c r="J65" i="23" s="1"/>
  <c r="H31" i="23"/>
  <c r="H65" i="23" s="1"/>
  <c r="G31" i="23"/>
  <c r="F31" i="23"/>
  <c r="U30" i="23"/>
  <c r="U64" i="23" s="1"/>
  <c r="T30" i="23"/>
  <c r="S30" i="23"/>
  <c r="R30" i="23"/>
  <c r="R64" i="23" s="1"/>
  <c r="Q30" i="23"/>
  <c r="P30" i="23"/>
  <c r="O30" i="23"/>
  <c r="O64" i="23" s="1"/>
  <c r="N30" i="23"/>
  <c r="M30" i="23"/>
  <c r="M64" i="23" s="1"/>
  <c r="L30" i="23"/>
  <c r="K30" i="23"/>
  <c r="K64" i="23" s="1"/>
  <c r="J30" i="23"/>
  <c r="J64" i="23" s="1"/>
  <c r="H30" i="23"/>
  <c r="H64" i="23" s="1"/>
  <c r="G30" i="23"/>
  <c r="F30" i="23"/>
  <c r="U29" i="23"/>
  <c r="T29" i="23"/>
  <c r="S29" i="23"/>
  <c r="R29" i="23"/>
  <c r="R63" i="23" s="1"/>
  <c r="Q29" i="23"/>
  <c r="P29" i="23"/>
  <c r="O29" i="23"/>
  <c r="O63" i="23" s="1"/>
  <c r="N29" i="23"/>
  <c r="M29" i="23"/>
  <c r="M63" i="23" s="1"/>
  <c r="L29" i="23"/>
  <c r="K29" i="23"/>
  <c r="K63" i="23" s="1"/>
  <c r="J29" i="23"/>
  <c r="J63" i="23" s="1"/>
  <c r="H29" i="23"/>
  <c r="H63" i="23" s="1"/>
  <c r="G29" i="23"/>
  <c r="F29" i="23"/>
  <c r="U28" i="23"/>
  <c r="T28" i="23"/>
  <c r="S28" i="23"/>
  <c r="R28" i="23"/>
  <c r="R62" i="23" s="1"/>
  <c r="Q28" i="23"/>
  <c r="P28" i="23"/>
  <c r="O28" i="23"/>
  <c r="O62" i="23" s="1"/>
  <c r="N28" i="23"/>
  <c r="M28" i="23"/>
  <c r="M62" i="23" s="1"/>
  <c r="L28" i="23"/>
  <c r="K28" i="23"/>
  <c r="K62" i="23" s="1"/>
  <c r="J28" i="23"/>
  <c r="J62" i="23" s="1"/>
  <c r="H28" i="23"/>
  <c r="H62" i="23" s="1"/>
  <c r="G28" i="23"/>
  <c r="F28" i="23"/>
  <c r="U27" i="23"/>
  <c r="T27" i="23"/>
  <c r="S27" i="23"/>
  <c r="R27" i="23"/>
  <c r="R61" i="23" s="1"/>
  <c r="Q27" i="23"/>
  <c r="P27" i="23"/>
  <c r="O27" i="23"/>
  <c r="O61" i="23" s="1"/>
  <c r="N27" i="23"/>
  <c r="M27" i="23"/>
  <c r="M61" i="23" s="1"/>
  <c r="L27" i="23"/>
  <c r="K27" i="23"/>
  <c r="K61" i="23" s="1"/>
  <c r="J27" i="23"/>
  <c r="J61" i="23" s="1"/>
  <c r="H27" i="23"/>
  <c r="H61" i="23" s="1"/>
  <c r="G27" i="23"/>
  <c r="F27" i="23"/>
  <c r="U26" i="23"/>
  <c r="U60" i="23" s="1"/>
  <c r="T26" i="23"/>
  <c r="S26" i="23"/>
  <c r="R26" i="23"/>
  <c r="R60" i="23" s="1"/>
  <c r="Q26" i="23"/>
  <c r="P26" i="23"/>
  <c r="O26" i="23"/>
  <c r="O60" i="23" s="1"/>
  <c r="N26" i="23"/>
  <c r="M26" i="23"/>
  <c r="M60" i="23" s="1"/>
  <c r="L26" i="23"/>
  <c r="K26" i="23"/>
  <c r="K60" i="23" s="1"/>
  <c r="J26" i="23"/>
  <c r="J60" i="23" s="1"/>
  <c r="H26" i="23"/>
  <c r="H60" i="23" s="1"/>
  <c r="G26" i="23"/>
  <c r="F26" i="23"/>
  <c r="U25" i="23"/>
  <c r="T25" i="23"/>
  <c r="S25" i="23"/>
  <c r="R25" i="23"/>
  <c r="R59" i="23" s="1"/>
  <c r="Q25" i="23"/>
  <c r="P25" i="23"/>
  <c r="O25" i="23"/>
  <c r="O59" i="23" s="1"/>
  <c r="N25" i="23"/>
  <c r="M25" i="23"/>
  <c r="M59" i="23" s="1"/>
  <c r="L25" i="23"/>
  <c r="K25" i="23"/>
  <c r="K59" i="23" s="1"/>
  <c r="J25" i="23"/>
  <c r="J59" i="23" s="1"/>
  <c r="H25" i="23"/>
  <c r="H59" i="23" s="1"/>
  <c r="G25" i="23"/>
  <c r="F25" i="23"/>
  <c r="U24" i="23"/>
  <c r="T24" i="23"/>
  <c r="S24" i="23"/>
  <c r="R24" i="23"/>
  <c r="R58" i="23" s="1"/>
  <c r="Q24" i="23"/>
  <c r="P24" i="23"/>
  <c r="O24" i="23"/>
  <c r="O58" i="23" s="1"/>
  <c r="N24" i="23"/>
  <c r="M24" i="23"/>
  <c r="M58" i="23" s="1"/>
  <c r="L24" i="23"/>
  <c r="K24" i="23"/>
  <c r="K58" i="23" s="1"/>
  <c r="J24" i="23"/>
  <c r="J58" i="23" s="1"/>
  <c r="H24" i="23"/>
  <c r="H58" i="23" s="1"/>
  <c r="G24" i="23"/>
  <c r="F24" i="23"/>
  <c r="U23" i="23"/>
  <c r="T23" i="23"/>
  <c r="S23" i="23"/>
  <c r="R23" i="23"/>
  <c r="R57" i="23" s="1"/>
  <c r="Q23" i="23"/>
  <c r="P23" i="23"/>
  <c r="O23" i="23"/>
  <c r="O57" i="23" s="1"/>
  <c r="N23" i="23"/>
  <c r="M23" i="23"/>
  <c r="M57" i="23" s="1"/>
  <c r="L23" i="23"/>
  <c r="K23" i="23"/>
  <c r="K57" i="23" s="1"/>
  <c r="J23" i="23"/>
  <c r="J57" i="23" s="1"/>
  <c r="H23" i="23"/>
  <c r="H57" i="23" s="1"/>
  <c r="G23" i="23"/>
  <c r="F23" i="23"/>
  <c r="U22" i="23"/>
  <c r="U56" i="23" s="1"/>
  <c r="T22" i="23"/>
  <c r="S22" i="23"/>
  <c r="R22" i="23"/>
  <c r="R56" i="23" s="1"/>
  <c r="Q22" i="23"/>
  <c r="P22" i="23"/>
  <c r="O22" i="23"/>
  <c r="O56" i="23" s="1"/>
  <c r="N22" i="23"/>
  <c r="M22" i="23"/>
  <c r="M56" i="23" s="1"/>
  <c r="L22" i="23"/>
  <c r="K22" i="23"/>
  <c r="K56" i="23" s="1"/>
  <c r="J22" i="23"/>
  <c r="J56" i="23" s="1"/>
  <c r="H22" i="23"/>
  <c r="H56" i="23" s="1"/>
  <c r="G22" i="23"/>
  <c r="F22" i="23"/>
  <c r="G22" i="22"/>
  <c r="G53" i="22"/>
  <c r="U36" i="22"/>
  <c r="E70" i="22"/>
  <c r="E69" i="22"/>
  <c r="E68" i="22"/>
  <c r="E67" i="22"/>
  <c r="E66" i="22"/>
  <c r="E65" i="22"/>
  <c r="E64" i="22"/>
  <c r="E63" i="22"/>
  <c r="E62" i="22"/>
  <c r="E61" i="22"/>
  <c r="E60" i="22"/>
  <c r="E59" i="22"/>
  <c r="E58" i="22"/>
  <c r="E57" i="22"/>
  <c r="E56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H53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H52" i="22"/>
  <c r="G52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H51" i="22"/>
  <c r="G51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H50" i="22"/>
  <c r="G50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H49" i="22"/>
  <c r="G49" i="22"/>
  <c r="U48" i="22"/>
  <c r="T48" i="22"/>
  <c r="S48" i="22"/>
  <c r="R48" i="22"/>
  <c r="Q48" i="22"/>
  <c r="P48" i="22"/>
  <c r="O48" i="22"/>
  <c r="N48" i="22"/>
  <c r="M48" i="22"/>
  <c r="L48" i="22"/>
  <c r="K48" i="22"/>
  <c r="J48" i="22"/>
  <c r="H48" i="22"/>
  <c r="G48" i="22"/>
  <c r="U47" i="22"/>
  <c r="T47" i="22"/>
  <c r="S47" i="22"/>
  <c r="R47" i="22"/>
  <c r="Q47" i="22"/>
  <c r="P47" i="22"/>
  <c r="O47" i="22"/>
  <c r="N47" i="22"/>
  <c r="M47" i="22"/>
  <c r="L47" i="22"/>
  <c r="K47" i="22"/>
  <c r="J47" i="22"/>
  <c r="H47" i="22"/>
  <c r="G47" i="22"/>
  <c r="U46" i="22"/>
  <c r="T46" i="22"/>
  <c r="S46" i="22"/>
  <c r="R46" i="22"/>
  <c r="Q46" i="22"/>
  <c r="P46" i="22"/>
  <c r="O46" i="22"/>
  <c r="N46" i="22"/>
  <c r="M46" i="22"/>
  <c r="L46" i="22"/>
  <c r="K46" i="22"/>
  <c r="J46" i="22"/>
  <c r="H46" i="22"/>
  <c r="G46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H45" i="22"/>
  <c r="G45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H44" i="22"/>
  <c r="G44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H43" i="22"/>
  <c r="G43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H42" i="22"/>
  <c r="G42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H41" i="22"/>
  <c r="G41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H40" i="22"/>
  <c r="G40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H39" i="22"/>
  <c r="G39" i="22"/>
  <c r="U70" i="22"/>
  <c r="T36" i="22"/>
  <c r="S36" i="22"/>
  <c r="R36" i="22"/>
  <c r="Q36" i="22"/>
  <c r="P36" i="22"/>
  <c r="O36" i="22"/>
  <c r="N36" i="22"/>
  <c r="M36" i="22"/>
  <c r="L36" i="22"/>
  <c r="K36" i="22"/>
  <c r="K70" i="22" s="1"/>
  <c r="J36" i="22"/>
  <c r="H36" i="22"/>
  <c r="G36" i="22"/>
  <c r="F36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H35" i="22"/>
  <c r="G35" i="22"/>
  <c r="F35" i="22"/>
  <c r="U34" i="22"/>
  <c r="U68" i="22" s="1"/>
  <c r="T34" i="22"/>
  <c r="S34" i="22"/>
  <c r="R34" i="22"/>
  <c r="Q34" i="22"/>
  <c r="P34" i="22"/>
  <c r="O34" i="22"/>
  <c r="N34" i="22"/>
  <c r="M34" i="22"/>
  <c r="L34" i="22"/>
  <c r="K34" i="22"/>
  <c r="J34" i="22"/>
  <c r="H34" i="22"/>
  <c r="G34" i="22"/>
  <c r="F34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H33" i="22"/>
  <c r="G33" i="22"/>
  <c r="F33" i="22"/>
  <c r="U32" i="22"/>
  <c r="U66" i="22" s="1"/>
  <c r="T32" i="22"/>
  <c r="S32" i="22"/>
  <c r="R32" i="22"/>
  <c r="Q32" i="22"/>
  <c r="P32" i="22"/>
  <c r="O32" i="22"/>
  <c r="N32" i="22"/>
  <c r="M32" i="22"/>
  <c r="L32" i="22"/>
  <c r="K32" i="22"/>
  <c r="J32" i="22"/>
  <c r="H32" i="22"/>
  <c r="G32" i="22"/>
  <c r="F32" i="22"/>
  <c r="U31" i="22"/>
  <c r="T31" i="22"/>
  <c r="S31" i="22"/>
  <c r="R31" i="22"/>
  <c r="Q31" i="22"/>
  <c r="P31" i="22"/>
  <c r="O31" i="22"/>
  <c r="N31" i="22"/>
  <c r="M31" i="22"/>
  <c r="L31" i="22"/>
  <c r="K31" i="22"/>
  <c r="K65" i="22" s="1"/>
  <c r="J31" i="22"/>
  <c r="H31" i="22"/>
  <c r="G31" i="22"/>
  <c r="F31" i="22"/>
  <c r="U30" i="22"/>
  <c r="U64" i="22" s="1"/>
  <c r="T30" i="22"/>
  <c r="S30" i="22"/>
  <c r="R30" i="22"/>
  <c r="Q30" i="22"/>
  <c r="P30" i="22"/>
  <c r="O30" i="22"/>
  <c r="N30" i="22"/>
  <c r="M30" i="22"/>
  <c r="L30" i="22"/>
  <c r="K30" i="22"/>
  <c r="J30" i="22"/>
  <c r="H30" i="22"/>
  <c r="G30" i="22"/>
  <c r="F30" i="22"/>
  <c r="U29" i="22"/>
  <c r="T29" i="22"/>
  <c r="S29" i="22"/>
  <c r="R29" i="22"/>
  <c r="R63" i="22" s="1"/>
  <c r="Q29" i="22"/>
  <c r="P29" i="22"/>
  <c r="O29" i="22"/>
  <c r="O63" i="22" s="1"/>
  <c r="N29" i="22"/>
  <c r="M29" i="22"/>
  <c r="L29" i="22"/>
  <c r="K29" i="22"/>
  <c r="K63" i="22" s="1"/>
  <c r="J29" i="22"/>
  <c r="J63" i="22" s="1"/>
  <c r="H29" i="22"/>
  <c r="G29" i="22"/>
  <c r="F29" i="22"/>
  <c r="U28" i="22"/>
  <c r="U62" i="22" s="1"/>
  <c r="T28" i="22"/>
  <c r="S28" i="22"/>
  <c r="R28" i="22"/>
  <c r="Q28" i="22"/>
  <c r="P28" i="22"/>
  <c r="O28" i="22"/>
  <c r="N28" i="22"/>
  <c r="M28" i="22"/>
  <c r="L28" i="22"/>
  <c r="K28" i="22"/>
  <c r="J28" i="22"/>
  <c r="H28" i="22"/>
  <c r="G28" i="22"/>
  <c r="F28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H27" i="22"/>
  <c r="G27" i="22"/>
  <c r="F27" i="22"/>
  <c r="U26" i="22"/>
  <c r="U60" i="22" s="1"/>
  <c r="T26" i="22"/>
  <c r="S26" i="22"/>
  <c r="R26" i="22"/>
  <c r="Q26" i="22"/>
  <c r="P26" i="22"/>
  <c r="O26" i="22"/>
  <c r="N26" i="22"/>
  <c r="M26" i="22"/>
  <c r="L26" i="22"/>
  <c r="K26" i="22"/>
  <c r="J26" i="22"/>
  <c r="H26" i="22"/>
  <c r="G26" i="22"/>
  <c r="F26" i="22"/>
  <c r="U25" i="22"/>
  <c r="T25" i="22"/>
  <c r="S25" i="22"/>
  <c r="R25" i="22"/>
  <c r="Q25" i="22"/>
  <c r="P25" i="22"/>
  <c r="O25" i="22"/>
  <c r="O59" i="22" s="1"/>
  <c r="N25" i="22"/>
  <c r="M25" i="22"/>
  <c r="L25" i="22"/>
  <c r="K25" i="22"/>
  <c r="K59" i="22" s="1"/>
  <c r="J25" i="22"/>
  <c r="H25" i="22"/>
  <c r="G25" i="22"/>
  <c r="F25" i="22"/>
  <c r="U24" i="22"/>
  <c r="U58" i="22" s="1"/>
  <c r="T24" i="22"/>
  <c r="S24" i="22"/>
  <c r="R24" i="22"/>
  <c r="Q24" i="22"/>
  <c r="P24" i="22"/>
  <c r="O24" i="22"/>
  <c r="N24" i="22"/>
  <c r="M24" i="22"/>
  <c r="L24" i="22"/>
  <c r="K24" i="22"/>
  <c r="J24" i="22"/>
  <c r="H24" i="22"/>
  <c r="G24" i="22"/>
  <c r="F24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H23" i="22"/>
  <c r="G23" i="22"/>
  <c r="F23" i="22"/>
  <c r="U22" i="22"/>
  <c r="U56" i="22" s="1"/>
  <c r="T22" i="22"/>
  <c r="S22" i="22"/>
  <c r="R22" i="22"/>
  <c r="Q22" i="22"/>
  <c r="P22" i="22"/>
  <c r="O22" i="22"/>
  <c r="N22" i="22"/>
  <c r="M22" i="22"/>
  <c r="L22" i="22"/>
  <c r="K22" i="22"/>
  <c r="J22" i="22"/>
  <c r="H22" i="22"/>
  <c r="F22" i="22"/>
  <c r="G39" i="21"/>
  <c r="R53" i="21"/>
  <c r="U36" i="21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U53" i="21"/>
  <c r="T53" i="21"/>
  <c r="S53" i="21"/>
  <c r="Q53" i="21"/>
  <c r="P53" i="21"/>
  <c r="O53" i="21"/>
  <c r="N53" i="21"/>
  <c r="M53" i="21"/>
  <c r="L53" i="21"/>
  <c r="K53" i="21"/>
  <c r="J53" i="21"/>
  <c r="H53" i="21"/>
  <c r="G53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H52" i="21"/>
  <c r="G52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H51" i="21"/>
  <c r="G51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H50" i="21"/>
  <c r="G50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H49" i="21"/>
  <c r="G49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H48" i="21"/>
  <c r="G48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H47" i="21"/>
  <c r="G47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H46" i="21"/>
  <c r="G46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H45" i="21"/>
  <c r="G45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H44" i="21"/>
  <c r="G44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H43" i="21"/>
  <c r="G43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H42" i="21"/>
  <c r="G42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H41" i="21"/>
  <c r="G41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H40" i="21"/>
  <c r="G40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H39" i="21"/>
  <c r="U70" i="21"/>
  <c r="T36" i="21"/>
  <c r="S36" i="21"/>
  <c r="R36" i="21"/>
  <c r="Q36" i="21"/>
  <c r="P36" i="21"/>
  <c r="O36" i="21"/>
  <c r="N36" i="21"/>
  <c r="M36" i="21"/>
  <c r="L36" i="21"/>
  <c r="K36" i="21"/>
  <c r="J36" i="21"/>
  <c r="H36" i="21"/>
  <c r="H70" i="21" s="1"/>
  <c r="G36" i="21"/>
  <c r="F36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H35" i="21"/>
  <c r="G35" i="21"/>
  <c r="F35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H34" i="21"/>
  <c r="G34" i="21"/>
  <c r="F34" i="21"/>
  <c r="U33" i="21"/>
  <c r="T33" i="21"/>
  <c r="S33" i="21"/>
  <c r="R33" i="21"/>
  <c r="R67" i="21" s="1"/>
  <c r="Q33" i="21"/>
  <c r="P33" i="21"/>
  <c r="O33" i="21"/>
  <c r="N33" i="21"/>
  <c r="M33" i="21"/>
  <c r="M67" i="21" s="1"/>
  <c r="L33" i="21"/>
  <c r="K33" i="21"/>
  <c r="J33" i="21"/>
  <c r="H33" i="21"/>
  <c r="G33" i="21"/>
  <c r="F33" i="21"/>
  <c r="U32" i="21"/>
  <c r="U66" i="21" s="1"/>
  <c r="T32" i="21"/>
  <c r="S32" i="21"/>
  <c r="R32" i="21"/>
  <c r="Q32" i="21"/>
  <c r="P32" i="21"/>
  <c r="O32" i="21"/>
  <c r="N32" i="21"/>
  <c r="M32" i="21"/>
  <c r="L32" i="21"/>
  <c r="K32" i="21"/>
  <c r="J32" i="21"/>
  <c r="J66" i="21" s="1"/>
  <c r="H32" i="21"/>
  <c r="G32" i="21"/>
  <c r="F32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H31" i="21"/>
  <c r="G31" i="21"/>
  <c r="F31" i="21"/>
  <c r="U30" i="21"/>
  <c r="U64" i="21" s="1"/>
  <c r="T30" i="21"/>
  <c r="S30" i="21"/>
  <c r="R30" i="21"/>
  <c r="R64" i="21" s="1"/>
  <c r="Q30" i="21"/>
  <c r="P30" i="21"/>
  <c r="O30" i="21"/>
  <c r="N30" i="21"/>
  <c r="M30" i="21"/>
  <c r="M64" i="21" s="1"/>
  <c r="L30" i="21"/>
  <c r="K30" i="21"/>
  <c r="J30" i="21"/>
  <c r="H30" i="21"/>
  <c r="G30" i="21"/>
  <c r="F30" i="21"/>
  <c r="U29" i="21"/>
  <c r="T29" i="21"/>
  <c r="S29" i="21"/>
  <c r="R29" i="21"/>
  <c r="R63" i="21" s="1"/>
  <c r="Q29" i="21"/>
  <c r="P29" i="21"/>
  <c r="O29" i="21"/>
  <c r="N29" i="21"/>
  <c r="M29" i="21"/>
  <c r="M63" i="21" s="1"/>
  <c r="L29" i="21"/>
  <c r="K29" i="21"/>
  <c r="J29" i="21"/>
  <c r="H29" i="21"/>
  <c r="G29" i="21"/>
  <c r="F29" i="21"/>
  <c r="U28" i="21"/>
  <c r="U62" i="21" s="1"/>
  <c r="T28" i="21"/>
  <c r="S28" i="21"/>
  <c r="R28" i="21"/>
  <c r="Q28" i="21"/>
  <c r="P28" i="21"/>
  <c r="O28" i="21"/>
  <c r="N28" i="21"/>
  <c r="M28" i="21"/>
  <c r="L28" i="21"/>
  <c r="K28" i="21"/>
  <c r="J28" i="21"/>
  <c r="H28" i="21"/>
  <c r="G28" i="21"/>
  <c r="F28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H27" i="21"/>
  <c r="G27" i="21"/>
  <c r="F27" i="21"/>
  <c r="U26" i="21"/>
  <c r="U60" i="21" s="1"/>
  <c r="T26" i="21"/>
  <c r="S26" i="21"/>
  <c r="R26" i="21"/>
  <c r="R60" i="21" s="1"/>
  <c r="Q26" i="21"/>
  <c r="P26" i="21"/>
  <c r="O26" i="21"/>
  <c r="N26" i="21"/>
  <c r="M26" i="21"/>
  <c r="M60" i="21" s="1"/>
  <c r="L26" i="21"/>
  <c r="K26" i="21"/>
  <c r="J26" i="21"/>
  <c r="J60" i="21" s="1"/>
  <c r="H26" i="21"/>
  <c r="G26" i="21"/>
  <c r="F26" i="21"/>
  <c r="U25" i="21"/>
  <c r="T25" i="21"/>
  <c r="S25" i="21"/>
  <c r="R25" i="21"/>
  <c r="R59" i="21" s="1"/>
  <c r="Q25" i="21"/>
  <c r="P25" i="21"/>
  <c r="O25" i="21"/>
  <c r="O59" i="21" s="1"/>
  <c r="N25" i="21"/>
  <c r="M25" i="21"/>
  <c r="M59" i="21" s="1"/>
  <c r="L25" i="21"/>
  <c r="K25" i="21"/>
  <c r="J25" i="21"/>
  <c r="H25" i="21"/>
  <c r="G25" i="21"/>
  <c r="F25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H24" i="21"/>
  <c r="G24" i="21"/>
  <c r="F24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H23" i="21"/>
  <c r="G23" i="21"/>
  <c r="F23" i="21"/>
  <c r="U22" i="21"/>
  <c r="U56" i="21" s="1"/>
  <c r="T22" i="21"/>
  <c r="S22" i="21"/>
  <c r="R22" i="21"/>
  <c r="R56" i="21" s="1"/>
  <c r="Q22" i="21"/>
  <c r="P22" i="21"/>
  <c r="O22" i="21"/>
  <c r="N22" i="21"/>
  <c r="M22" i="21"/>
  <c r="M56" i="21" s="1"/>
  <c r="L22" i="21"/>
  <c r="K22" i="21"/>
  <c r="J22" i="21"/>
  <c r="H22" i="21"/>
  <c r="G22" i="21"/>
  <c r="F22" i="21"/>
  <c r="G53" i="20"/>
  <c r="U22" i="20"/>
  <c r="F22" i="20"/>
  <c r="E71" i="20"/>
  <c r="E70" i="20"/>
  <c r="E69" i="20"/>
  <c r="E68" i="20"/>
  <c r="E67" i="20"/>
  <c r="E66" i="20"/>
  <c r="E65" i="20"/>
  <c r="E64" i="20"/>
  <c r="E63" i="20"/>
  <c r="E62" i="20"/>
  <c r="E61" i="20"/>
  <c r="E60" i="20"/>
  <c r="E59" i="20"/>
  <c r="E58" i="20"/>
  <c r="E57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H53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H52" i="20"/>
  <c r="G52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H51" i="20"/>
  <c r="G51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H50" i="20"/>
  <c r="G50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H49" i="20"/>
  <c r="G49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H48" i="20"/>
  <c r="G48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H47" i="20"/>
  <c r="G47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H46" i="20"/>
  <c r="G46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H45" i="20"/>
  <c r="G45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H44" i="20"/>
  <c r="G44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H43" i="20"/>
  <c r="G43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H42" i="20"/>
  <c r="G42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H41" i="20"/>
  <c r="G41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H40" i="20"/>
  <c r="G40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H39" i="20"/>
  <c r="G39" i="20"/>
  <c r="U36" i="20"/>
  <c r="T36" i="20"/>
  <c r="S36" i="20"/>
  <c r="R36" i="20"/>
  <c r="R71" i="20" s="1"/>
  <c r="Q36" i="20"/>
  <c r="P36" i="20"/>
  <c r="O36" i="20"/>
  <c r="O71" i="20" s="1"/>
  <c r="N36" i="20"/>
  <c r="M36" i="20"/>
  <c r="M71" i="20" s="1"/>
  <c r="L36" i="20"/>
  <c r="K36" i="20"/>
  <c r="K71" i="20" s="1"/>
  <c r="J36" i="20"/>
  <c r="J71" i="20" s="1"/>
  <c r="H36" i="20"/>
  <c r="H71" i="20" s="1"/>
  <c r="G36" i="20"/>
  <c r="F36" i="20"/>
  <c r="U35" i="20"/>
  <c r="T35" i="20"/>
  <c r="S35" i="20"/>
  <c r="R35" i="20"/>
  <c r="Q35" i="20"/>
  <c r="P35" i="20"/>
  <c r="O35" i="20"/>
  <c r="O70" i="20" s="1"/>
  <c r="N35" i="20"/>
  <c r="M35" i="20"/>
  <c r="L35" i="20"/>
  <c r="K35" i="20"/>
  <c r="K70" i="20" s="1"/>
  <c r="J35" i="20"/>
  <c r="J70" i="20" s="1"/>
  <c r="H35" i="20"/>
  <c r="H70" i="20" s="1"/>
  <c r="G35" i="20"/>
  <c r="F35" i="20"/>
  <c r="U34" i="20"/>
  <c r="T34" i="20"/>
  <c r="S34" i="20"/>
  <c r="R34" i="20"/>
  <c r="Q34" i="20"/>
  <c r="P34" i="20"/>
  <c r="O34" i="20"/>
  <c r="O69" i="20" s="1"/>
  <c r="N34" i="20"/>
  <c r="M34" i="20"/>
  <c r="L34" i="20"/>
  <c r="K34" i="20"/>
  <c r="K69" i="20" s="1"/>
  <c r="J34" i="20"/>
  <c r="J69" i="20" s="1"/>
  <c r="H34" i="20"/>
  <c r="H69" i="20" s="1"/>
  <c r="G34" i="20"/>
  <c r="F34" i="20"/>
  <c r="U33" i="20"/>
  <c r="T33" i="20"/>
  <c r="S33" i="20"/>
  <c r="R33" i="20"/>
  <c r="Q33" i="20"/>
  <c r="P33" i="20"/>
  <c r="O33" i="20"/>
  <c r="O68" i="20" s="1"/>
  <c r="N33" i="20"/>
  <c r="M33" i="20"/>
  <c r="M68" i="20" s="1"/>
  <c r="L33" i="20"/>
  <c r="K33" i="20"/>
  <c r="K68" i="20" s="1"/>
  <c r="J33" i="20"/>
  <c r="J68" i="20" s="1"/>
  <c r="H33" i="20"/>
  <c r="H68" i="20" s="1"/>
  <c r="G33" i="20"/>
  <c r="F33" i="20"/>
  <c r="U32" i="20"/>
  <c r="T32" i="20"/>
  <c r="S32" i="20"/>
  <c r="R32" i="20"/>
  <c r="R67" i="20" s="1"/>
  <c r="Q32" i="20"/>
  <c r="P32" i="20"/>
  <c r="O32" i="20"/>
  <c r="O67" i="20" s="1"/>
  <c r="N32" i="20"/>
  <c r="M32" i="20"/>
  <c r="L32" i="20"/>
  <c r="K32" i="20"/>
  <c r="K67" i="20" s="1"/>
  <c r="J32" i="20"/>
  <c r="J67" i="20" s="1"/>
  <c r="H32" i="20"/>
  <c r="H67" i="20" s="1"/>
  <c r="G32" i="20"/>
  <c r="F32" i="20"/>
  <c r="U31" i="20"/>
  <c r="T31" i="20"/>
  <c r="S31" i="20"/>
  <c r="R31" i="20"/>
  <c r="Q31" i="20"/>
  <c r="P31" i="20"/>
  <c r="O31" i="20"/>
  <c r="O66" i="20" s="1"/>
  <c r="N31" i="20"/>
  <c r="M31" i="20"/>
  <c r="L31" i="20"/>
  <c r="K31" i="20"/>
  <c r="K66" i="20" s="1"/>
  <c r="J31" i="20"/>
  <c r="J66" i="20" s="1"/>
  <c r="H31" i="20"/>
  <c r="H66" i="20" s="1"/>
  <c r="G31" i="20"/>
  <c r="F31" i="20"/>
  <c r="U30" i="20"/>
  <c r="T30" i="20"/>
  <c r="S30" i="20"/>
  <c r="R30" i="20"/>
  <c r="Q30" i="20"/>
  <c r="P30" i="20"/>
  <c r="O30" i="20"/>
  <c r="O65" i="20" s="1"/>
  <c r="N30" i="20"/>
  <c r="M30" i="20"/>
  <c r="L30" i="20"/>
  <c r="K30" i="20"/>
  <c r="K65" i="20" s="1"/>
  <c r="J30" i="20"/>
  <c r="J65" i="20" s="1"/>
  <c r="H30" i="20"/>
  <c r="H65" i="20" s="1"/>
  <c r="G30" i="20"/>
  <c r="F30" i="20"/>
  <c r="U29" i="20"/>
  <c r="T29" i="20"/>
  <c r="S29" i="20"/>
  <c r="R29" i="20"/>
  <c r="R64" i="20" s="1"/>
  <c r="Q29" i="20"/>
  <c r="P29" i="20"/>
  <c r="O29" i="20"/>
  <c r="O64" i="20" s="1"/>
  <c r="N29" i="20"/>
  <c r="M29" i="20"/>
  <c r="M64" i="20" s="1"/>
  <c r="L29" i="20"/>
  <c r="K29" i="20"/>
  <c r="K64" i="20" s="1"/>
  <c r="J29" i="20"/>
  <c r="J64" i="20" s="1"/>
  <c r="H29" i="20"/>
  <c r="H64" i="20" s="1"/>
  <c r="G29" i="20"/>
  <c r="F29" i="20"/>
  <c r="U28" i="20"/>
  <c r="T28" i="20"/>
  <c r="S28" i="20"/>
  <c r="R28" i="20"/>
  <c r="R63" i="20" s="1"/>
  <c r="Q28" i="20"/>
  <c r="P28" i="20"/>
  <c r="O28" i="20"/>
  <c r="O63" i="20" s="1"/>
  <c r="N28" i="20"/>
  <c r="M28" i="20"/>
  <c r="L28" i="20"/>
  <c r="K28" i="20"/>
  <c r="K63" i="20" s="1"/>
  <c r="J28" i="20"/>
  <c r="J63" i="20" s="1"/>
  <c r="H28" i="20"/>
  <c r="H63" i="20" s="1"/>
  <c r="G28" i="20"/>
  <c r="F28" i="20"/>
  <c r="U27" i="20"/>
  <c r="T27" i="20"/>
  <c r="S27" i="20"/>
  <c r="R27" i="20"/>
  <c r="Q27" i="20"/>
  <c r="P27" i="20"/>
  <c r="O27" i="20"/>
  <c r="O62" i="20" s="1"/>
  <c r="N27" i="20"/>
  <c r="M27" i="20"/>
  <c r="M62" i="20" s="1"/>
  <c r="L27" i="20"/>
  <c r="K27" i="20"/>
  <c r="K62" i="20" s="1"/>
  <c r="J27" i="20"/>
  <c r="J62" i="20" s="1"/>
  <c r="H27" i="20"/>
  <c r="H62" i="20" s="1"/>
  <c r="G27" i="20"/>
  <c r="F27" i="20"/>
  <c r="U26" i="20"/>
  <c r="U61" i="20" s="1"/>
  <c r="T26" i="20"/>
  <c r="S26" i="20"/>
  <c r="R26" i="20"/>
  <c r="R61" i="20" s="1"/>
  <c r="Q26" i="20"/>
  <c r="P26" i="20"/>
  <c r="O26" i="20"/>
  <c r="O61" i="20" s="1"/>
  <c r="N26" i="20"/>
  <c r="M26" i="20"/>
  <c r="M61" i="20" s="1"/>
  <c r="L26" i="20"/>
  <c r="K26" i="20"/>
  <c r="K61" i="20" s="1"/>
  <c r="J26" i="20"/>
  <c r="J61" i="20" s="1"/>
  <c r="H26" i="20"/>
  <c r="H61" i="20" s="1"/>
  <c r="G26" i="20"/>
  <c r="F26" i="20"/>
  <c r="U25" i="20"/>
  <c r="T25" i="20"/>
  <c r="S25" i="20"/>
  <c r="R25" i="20"/>
  <c r="R60" i="20" s="1"/>
  <c r="Q25" i="20"/>
  <c r="P25" i="20"/>
  <c r="O25" i="20"/>
  <c r="O60" i="20" s="1"/>
  <c r="N25" i="20"/>
  <c r="M25" i="20"/>
  <c r="L25" i="20"/>
  <c r="K25" i="20"/>
  <c r="K60" i="20" s="1"/>
  <c r="J25" i="20"/>
  <c r="J60" i="20" s="1"/>
  <c r="H25" i="20"/>
  <c r="H60" i="20" s="1"/>
  <c r="G25" i="20"/>
  <c r="F25" i="20"/>
  <c r="U24" i="20"/>
  <c r="T24" i="20"/>
  <c r="S24" i="20"/>
  <c r="R24" i="20"/>
  <c r="Q24" i="20"/>
  <c r="P24" i="20"/>
  <c r="O24" i="20"/>
  <c r="O59" i="20" s="1"/>
  <c r="N24" i="20"/>
  <c r="M24" i="20"/>
  <c r="L24" i="20"/>
  <c r="K24" i="20"/>
  <c r="K59" i="20" s="1"/>
  <c r="J24" i="20"/>
  <c r="J59" i="20" s="1"/>
  <c r="H24" i="20"/>
  <c r="H59" i="20" s="1"/>
  <c r="G24" i="20"/>
  <c r="F24" i="20"/>
  <c r="U23" i="20"/>
  <c r="T23" i="20"/>
  <c r="S23" i="20"/>
  <c r="R23" i="20"/>
  <c r="Q23" i="20"/>
  <c r="P23" i="20"/>
  <c r="O23" i="20"/>
  <c r="O58" i="20" s="1"/>
  <c r="N23" i="20"/>
  <c r="M23" i="20"/>
  <c r="L23" i="20"/>
  <c r="K23" i="20"/>
  <c r="K58" i="20" s="1"/>
  <c r="J23" i="20"/>
  <c r="J58" i="20" s="1"/>
  <c r="H23" i="20"/>
  <c r="H58" i="20" s="1"/>
  <c r="G23" i="20"/>
  <c r="F23" i="20"/>
  <c r="U57" i="20"/>
  <c r="T22" i="20"/>
  <c r="S22" i="20"/>
  <c r="R22" i="20"/>
  <c r="R57" i="20" s="1"/>
  <c r="Q22" i="20"/>
  <c r="P22" i="20"/>
  <c r="O22" i="20"/>
  <c r="O57" i="20" s="1"/>
  <c r="N22" i="20"/>
  <c r="M22" i="20"/>
  <c r="M57" i="20" s="1"/>
  <c r="L22" i="20"/>
  <c r="K22" i="20"/>
  <c r="K57" i="20" s="1"/>
  <c r="J22" i="20"/>
  <c r="J57" i="20" s="1"/>
  <c r="H22" i="20"/>
  <c r="H57" i="20" s="1"/>
  <c r="G22" i="20"/>
  <c r="U39" i="19"/>
  <c r="G52" i="19"/>
  <c r="U22" i="19"/>
  <c r="U35" i="19"/>
  <c r="H35" i="19"/>
  <c r="E69" i="19"/>
  <c r="H69" i="19" s="1"/>
  <c r="E68" i="19"/>
  <c r="E67" i="19"/>
  <c r="E66" i="19"/>
  <c r="E65" i="19"/>
  <c r="E64" i="19"/>
  <c r="E63" i="19"/>
  <c r="E62" i="19"/>
  <c r="E61" i="19"/>
  <c r="E60" i="19"/>
  <c r="E59" i="19"/>
  <c r="E58" i="19"/>
  <c r="E57" i="19"/>
  <c r="E56" i="19"/>
  <c r="U56" i="19" s="1"/>
  <c r="U52" i="19"/>
  <c r="T52" i="19"/>
  <c r="S52" i="19"/>
  <c r="R52" i="19"/>
  <c r="Q52" i="19"/>
  <c r="P52" i="19"/>
  <c r="O52" i="19"/>
  <c r="N52" i="19"/>
  <c r="M52" i="19"/>
  <c r="L52" i="19"/>
  <c r="K52" i="19"/>
  <c r="J52" i="19"/>
  <c r="H52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H51" i="19"/>
  <c r="G51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H50" i="19"/>
  <c r="G50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H49" i="19"/>
  <c r="G49" i="19"/>
  <c r="U48" i="19"/>
  <c r="T48" i="19"/>
  <c r="S48" i="19"/>
  <c r="R48" i="19"/>
  <c r="Q48" i="19"/>
  <c r="P48" i="19"/>
  <c r="O48" i="19"/>
  <c r="N48" i="19"/>
  <c r="M48" i="19"/>
  <c r="L48" i="19"/>
  <c r="K48" i="19"/>
  <c r="J48" i="19"/>
  <c r="H48" i="19"/>
  <c r="G48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H47" i="19"/>
  <c r="G47" i="19"/>
  <c r="U46" i="19"/>
  <c r="T46" i="19"/>
  <c r="S46" i="19"/>
  <c r="R46" i="19"/>
  <c r="Q46" i="19"/>
  <c r="P46" i="19"/>
  <c r="O46" i="19"/>
  <c r="N46" i="19"/>
  <c r="M46" i="19"/>
  <c r="L46" i="19"/>
  <c r="K46" i="19"/>
  <c r="J46" i="19"/>
  <c r="H46" i="19"/>
  <c r="G46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H45" i="19"/>
  <c r="G45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H44" i="19"/>
  <c r="G44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H43" i="19"/>
  <c r="G43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H42" i="19"/>
  <c r="G42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H41" i="19"/>
  <c r="G41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H40" i="19"/>
  <c r="G40" i="19"/>
  <c r="T39" i="19"/>
  <c r="S39" i="19"/>
  <c r="R39" i="19"/>
  <c r="Q39" i="19"/>
  <c r="P39" i="19"/>
  <c r="O39" i="19"/>
  <c r="N39" i="19"/>
  <c r="M39" i="19"/>
  <c r="L39" i="19"/>
  <c r="K39" i="19"/>
  <c r="J39" i="19"/>
  <c r="H39" i="19"/>
  <c r="G39" i="19"/>
  <c r="T35" i="19"/>
  <c r="S35" i="19"/>
  <c r="R35" i="19"/>
  <c r="R69" i="19" s="1"/>
  <c r="Q35" i="19"/>
  <c r="P35" i="19"/>
  <c r="O35" i="19"/>
  <c r="N35" i="19"/>
  <c r="M35" i="19"/>
  <c r="L35" i="19"/>
  <c r="K35" i="19"/>
  <c r="J35" i="19"/>
  <c r="G35" i="19"/>
  <c r="F35" i="19"/>
  <c r="U34" i="19"/>
  <c r="T34" i="19"/>
  <c r="S34" i="19"/>
  <c r="R34" i="19"/>
  <c r="Q34" i="19"/>
  <c r="P34" i="19"/>
  <c r="O34" i="19"/>
  <c r="N34" i="19"/>
  <c r="M34" i="19"/>
  <c r="M68" i="19" s="1"/>
  <c r="L34" i="19"/>
  <c r="K34" i="19"/>
  <c r="J34" i="19"/>
  <c r="H34" i="19"/>
  <c r="G34" i="19"/>
  <c r="F34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H33" i="19"/>
  <c r="G33" i="19"/>
  <c r="F33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H32" i="19"/>
  <c r="G32" i="19"/>
  <c r="F32" i="19"/>
  <c r="U31" i="19"/>
  <c r="T31" i="19"/>
  <c r="S31" i="19"/>
  <c r="R31" i="19"/>
  <c r="R65" i="19" s="1"/>
  <c r="Q31" i="19"/>
  <c r="P31" i="19"/>
  <c r="O31" i="19"/>
  <c r="N31" i="19"/>
  <c r="M31" i="19"/>
  <c r="L31" i="19"/>
  <c r="K31" i="19"/>
  <c r="J31" i="19"/>
  <c r="H31" i="19"/>
  <c r="G31" i="19"/>
  <c r="F31" i="19"/>
  <c r="U30" i="19"/>
  <c r="T30" i="19"/>
  <c r="S30" i="19"/>
  <c r="R30" i="19"/>
  <c r="Q30" i="19"/>
  <c r="P30" i="19"/>
  <c r="O30" i="19"/>
  <c r="N30" i="19"/>
  <c r="M30" i="19"/>
  <c r="M64" i="19" s="1"/>
  <c r="L30" i="19"/>
  <c r="K30" i="19"/>
  <c r="J30" i="19"/>
  <c r="H30" i="19"/>
  <c r="G30" i="19"/>
  <c r="F30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H29" i="19"/>
  <c r="G29" i="19"/>
  <c r="F29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H28" i="19"/>
  <c r="G28" i="19"/>
  <c r="F28" i="19"/>
  <c r="U27" i="19"/>
  <c r="U61" i="19" s="1"/>
  <c r="T27" i="19"/>
  <c r="S27" i="19"/>
  <c r="R27" i="19"/>
  <c r="R61" i="19" s="1"/>
  <c r="Q27" i="19"/>
  <c r="P27" i="19"/>
  <c r="O27" i="19"/>
  <c r="O61" i="19" s="1"/>
  <c r="N27" i="19"/>
  <c r="M27" i="19"/>
  <c r="M61" i="19" s="1"/>
  <c r="L27" i="19"/>
  <c r="K27" i="19"/>
  <c r="J27" i="19"/>
  <c r="J61" i="19" s="1"/>
  <c r="H27" i="19"/>
  <c r="G27" i="19"/>
  <c r="F27" i="19"/>
  <c r="U26" i="19"/>
  <c r="T26" i="19"/>
  <c r="S26" i="19"/>
  <c r="R26" i="19"/>
  <c r="Q26" i="19"/>
  <c r="P26" i="19"/>
  <c r="O26" i="19"/>
  <c r="N26" i="19"/>
  <c r="M26" i="19"/>
  <c r="M60" i="19" s="1"/>
  <c r="L26" i="19"/>
  <c r="K26" i="19"/>
  <c r="J26" i="19"/>
  <c r="H26" i="19"/>
  <c r="G26" i="19"/>
  <c r="F26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H25" i="19"/>
  <c r="G25" i="19"/>
  <c r="F25" i="19"/>
  <c r="U24" i="19"/>
  <c r="T24" i="19"/>
  <c r="S24" i="19"/>
  <c r="R24" i="19"/>
  <c r="R58" i="19" s="1"/>
  <c r="Q24" i="19"/>
  <c r="P24" i="19"/>
  <c r="O24" i="19"/>
  <c r="N24" i="19"/>
  <c r="M24" i="19"/>
  <c r="L24" i="19"/>
  <c r="K24" i="19"/>
  <c r="J24" i="19"/>
  <c r="H24" i="19"/>
  <c r="H58" i="19" s="1"/>
  <c r="G24" i="19"/>
  <c r="F24" i="19"/>
  <c r="U23" i="19"/>
  <c r="U57" i="19" s="1"/>
  <c r="T23" i="19"/>
  <c r="S23" i="19"/>
  <c r="R23" i="19"/>
  <c r="R57" i="19" s="1"/>
  <c r="Q23" i="19"/>
  <c r="P23" i="19"/>
  <c r="O23" i="19"/>
  <c r="N23" i="19"/>
  <c r="M23" i="19"/>
  <c r="M57" i="19" s="1"/>
  <c r="L23" i="19"/>
  <c r="K23" i="19"/>
  <c r="K57" i="19" s="1"/>
  <c r="J23" i="19"/>
  <c r="H23" i="19"/>
  <c r="G23" i="19"/>
  <c r="F23" i="19"/>
  <c r="T22" i="19"/>
  <c r="S22" i="19"/>
  <c r="R22" i="19"/>
  <c r="Q22" i="19"/>
  <c r="P22" i="19"/>
  <c r="O22" i="19"/>
  <c r="N22" i="19"/>
  <c r="M22" i="19"/>
  <c r="M56" i="19" s="1"/>
  <c r="L22" i="19"/>
  <c r="K22" i="19"/>
  <c r="J22" i="19"/>
  <c r="H22" i="19"/>
  <c r="G22" i="19"/>
  <c r="F22" i="19"/>
  <c r="J53" i="13"/>
  <c r="U37" i="13"/>
  <c r="U23" i="13"/>
  <c r="F37" i="13"/>
  <c r="E71" i="13"/>
  <c r="U71" i="13" s="1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U53" i="13"/>
  <c r="T53" i="13"/>
  <c r="S53" i="13"/>
  <c r="R53" i="13"/>
  <c r="Q53" i="13"/>
  <c r="P53" i="13"/>
  <c r="O53" i="13"/>
  <c r="N53" i="13"/>
  <c r="M53" i="13"/>
  <c r="L53" i="13"/>
  <c r="K53" i="13"/>
  <c r="H53" i="13"/>
  <c r="G53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H52" i="13"/>
  <c r="G52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H51" i="13"/>
  <c r="G51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H50" i="13"/>
  <c r="G50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H49" i="13"/>
  <c r="G49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H48" i="13"/>
  <c r="G48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H47" i="13"/>
  <c r="G47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H46" i="13"/>
  <c r="G46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H45" i="13"/>
  <c r="G45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H44" i="13"/>
  <c r="G44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H43" i="13"/>
  <c r="G43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H42" i="13"/>
  <c r="G42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H41" i="13"/>
  <c r="G41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H40" i="13"/>
  <c r="G40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H39" i="13"/>
  <c r="G39" i="13"/>
  <c r="T37" i="13"/>
  <c r="S37" i="13"/>
  <c r="R37" i="13"/>
  <c r="Q37" i="13"/>
  <c r="P37" i="13"/>
  <c r="O37" i="13"/>
  <c r="O71" i="13" s="1"/>
  <c r="N37" i="13"/>
  <c r="M37" i="13"/>
  <c r="L37" i="13"/>
  <c r="K37" i="13"/>
  <c r="J37" i="13"/>
  <c r="H37" i="13"/>
  <c r="G37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H36" i="13"/>
  <c r="G36" i="13"/>
  <c r="F36" i="13"/>
  <c r="U35" i="13"/>
  <c r="T35" i="13"/>
  <c r="S35" i="13"/>
  <c r="R35" i="13"/>
  <c r="Q35" i="13"/>
  <c r="P35" i="13"/>
  <c r="O35" i="13"/>
  <c r="O69" i="13" s="1"/>
  <c r="N35" i="13"/>
  <c r="M35" i="13"/>
  <c r="L35" i="13"/>
  <c r="K35" i="13"/>
  <c r="J35" i="13"/>
  <c r="H35" i="13"/>
  <c r="G35" i="13"/>
  <c r="F35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H34" i="13"/>
  <c r="G34" i="13"/>
  <c r="F34" i="13"/>
  <c r="U33" i="13"/>
  <c r="T33" i="13"/>
  <c r="S33" i="13"/>
  <c r="R33" i="13"/>
  <c r="Q33" i="13"/>
  <c r="P33" i="13"/>
  <c r="O33" i="13"/>
  <c r="N33" i="13"/>
  <c r="M33" i="13"/>
  <c r="M67" i="13" s="1"/>
  <c r="L33" i="13"/>
  <c r="K33" i="13"/>
  <c r="J33" i="13"/>
  <c r="H33" i="13"/>
  <c r="G33" i="13"/>
  <c r="F33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H32" i="13"/>
  <c r="G32" i="13"/>
  <c r="F32" i="13"/>
  <c r="U31" i="13"/>
  <c r="T31" i="13"/>
  <c r="S31" i="13"/>
  <c r="R31" i="13"/>
  <c r="Q31" i="13"/>
  <c r="P31" i="13"/>
  <c r="O31" i="13"/>
  <c r="O65" i="13" s="1"/>
  <c r="N31" i="13"/>
  <c r="M31" i="13"/>
  <c r="L31" i="13"/>
  <c r="K31" i="13"/>
  <c r="J31" i="13"/>
  <c r="H31" i="13"/>
  <c r="G31" i="13"/>
  <c r="F31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H30" i="13"/>
  <c r="G30" i="13"/>
  <c r="F30" i="13"/>
  <c r="U29" i="13"/>
  <c r="T29" i="13"/>
  <c r="S29" i="13"/>
  <c r="R29" i="13"/>
  <c r="Q29" i="13"/>
  <c r="P29" i="13"/>
  <c r="O29" i="13"/>
  <c r="N29" i="13"/>
  <c r="M29" i="13"/>
  <c r="M63" i="13" s="1"/>
  <c r="L29" i="13"/>
  <c r="K29" i="13"/>
  <c r="J29" i="13"/>
  <c r="H29" i="13"/>
  <c r="H63" i="13" s="1"/>
  <c r="G29" i="13"/>
  <c r="F29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H28" i="13"/>
  <c r="G28" i="13"/>
  <c r="F28" i="13"/>
  <c r="U27" i="13"/>
  <c r="T27" i="13"/>
  <c r="S27" i="13"/>
  <c r="R27" i="13"/>
  <c r="Q27" i="13"/>
  <c r="P27" i="13"/>
  <c r="O27" i="13"/>
  <c r="O61" i="13" s="1"/>
  <c r="N27" i="13"/>
  <c r="M27" i="13"/>
  <c r="L27" i="13"/>
  <c r="K27" i="13"/>
  <c r="J27" i="13"/>
  <c r="H27" i="13"/>
  <c r="G27" i="13"/>
  <c r="F27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H26" i="13"/>
  <c r="G26" i="13"/>
  <c r="F26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H25" i="13"/>
  <c r="G25" i="13"/>
  <c r="F25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H24" i="13"/>
  <c r="G24" i="13"/>
  <c r="F24" i="13"/>
  <c r="T23" i="13"/>
  <c r="S23" i="13"/>
  <c r="R23" i="13"/>
  <c r="Q23" i="13"/>
  <c r="P23" i="13"/>
  <c r="O23" i="13"/>
  <c r="N23" i="13"/>
  <c r="M23" i="13"/>
  <c r="L23" i="13"/>
  <c r="K23" i="13"/>
  <c r="J23" i="13"/>
  <c r="H23" i="13"/>
  <c r="G23" i="13"/>
  <c r="F23" i="13"/>
  <c r="U52" i="18"/>
  <c r="G52" i="18"/>
  <c r="F36" i="18"/>
  <c r="E70" i="18"/>
  <c r="E69" i="18"/>
  <c r="E68" i="18"/>
  <c r="E67" i="18"/>
  <c r="E66" i="18"/>
  <c r="E65" i="18"/>
  <c r="E64" i="18"/>
  <c r="E63" i="18"/>
  <c r="E62" i="18"/>
  <c r="E61" i="18"/>
  <c r="E60" i="18"/>
  <c r="E59" i="18"/>
  <c r="E58" i="18"/>
  <c r="E57" i="18"/>
  <c r="E56" i="18"/>
  <c r="T52" i="18"/>
  <c r="S52" i="18"/>
  <c r="R52" i="18"/>
  <c r="Q52" i="18"/>
  <c r="P52" i="18"/>
  <c r="O52" i="18"/>
  <c r="N52" i="18"/>
  <c r="M52" i="18"/>
  <c r="L52" i="18"/>
  <c r="K52" i="18"/>
  <c r="J52" i="18"/>
  <c r="H52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H51" i="18"/>
  <c r="G51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H50" i="18"/>
  <c r="G50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H49" i="18"/>
  <c r="G49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H48" i="18"/>
  <c r="G48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H47" i="18"/>
  <c r="G47" i="18"/>
  <c r="U46" i="18"/>
  <c r="T46" i="18"/>
  <c r="S46" i="18"/>
  <c r="R46" i="18"/>
  <c r="Q46" i="18"/>
  <c r="P46" i="18"/>
  <c r="O46" i="18"/>
  <c r="N46" i="18"/>
  <c r="M46" i="18"/>
  <c r="L46" i="18"/>
  <c r="K46" i="18"/>
  <c r="J46" i="18"/>
  <c r="H46" i="18"/>
  <c r="G46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H45" i="18"/>
  <c r="G45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H44" i="18"/>
  <c r="G44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H43" i="18"/>
  <c r="G43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H42" i="18"/>
  <c r="G42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H41" i="18"/>
  <c r="G41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H40" i="18"/>
  <c r="G40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H39" i="18"/>
  <c r="G39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H38" i="18"/>
  <c r="G38" i="18"/>
  <c r="U36" i="18"/>
  <c r="U70" i="18" s="1"/>
  <c r="T36" i="18"/>
  <c r="S36" i="18"/>
  <c r="R36" i="18"/>
  <c r="R70" i="18" s="1"/>
  <c r="Q36" i="18"/>
  <c r="P36" i="18"/>
  <c r="O36" i="18"/>
  <c r="O70" i="18" s="1"/>
  <c r="N36" i="18"/>
  <c r="M36" i="18"/>
  <c r="M70" i="18" s="1"/>
  <c r="L36" i="18"/>
  <c r="K36" i="18"/>
  <c r="K70" i="18" s="1"/>
  <c r="J36" i="18"/>
  <c r="J70" i="18" s="1"/>
  <c r="H36" i="18"/>
  <c r="H70" i="18" s="1"/>
  <c r="G36" i="18"/>
  <c r="U35" i="18"/>
  <c r="U69" i="18" s="1"/>
  <c r="T35" i="18"/>
  <c r="S35" i="18"/>
  <c r="R35" i="18"/>
  <c r="R69" i="18" s="1"/>
  <c r="Q35" i="18"/>
  <c r="P35" i="18"/>
  <c r="O35" i="18"/>
  <c r="O69" i="18" s="1"/>
  <c r="N35" i="18"/>
  <c r="M35" i="18"/>
  <c r="M69" i="18" s="1"/>
  <c r="L35" i="18"/>
  <c r="K35" i="18"/>
  <c r="J35" i="18"/>
  <c r="J69" i="18" s="1"/>
  <c r="H35" i="18"/>
  <c r="H69" i="18" s="1"/>
  <c r="G35" i="18"/>
  <c r="F35" i="18"/>
  <c r="U34" i="18"/>
  <c r="U68" i="18" s="1"/>
  <c r="T34" i="18"/>
  <c r="S34" i="18"/>
  <c r="R34" i="18"/>
  <c r="R68" i="18" s="1"/>
  <c r="Q34" i="18"/>
  <c r="P34" i="18"/>
  <c r="O34" i="18"/>
  <c r="O68" i="18" s="1"/>
  <c r="N34" i="18"/>
  <c r="M34" i="18"/>
  <c r="M68" i="18" s="1"/>
  <c r="L34" i="18"/>
  <c r="K34" i="18"/>
  <c r="K68" i="18" s="1"/>
  <c r="J34" i="18"/>
  <c r="J68" i="18" s="1"/>
  <c r="H34" i="18"/>
  <c r="H68" i="18" s="1"/>
  <c r="G34" i="18"/>
  <c r="F34" i="18"/>
  <c r="U33" i="18"/>
  <c r="U67" i="18" s="1"/>
  <c r="T33" i="18"/>
  <c r="S33" i="18"/>
  <c r="R33" i="18"/>
  <c r="R67" i="18" s="1"/>
  <c r="Q33" i="18"/>
  <c r="P33" i="18"/>
  <c r="O33" i="18"/>
  <c r="O67" i="18" s="1"/>
  <c r="N33" i="18"/>
  <c r="M33" i="18"/>
  <c r="M67" i="18" s="1"/>
  <c r="L33" i="18"/>
  <c r="K33" i="18"/>
  <c r="K67" i="18" s="1"/>
  <c r="J33" i="18"/>
  <c r="J67" i="18" s="1"/>
  <c r="H33" i="18"/>
  <c r="H67" i="18" s="1"/>
  <c r="G33" i="18"/>
  <c r="F33" i="18"/>
  <c r="U32" i="18"/>
  <c r="U66" i="18" s="1"/>
  <c r="T32" i="18"/>
  <c r="S32" i="18"/>
  <c r="R32" i="18"/>
  <c r="R66" i="18" s="1"/>
  <c r="Q32" i="18"/>
  <c r="P32" i="18"/>
  <c r="O32" i="18"/>
  <c r="O66" i="18" s="1"/>
  <c r="N32" i="18"/>
  <c r="M32" i="18"/>
  <c r="M66" i="18" s="1"/>
  <c r="L32" i="18"/>
  <c r="K32" i="18"/>
  <c r="K66" i="18" s="1"/>
  <c r="J32" i="18"/>
  <c r="J66" i="18" s="1"/>
  <c r="H32" i="18"/>
  <c r="H66" i="18" s="1"/>
  <c r="G32" i="18"/>
  <c r="F32" i="18"/>
  <c r="U31" i="18"/>
  <c r="U65" i="18" s="1"/>
  <c r="T31" i="18"/>
  <c r="S31" i="18"/>
  <c r="R31" i="18"/>
  <c r="R65" i="18" s="1"/>
  <c r="Q31" i="18"/>
  <c r="P31" i="18"/>
  <c r="O31" i="18"/>
  <c r="O65" i="18" s="1"/>
  <c r="N31" i="18"/>
  <c r="M31" i="18"/>
  <c r="M65" i="18" s="1"/>
  <c r="L31" i="18"/>
  <c r="K31" i="18"/>
  <c r="J31" i="18"/>
  <c r="J65" i="18" s="1"/>
  <c r="H31" i="18"/>
  <c r="H65" i="18" s="1"/>
  <c r="G31" i="18"/>
  <c r="F31" i="18"/>
  <c r="U30" i="18"/>
  <c r="U64" i="18" s="1"/>
  <c r="T30" i="18"/>
  <c r="S30" i="18"/>
  <c r="R30" i="18"/>
  <c r="R64" i="18" s="1"/>
  <c r="Q30" i="18"/>
  <c r="P30" i="18"/>
  <c r="O30" i="18"/>
  <c r="O64" i="18" s="1"/>
  <c r="N30" i="18"/>
  <c r="M30" i="18"/>
  <c r="M64" i="18" s="1"/>
  <c r="L30" i="18"/>
  <c r="K30" i="18"/>
  <c r="K64" i="18" s="1"/>
  <c r="J30" i="18"/>
  <c r="J64" i="18" s="1"/>
  <c r="H30" i="18"/>
  <c r="H64" i="18" s="1"/>
  <c r="G30" i="18"/>
  <c r="F30" i="18"/>
  <c r="U29" i="18"/>
  <c r="U63" i="18" s="1"/>
  <c r="T29" i="18"/>
  <c r="S29" i="18"/>
  <c r="R29" i="18"/>
  <c r="R63" i="18" s="1"/>
  <c r="Q29" i="18"/>
  <c r="P29" i="18"/>
  <c r="O29" i="18"/>
  <c r="O63" i="18" s="1"/>
  <c r="N29" i="18"/>
  <c r="M29" i="18"/>
  <c r="M63" i="18" s="1"/>
  <c r="L29" i="18"/>
  <c r="K29" i="18"/>
  <c r="K63" i="18" s="1"/>
  <c r="J29" i="18"/>
  <c r="J63" i="18" s="1"/>
  <c r="H29" i="18"/>
  <c r="H63" i="18" s="1"/>
  <c r="G29" i="18"/>
  <c r="F29" i="18"/>
  <c r="U28" i="18"/>
  <c r="U62" i="18" s="1"/>
  <c r="T28" i="18"/>
  <c r="S28" i="18"/>
  <c r="R28" i="18"/>
  <c r="R62" i="18" s="1"/>
  <c r="Q28" i="18"/>
  <c r="P28" i="18"/>
  <c r="O28" i="18"/>
  <c r="O62" i="18" s="1"/>
  <c r="N28" i="18"/>
  <c r="M28" i="18"/>
  <c r="M62" i="18" s="1"/>
  <c r="L28" i="18"/>
  <c r="K28" i="18"/>
  <c r="K62" i="18" s="1"/>
  <c r="J28" i="18"/>
  <c r="J62" i="18" s="1"/>
  <c r="H28" i="18"/>
  <c r="H62" i="18" s="1"/>
  <c r="G28" i="18"/>
  <c r="F28" i="18"/>
  <c r="U27" i="18"/>
  <c r="U61" i="18" s="1"/>
  <c r="T27" i="18"/>
  <c r="S27" i="18"/>
  <c r="R27" i="18"/>
  <c r="R61" i="18" s="1"/>
  <c r="Q27" i="18"/>
  <c r="P27" i="18"/>
  <c r="O27" i="18"/>
  <c r="O61" i="18" s="1"/>
  <c r="N27" i="18"/>
  <c r="M27" i="18"/>
  <c r="M61" i="18" s="1"/>
  <c r="L27" i="18"/>
  <c r="K27" i="18"/>
  <c r="J27" i="18"/>
  <c r="J61" i="18" s="1"/>
  <c r="H27" i="18"/>
  <c r="H61" i="18" s="1"/>
  <c r="G27" i="18"/>
  <c r="F27" i="18"/>
  <c r="U26" i="18"/>
  <c r="U60" i="18" s="1"/>
  <c r="T26" i="18"/>
  <c r="S26" i="18"/>
  <c r="R26" i="18"/>
  <c r="R60" i="18" s="1"/>
  <c r="Q26" i="18"/>
  <c r="P26" i="18"/>
  <c r="O26" i="18"/>
  <c r="O60" i="18" s="1"/>
  <c r="N26" i="18"/>
  <c r="M26" i="18"/>
  <c r="M60" i="18" s="1"/>
  <c r="L26" i="18"/>
  <c r="K26" i="18"/>
  <c r="K60" i="18" s="1"/>
  <c r="J26" i="18"/>
  <c r="J60" i="18" s="1"/>
  <c r="H26" i="18"/>
  <c r="H60" i="18" s="1"/>
  <c r="G26" i="18"/>
  <c r="F26" i="18"/>
  <c r="U25" i="18"/>
  <c r="U59" i="18" s="1"/>
  <c r="T25" i="18"/>
  <c r="S25" i="18"/>
  <c r="R25" i="18"/>
  <c r="R59" i="18" s="1"/>
  <c r="Q25" i="18"/>
  <c r="P25" i="18"/>
  <c r="O25" i="18"/>
  <c r="O59" i="18" s="1"/>
  <c r="N25" i="18"/>
  <c r="M25" i="18"/>
  <c r="M59" i="18" s="1"/>
  <c r="L25" i="18"/>
  <c r="K25" i="18"/>
  <c r="K59" i="18" s="1"/>
  <c r="J25" i="18"/>
  <c r="J59" i="18" s="1"/>
  <c r="H25" i="18"/>
  <c r="H59" i="18" s="1"/>
  <c r="G25" i="18"/>
  <c r="F25" i="18"/>
  <c r="U24" i="18"/>
  <c r="U58" i="18" s="1"/>
  <c r="T24" i="18"/>
  <c r="S24" i="18"/>
  <c r="R24" i="18"/>
  <c r="R58" i="18" s="1"/>
  <c r="Q24" i="18"/>
  <c r="P24" i="18"/>
  <c r="O24" i="18"/>
  <c r="O58" i="18" s="1"/>
  <c r="N24" i="18"/>
  <c r="M24" i="18"/>
  <c r="M58" i="18" s="1"/>
  <c r="L24" i="18"/>
  <c r="K24" i="18"/>
  <c r="K58" i="18" s="1"/>
  <c r="J24" i="18"/>
  <c r="J58" i="18" s="1"/>
  <c r="H24" i="18"/>
  <c r="H58" i="18" s="1"/>
  <c r="G24" i="18"/>
  <c r="F24" i="18"/>
  <c r="U23" i="18"/>
  <c r="U57" i="18" s="1"/>
  <c r="T23" i="18"/>
  <c r="S23" i="18"/>
  <c r="R23" i="18"/>
  <c r="R57" i="18" s="1"/>
  <c r="Q23" i="18"/>
  <c r="P23" i="18"/>
  <c r="O23" i="18"/>
  <c r="O57" i="18" s="1"/>
  <c r="N23" i="18"/>
  <c r="M23" i="18"/>
  <c r="M57" i="18" s="1"/>
  <c r="L23" i="18"/>
  <c r="K23" i="18"/>
  <c r="J23" i="18"/>
  <c r="J57" i="18" s="1"/>
  <c r="H23" i="18"/>
  <c r="H57" i="18" s="1"/>
  <c r="G23" i="18"/>
  <c r="F23" i="18"/>
  <c r="U22" i="18"/>
  <c r="U56" i="18" s="1"/>
  <c r="T22" i="18"/>
  <c r="S22" i="18"/>
  <c r="R22" i="18"/>
  <c r="R56" i="18" s="1"/>
  <c r="Q22" i="18"/>
  <c r="P22" i="18"/>
  <c r="O22" i="18"/>
  <c r="O56" i="18" s="1"/>
  <c r="N22" i="18"/>
  <c r="M22" i="18"/>
  <c r="M56" i="18" s="1"/>
  <c r="L22" i="18"/>
  <c r="K22" i="18"/>
  <c r="K56" i="18" s="1"/>
  <c r="J22" i="18"/>
  <c r="J56" i="18" s="1"/>
  <c r="H22" i="18"/>
  <c r="H56" i="18" s="1"/>
  <c r="G22" i="18"/>
  <c r="F22" i="18"/>
  <c r="U53" i="17"/>
  <c r="H53" i="17"/>
  <c r="U36" i="17"/>
  <c r="U35" i="17"/>
  <c r="U34" i="17"/>
  <c r="U33" i="17"/>
  <c r="U32" i="17"/>
  <c r="U31" i="17"/>
  <c r="U30" i="17"/>
  <c r="U29" i="17"/>
  <c r="U28" i="17"/>
  <c r="U27" i="17"/>
  <c r="U26" i="17"/>
  <c r="U25" i="17"/>
  <c r="U24" i="17"/>
  <c r="U23" i="17"/>
  <c r="E69" i="17"/>
  <c r="U69" i="17" s="1"/>
  <c r="E68" i="17"/>
  <c r="E67" i="17"/>
  <c r="E66" i="17"/>
  <c r="E65" i="17"/>
  <c r="U65" i="17" s="1"/>
  <c r="E64" i="17"/>
  <c r="E63" i="17"/>
  <c r="E62" i="17"/>
  <c r="E61" i="17"/>
  <c r="E60" i="17"/>
  <c r="E59" i="17"/>
  <c r="E58" i="17"/>
  <c r="E57" i="17"/>
  <c r="U57" i="17" s="1"/>
  <c r="E56" i="17"/>
  <c r="U56" i="17" s="1"/>
  <c r="T53" i="17"/>
  <c r="S53" i="17"/>
  <c r="R53" i="17"/>
  <c r="Q53" i="17"/>
  <c r="P53" i="17"/>
  <c r="O53" i="17"/>
  <c r="N53" i="17"/>
  <c r="M53" i="17"/>
  <c r="L53" i="17"/>
  <c r="K53" i="17"/>
  <c r="J53" i="17"/>
  <c r="G53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H52" i="17"/>
  <c r="G52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H51" i="17"/>
  <c r="G51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H50" i="17"/>
  <c r="G50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H49" i="17"/>
  <c r="G49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H48" i="17"/>
  <c r="G48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H47" i="17"/>
  <c r="G47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H46" i="17"/>
  <c r="G46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H45" i="17"/>
  <c r="G45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H44" i="17"/>
  <c r="G44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H43" i="17"/>
  <c r="G43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H42" i="17"/>
  <c r="G42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H41" i="17"/>
  <c r="G41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H40" i="17"/>
  <c r="G40" i="17"/>
  <c r="T36" i="17"/>
  <c r="S36" i="17"/>
  <c r="R36" i="17"/>
  <c r="R69" i="17" s="1"/>
  <c r="Q36" i="17"/>
  <c r="P36" i="17"/>
  <c r="O36" i="17"/>
  <c r="N36" i="17"/>
  <c r="M36" i="17"/>
  <c r="L36" i="17"/>
  <c r="K36" i="17"/>
  <c r="J36" i="17"/>
  <c r="J69" i="17" s="1"/>
  <c r="H36" i="17"/>
  <c r="H69" i="17" s="1"/>
  <c r="G36" i="17"/>
  <c r="F36" i="17"/>
  <c r="T35" i="17"/>
  <c r="S35" i="17"/>
  <c r="R35" i="17"/>
  <c r="Q35" i="17"/>
  <c r="P35" i="17"/>
  <c r="O35" i="17"/>
  <c r="N35" i="17"/>
  <c r="M35" i="17"/>
  <c r="L35" i="17"/>
  <c r="K35" i="17"/>
  <c r="J35" i="17"/>
  <c r="H35" i="17"/>
  <c r="G35" i="17"/>
  <c r="F35" i="17"/>
  <c r="T34" i="17"/>
  <c r="S34" i="17"/>
  <c r="R34" i="17"/>
  <c r="Q34" i="17"/>
  <c r="P34" i="17"/>
  <c r="O34" i="17"/>
  <c r="N34" i="17"/>
  <c r="M34" i="17"/>
  <c r="L34" i="17"/>
  <c r="K34" i="17"/>
  <c r="J34" i="17"/>
  <c r="H34" i="17"/>
  <c r="G34" i="17"/>
  <c r="F34" i="17"/>
  <c r="T33" i="17"/>
  <c r="S33" i="17"/>
  <c r="R33" i="17"/>
  <c r="Q33" i="17"/>
  <c r="P33" i="17"/>
  <c r="O33" i="17"/>
  <c r="N33" i="17"/>
  <c r="M33" i="17"/>
  <c r="L33" i="17"/>
  <c r="K33" i="17"/>
  <c r="J33" i="17"/>
  <c r="H33" i="17"/>
  <c r="G33" i="17"/>
  <c r="F33" i="17"/>
  <c r="T32" i="17"/>
  <c r="S32" i="17"/>
  <c r="R32" i="17"/>
  <c r="Q32" i="17"/>
  <c r="P32" i="17"/>
  <c r="O32" i="17"/>
  <c r="N32" i="17"/>
  <c r="M32" i="17"/>
  <c r="L32" i="17"/>
  <c r="K32" i="17"/>
  <c r="J32" i="17"/>
  <c r="H32" i="17"/>
  <c r="G32" i="17"/>
  <c r="F32" i="17"/>
  <c r="T31" i="17"/>
  <c r="S31" i="17"/>
  <c r="R31" i="17"/>
  <c r="R64" i="17" s="1"/>
  <c r="Q31" i="17"/>
  <c r="P31" i="17"/>
  <c r="O31" i="17"/>
  <c r="N31" i="17"/>
  <c r="M31" i="17"/>
  <c r="M64" i="17" s="1"/>
  <c r="L31" i="17"/>
  <c r="K31" i="17"/>
  <c r="J31" i="17"/>
  <c r="J64" i="17" s="1"/>
  <c r="H31" i="17"/>
  <c r="G31" i="17"/>
  <c r="F31" i="17"/>
  <c r="T30" i="17"/>
  <c r="S30" i="17"/>
  <c r="R30" i="17"/>
  <c r="Q30" i="17"/>
  <c r="P30" i="17"/>
  <c r="O30" i="17"/>
  <c r="N30" i="17"/>
  <c r="M30" i="17"/>
  <c r="L30" i="17"/>
  <c r="K30" i="17"/>
  <c r="J30" i="17"/>
  <c r="H30" i="17"/>
  <c r="G30" i="17"/>
  <c r="F30" i="17"/>
  <c r="T29" i="17"/>
  <c r="S29" i="17"/>
  <c r="R29" i="17"/>
  <c r="Q29" i="17"/>
  <c r="P29" i="17"/>
  <c r="O29" i="17"/>
  <c r="N29" i="17"/>
  <c r="M29" i="17"/>
  <c r="L29" i="17"/>
  <c r="K29" i="17"/>
  <c r="J29" i="17"/>
  <c r="H29" i="17"/>
  <c r="G29" i="17"/>
  <c r="F29" i="17"/>
  <c r="T28" i="17"/>
  <c r="S28" i="17"/>
  <c r="R28" i="17"/>
  <c r="R61" i="17" s="1"/>
  <c r="Q28" i="17"/>
  <c r="P28" i="17"/>
  <c r="O28" i="17"/>
  <c r="O61" i="17" s="1"/>
  <c r="N28" i="17"/>
  <c r="M28" i="17"/>
  <c r="L28" i="17"/>
  <c r="K28" i="17"/>
  <c r="K61" i="17" s="1"/>
  <c r="J28" i="17"/>
  <c r="J61" i="17" s="1"/>
  <c r="H28" i="17"/>
  <c r="H61" i="17" s="1"/>
  <c r="G28" i="17"/>
  <c r="F28" i="17"/>
  <c r="T27" i="17"/>
  <c r="S27" i="17"/>
  <c r="R27" i="17"/>
  <c r="R60" i="17" s="1"/>
  <c r="Q27" i="17"/>
  <c r="P27" i="17"/>
  <c r="O27" i="17"/>
  <c r="N27" i="17"/>
  <c r="M27" i="17"/>
  <c r="L27" i="17"/>
  <c r="K27" i="17"/>
  <c r="J27" i="17"/>
  <c r="J60" i="17" s="1"/>
  <c r="H27" i="17"/>
  <c r="G27" i="17"/>
  <c r="F27" i="17"/>
  <c r="T26" i="17"/>
  <c r="S26" i="17"/>
  <c r="R26" i="17"/>
  <c r="Q26" i="17"/>
  <c r="P26" i="17"/>
  <c r="O26" i="17"/>
  <c r="N26" i="17"/>
  <c r="M26" i="17"/>
  <c r="L26" i="17"/>
  <c r="K26" i="17"/>
  <c r="J26" i="17"/>
  <c r="H26" i="17"/>
  <c r="G26" i="17"/>
  <c r="F26" i="17"/>
  <c r="T25" i="17"/>
  <c r="S25" i="17"/>
  <c r="R25" i="17"/>
  <c r="Q25" i="17"/>
  <c r="P25" i="17"/>
  <c r="O25" i="17"/>
  <c r="N25" i="17"/>
  <c r="M25" i="17"/>
  <c r="L25" i="17"/>
  <c r="K25" i="17"/>
  <c r="J25" i="17"/>
  <c r="H25" i="17"/>
  <c r="H58" i="17" s="1"/>
  <c r="G25" i="17"/>
  <c r="F25" i="17"/>
  <c r="T24" i="17"/>
  <c r="S24" i="17"/>
  <c r="R24" i="17"/>
  <c r="Q24" i="17"/>
  <c r="P24" i="17"/>
  <c r="O24" i="17"/>
  <c r="N24" i="17"/>
  <c r="M24" i="17"/>
  <c r="L24" i="17"/>
  <c r="K24" i="17"/>
  <c r="J24" i="17"/>
  <c r="H24" i="17"/>
  <c r="G24" i="17"/>
  <c r="F24" i="17"/>
  <c r="T23" i="17"/>
  <c r="S23" i="17"/>
  <c r="R23" i="17"/>
  <c r="Q23" i="17"/>
  <c r="P23" i="17"/>
  <c r="O23" i="17"/>
  <c r="N23" i="17"/>
  <c r="M23" i="17"/>
  <c r="L23" i="17"/>
  <c r="K23" i="17"/>
  <c r="J23" i="17"/>
  <c r="H23" i="17"/>
  <c r="G23" i="17"/>
  <c r="F23" i="17"/>
  <c r="E71" i="16"/>
  <c r="E58" i="16"/>
  <c r="E60" i="16"/>
  <c r="E63" i="16"/>
  <c r="E64" i="16"/>
  <c r="E66" i="16"/>
  <c r="E68" i="16"/>
  <c r="E69" i="16"/>
  <c r="E65" i="16"/>
  <c r="E61" i="16"/>
  <c r="E57" i="16"/>
  <c r="G37" i="16"/>
  <c r="O54" i="16"/>
  <c r="R40" i="16"/>
  <c r="E53" i="12"/>
  <c r="E70" i="16"/>
  <c r="E67" i="16"/>
  <c r="E62" i="16"/>
  <c r="E59" i="16"/>
  <c r="U54" i="16"/>
  <c r="T54" i="16"/>
  <c r="S54" i="16"/>
  <c r="R54" i="16"/>
  <c r="Q54" i="16"/>
  <c r="P54" i="16"/>
  <c r="N54" i="16"/>
  <c r="M54" i="16"/>
  <c r="L54" i="16"/>
  <c r="K54" i="16"/>
  <c r="J54" i="16"/>
  <c r="H54" i="16"/>
  <c r="G54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H53" i="16"/>
  <c r="G53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H52" i="16"/>
  <c r="G52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H51" i="16"/>
  <c r="G51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H50" i="16"/>
  <c r="G50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H49" i="16"/>
  <c r="G49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H48" i="16"/>
  <c r="G48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H47" i="16"/>
  <c r="G47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H46" i="16"/>
  <c r="G46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H45" i="16"/>
  <c r="G45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H44" i="16"/>
  <c r="G44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H43" i="16"/>
  <c r="G43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H42" i="16"/>
  <c r="G42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H41" i="16"/>
  <c r="G41" i="16"/>
  <c r="U40" i="16"/>
  <c r="T40" i="16"/>
  <c r="S40" i="16"/>
  <c r="Q40" i="16"/>
  <c r="P40" i="16"/>
  <c r="O40" i="16"/>
  <c r="N40" i="16"/>
  <c r="M40" i="16"/>
  <c r="L40" i="16"/>
  <c r="K40" i="16"/>
  <c r="J40" i="16"/>
  <c r="H40" i="16"/>
  <c r="G40" i="16"/>
  <c r="U37" i="16"/>
  <c r="U71" i="16" s="1"/>
  <c r="T37" i="16"/>
  <c r="S37" i="16"/>
  <c r="R37" i="16"/>
  <c r="R71" i="16" s="1"/>
  <c r="Q37" i="16"/>
  <c r="P37" i="16"/>
  <c r="O37" i="16"/>
  <c r="O71" i="16" s="1"/>
  <c r="N37" i="16"/>
  <c r="M37" i="16"/>
  <c r="M71" i="16" s="1"/>
  <c r="L37" i="16"/>
  <c r="K37" i="16"/>
  <c r="J37" i="16"/>
  <c r="J71" i="16" s="1"/>
  <c r="H37" i="16"/>
  <c r="H71" i="16" s="1"/>
  <c r="F37" i="16"/>
  <c r="U36" i="16"/>
  <c r="U70" i="16" s="1"/>
  <c r="T36" i="16"/>
  <c r="S36" i="16"/>
  <c r="R36" i="16"/>
  <c r="R70" i="16" s="1"/>
  <c r="Q36" i="16"/>
  <c r="P36" i="16"/>
  <c r="O36" i="16"/>
  <c r="O70" i="16" s="1"/>
  <c r="N36" i="16"/>
  <c r="M36" i="16"/>
  <c r="M70" i="16" s="1"/>
  <c r="L36" i="16"/>
  <c r="K36" i="16"/>
  <c r="J36" i="16"/>
  <c r="J70" i="16" s="1"/>
  <c r="H36" i="16"/>
  <c r="H70" i="16" s="1"/>
  <c r="G36" i="16"/>
  <c r="F36" i="16"/>
  <c r="U35" i="16"/>
  <c r="U69" i="16" s="1"/>
  <c r="T35" i="16"/>
  <c r="S35" i="16"/>
  <c r="R35" i="16"/>
  <c r="R69" i="16" s="1"/>
  <c r="Q35" i="16"/>
  <c r="P35" i="16"/>
  <c r="O35" i="16"/>
  <c r="O69" i="16" s="1"/>
  <c r="N35" i="16"/>
  <c r="M35" i="16"/>
  <c r="M69" i="16" s="1"/>
  <c r="L35" i="16"/>
  <c r="K35" i="16"/>
  <c r="J35" i="16"/>
  <c r="J69" i="16" s="1"/>
  <c r="H35" i="16"/>
  <c r="H69" i="16" s="1"/>
  <c r="G35" i="16"/>
  <c r="F35" i="16"/>
  <c r="U34" i="16"/>
  <c r="U68" i="16" s="1"/>
  <c r="T34" i="16"/>
  <c r="S34" i="16"/>
  <c r="R34" i="16"/>
  <c r="R68" i="16" s="1"/>
  <c r="Q34" i="16"/>
  <c r="P34" i="16"/>
  <c r="O34" i="16"/>
  <c r="O68" i="16" s="1"/>
  <c r="N34" i="16"/>
  <c r="M34" i="16"/>
  <c r="M68" i="16" s="1"/>
  <c r="L34" i="16"/>
  <c r="K34" i="16"/>
  <c r="J34" i="16"/>
  <c r="J68" i="16" s="1"/>
  <c r="H34" i="16"/>
  <c r="H68" i="16" s="1"/>
  <c r="G34" i="16"/>
  <c r="F34" i="16"/>
  <c r="U33" i="16"/>
  <c r="U67" i="16" s="1"/>
  <c r="T33" i="16"/>
  <c r="S33" i="16"/>
  <c r="R33" i="16"/>
  <c r="R67" i="16" s="1"/>
  <c r="Q33" i="16"/>
  <c r="P33" i="16"/>
  <c r="O33" i="16"/>
  <c r="O67" i="16" s="1"/>
  <c r="N33" i="16"/>
  <c r="M33" i="16"/>
  <c r="M67" i="16" s="1"/>
  <c r="L33" i="16"/>
  <c r="K33" i="16"/>
  <c r="J33" i="16"/>
  <c r="J67" i="16" s="1"/>
  <c r="H33" i="16"/>
  <c r="H67" i="16" s="1"/>
  <c r="G33" i="16"/>
  <c r="F33" i="16"/>
  <c r="U32" i="16"/>
  <c r="U66" i="16" s="1"/>
  <c r="T32" i="16"/>
  <c r="S32" i="16"/>
  <c r="R32" i="16"/>
  <c r="R66" i="16" s="1"/>
  <c r="Q32" i="16"/>
  <c r="P32" i="16"/>
  <c r="O32" i="16"/>
  <c r="O66" i="16" s="1"/>
  <c r="N32" i="16"/>
  <c r="M32" i="16"/>
  <c r="M66" i="16" s="1"/>
  <c r="L32" i="16"/>
  <c r="K32" i="16"/>
  <c r="J32" i="16"/>
  <c r="J66" i="16" s="1"/>
  <c r="H32" i="16"/>
  <c r="H66" i="16" s="1"/>
  <c r="G32" i="16"/>
  <c r="F32" i="16"/>
  <c r="U31" i="16"/>
  <c r="U65" i="16" s="1"/>
  <c r="T31" i="16"/>
  <c r="S31" i="16"/>
  <c r="R31" i="16"/>
  <c r="R65" i="16" s="1"/>
  <c r="Q31" i="16"/>
  <c r="P31" i="16"/>
  <c r="O31" i="16"/>
  <c r="O65" i="16" s="1"/>
  <c r="N31" i="16"/>
  <c r="M31" i="16"/>
  <c r="M65" i="16" s="1"/>
  <c r="L31" i="16"/>
  <c r="K31" i="16"/>
  <c r="J31" i="16"/>
  <c r="J65" i="16" s="1"/>
  <c r="H31" i="16"/>
  <c r="H65" i="16" s="1"/>
  <c r="G31" i="16"/>
  <c r="F31" i="16"/>
  <c r="U30" i="16"/>
  <c r="U64" i="16" s="1"/>
  <c r="T30" i="16"/>
  <c r="S30" i="16"/>
  <c r="R30" i="16"/>
  <c r="R64" i="16" s="1"/>
  <c r="Q30" i="16"/>
  <c r="P30" i="16"/>
  <c r="O30" i="16"/>
  <c r="O64" i="16" s="1"/>
  <c r="N30" i="16"/>
  <c r="M30" i="16"/>
  <c r="M64" i="16" s="1"/>
  <c r="L30" i="16"/>
  <c r="K30" i="16"/>
  <c r="J30" i="16"/>
  <c r="J64" i="16" s="1"/>
  <c r="H30" i="16"/>
  <c r="H64" i="16" s="1"/>
  <c r="G30" i="16"/>
  <c r="F30" i="16"/>
  <c r="U29" i="16"/>
  <c r="U63" i="16" s="1"/>
  <c r="T29" i="16"/>
  <c r="S29" i="16"/>
  <c r="R29" i="16"/>
  <c r="R63" i="16" s="1"/>
  <c r="Q29" i="16"/>
  <c r="P29" i="16"/>
  <c r="O29" i="16"/>
  <c r="O63" i="16" s="1"/>
  <c r="N29" i="16"/>
  <c r="M29" i="16"/>
  <c r="M63" i="16" s="1"/>
  <c r="L29" i="16"/>
  <c r="K29" i="16"/>
  <c r="J29" i="16"/>
  <c r="J63" i="16" s="1"/>
  <c r="H29" i="16"/>
  <c r="H63" i="16" s="1"/>
  <c r="G29" i="16"/>
  <c r="F29" i="16"/>
  <c r="U28" i="16"/>
  <c r="U62" i="16" s="1"/>
  <c r="T28" i="16"/>
  <c r="S28" i="16"/>
  <c r="R28" i="16"/>
  <c r="R62" i="16" s="1"/>
  <c r="Q28" i="16"/>
  <c r="P28" i="16"/>
  <c r="O28" i="16"/>
  <c r="O62" i="16" s="1"/>
  <c r="N28" i="16"/>
  <c r="M28" i="16"/>
  <c r="M62" i="16" s="1"/>
  <c r="L28" i="16"/>
  <c r="K28" i="16"/>
  <c r="J28" i="16"/>
  <c r="J62" i="16" s="1"/>
  <c r="H28" i="16"/>
  <c r="H62" i="16" s="1"/>
  <c r="G28" i="16"/>
  <c r="F28" i="16"/>
  <c r="U27" i="16"/>
  <c r="U61" i="16" s="1"/>
  <c r="T27" i="16"/>
  <c r="S27" i="16"/>
  <c r="R27" i="16"/>
  <c r="R61" i="16" s="1"/>
  <c r="Q27" i="16"/>
  <c r="P27" i="16"/>
  <c r="O27" i="16"/>
  <c r="O61" i="16" s="1"/>
  <c r="N27" i="16"/>
  <c r="M27" i="16"/>
  <c r="M61" i="16" s="1"/>
  <c r="L27" i="16"/>
  <c r="K27" i="16"/>
  <c r="J27" i="16"/>
  <c r="J61" i="16" s="1"/>
  <c r="H27" i="16"/>
  <c r="H61" i="16" s="1"/>
  <c r="G27" i="16"/>
  <c r="F27" i="16"/>
  <c r="U26" i="16"/>
  <c r="U60" i="16" s="1"/>
  <c r="T26" i="16"/>
  <c r="S26" i="16"/>
  <c r="R26" i="16"/>
  <c r="R60" i="16" s="1"/>
  <c r="Q26" i="16"/>
  <c r="P26" i="16"/>
  <c r="O26" i="16"/>
  <c r="O60" i="16" s="1"/>
  <c r="N26" i="16"/>
  <c r="M26" i="16"/>
  <c r="M60" i="16" s="1"/>
  <c r="L26" i="16"/>
  <c r="K26" i="16"/>
  <c r="J26" i="16"/>
  <c r="J60" i="16" s="1"/>
  <c r="H26" i="16"/>
  <c r="H60" i="16" s="1"/>
  <c r="G26" i="16"/>
  <c r="F26" i="16"/>
  <c r="U25" i="16"/>
  <c r="U59" i="16" s="1"/>
  <c r="T25" i="16"/>
  <c r="S25" i="16"/>
  <c r="R25" i="16"/>
  <c r="R59" i="16" s="1"/>
  <c r="Q25" i="16"/>
  <c r="P25" i="16"/>
  <c r="O25" i="16"/>
  <c r="O59" i="16" s="1"/>
  <c r="N25" i="16"/>
  <c r="M25" i="16"/>
  <c r="M59" i="16" s="1"/>
  <c r="L25" i="16"/>
  <c r="K25" i="16"/>
  <c r="J25" i="16"/>
  <c r="J59" i="16" s="1"/>
  <c r="H25" i="16"/>
  <c r="H59" i="16" s="1"/>
  <c r="G25" i="16"/>
  <c r="F25" i="16"/>
  <c r="U24" i="16"/>
  <c r="U58" i="16" s="1"/>
  <c r="T24" i="16"/>
  <c r="S24" i="16"/>
  <c r="R24" i="16"/>
  <c r="R58" i="16" s="1"/>
  <c r="Q24" i="16"/>
  <c r="P24" i="16"/>
  <c r="O24" i="16"/>
  <c r="O58" i="16" s="1"/>
  <c r="N24" i="16"/>
  <c r="M24" i="16"/>
  <c r="M58" i="16" s="1"/>
  <c r="L24" i="16"/>
  <c r="K24" i="16"/>
  <c r="J24" i="16"/>
  <c r="J58" i="16" s="1"/>
  <c r="H24" i="16"/>
  <c r="H58" i="16" s="1"/>
  <c r="G24" i="16"/>
  <c r="F24" i="16"/>
  <c r="U23" i="16"/>
  <c r="U57" i="16" s="1"/>
  <c r="T23" i="16"/>
  <c r="S23" i="16"/>
  <c r="R23" i="16"/>
  <c r="R57" i="16" s="1"/>
  <c r="Q23" i="16"/>
  <c r="P23" i="16"/>
  <c r="O23" i="16"/>
  <c r="O57" i="16" s="1"/>
  <c r="N23" i="16"/>
  <c r="M23" i="16"/>
  <c r="M57" i="16" s="1"/>
  <c r="L23" i="16"/>
  <c r="K23" i="16"/>
  <c r="K57" i="16" s="1"/>
  <c r="J23" i="16"/>
  <c r="J57" i="16" s="1"/>
  <c r="H23" i="16"/>
  <c r="H57" i="16" s="1"/>
  <c r="G23" i="16"/>
  <c r="F23" i="16"/>
  <c r="G50" i="12"/>
  <c r="G39" i="12"/>
  <c r="O31" i="12"/>
  <c r="H21" i="12"/>
  <c r="H53" i="12" s="1"/>
  <c r="F25" i="12"/>
  <c r="F21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H50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H49" i="12"/>
  <c r="G49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H48" i="12"/>
  <c r="G48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H47" i="12"/>
  <c r="G47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H46" i="12"/>
  <c r="G46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H45" i="12"/>
  <c r="G45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H44" i="12"/>
  <c r="G44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H43" i="12"/>
  <c r="G43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H42" i="12"/>
  <c r="G42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H41" i="12"/>
  <c r="G41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H40" i="12"/>
  <c r="G40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H39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H38" i="12"/>
  <c r="G38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H37" i="12"/>
  <c r="G37" i="12"/>
  <c r="W34" i="12"/>
  <c r="W66" i="12" s="1"/>
  <c r="V34" i="12"/>
  <c r="U34" i="12"/>
  <c r="T34" i="12"/>
  <c r="T66" i="12" s="1"/>
  <c r="S34" i="12"/>
  <c r="R34" i="12"/>
  <c r="R66" i="12" s="1"/>
  <c r="Q34" i="12"/>
  <c r="P34" i="12"/>
  <c r="O34" i="12"/>
  <c r="O66" i="12" s="1"/>
  <c r="N34" i="12"/>
  <c r="M34" i="12"/>
  <c r="M66" i="12" s="1"/>
  <c r="L34" i="12"/>
  <c r="K34" i="12"/>
  <c r="K66" i="12" s="1"/>
  <c r="J34" i="12"/>
  <c r="J66" i="12" s="1"/>
  <c r="H34" i="12"/>
  <c r="H66" i="12" s="1"/>
  <c r="G34" i="12"/>
  <c r="F34" i="12"/>
  <c r="W33" i="12"/>
  <c r="V33" i="12"/>
  <c r="U33" i="12"/>
  <c r="T33" i="12"/>
  <c r="T65" i="12" s="1"/>
  <c r="S33" i="12"/>
  <c r="R33" i="12"/>
  <c r="R65" i="12" s="1"/>
  <c r="Q33" i="12"/>
  <c r="P33" i="12"/>
  <c r="O33" i="12"/>
  <c r="O65" i="12" s="1"/>
  <c r="N33" i="12"/>
  <c r="M33" i="12"/>
  <c r="M65" i="12" s="1"/>
  <c r="L33" i="12"/>
  <c r="K33" i="12"/>
  <c r="K65" i="12" s="1"/>
  <c r="J33" i="12"/>
  <c r="J65" i="12" s="1"/>
  <c r="H33" i="12"/>
  <c r="H65" i="12" s="1"/>
  <c r="G33" i="12"/>
  <c r="F33" i="12"/>
  <c r="W32" i="12"/>
  <c r="V32" i="12"/>
  <c r="U32" i="12"/>
  <c r="T32" i="12"/>
  <c r="T64" i="12" s="1"/>
  <c r="S32" i="12"/>
  <c r="R32" i="12"/>
  <c r="R64" i="12" s="1"/>
  <c r="Q32" i="12"/>
  <c r="P32" i="12"/>
  <c r="O32" i="12"/>
  <c r="O64" i="12" s="1"/>
  <c r="N32" i="12"/>
  <c r="M32" i="12"/>
  <c r="M64" i="12" s="1"/>
  <c r="L32" i="12"/>
  <c r="K32" i="12"/>
  <c r="K64" i="12" s="1"/>
  <c r="J32" i="12"/>
  <c r="J64" i="12" s="1"/>
  <c r="H32" i="12"/>
  <c r="H64" i="12" s="1"/>
  <c r="G32" i="12"/>
  <c r="F32" i="12"/>
  <c r="W31" i="12"/>
  <c r="V31" i="12"/>
  <c r="U31" i="12"/>
  <c r="T31" i="12"/>
  <c r="T63" i="12" s="1"/>
  <c r="S31" i="12"/>
  <c r="R31" i="12"/>
  <c r="R63" i="12" s="1"/>
  <c r="Q31" i="12"/>
  <c r="P31" i="12"/>
  <c r="N31" i="12"/>
  <c r="M31" i="12"/>
  <c r="M63" i="12" s="1"/>
  <c r="L31" i="12"/>
  <c r="K31" i="12"/>
  <c r="K63" i="12" s="1"/>
  <c r="J31" i="12"/>
  <c r="J63" i="12" s="1"/>
  <c r="H31" i="12"/>
  <c r="H63" i="12" s="1"/>
  <c r="G31" i="12"/>
  <c r="F31" i="12"/>
  <c r="W30" i="12"/>
  <c r="V30" i="12"/>
  <c r="U30" i="12"/>
  <c r="T30" i="12"/>
  <c r="T62" i="12" s="1"/>
  <c r="S30" i="12"/>
  <c r="R30" i="12"/>
  <c r="R62" i="12" s="1"/>
  <c r="Q30" i="12"/>
  <c r="P30" i="12"/>
  <c r="O30" i="12"/>
  <c r="O62" i="12" s="1"/>
  <c r="N30" i="12"/>
  <c r="M30" i="12"/>
  <c r="M62" i="12" s="1"/>
  <c r="L30" i="12"/>
  <c r="K30" i="12"/>
  <c r="K62" i="12" s="1"/>
  <c r="J30" i="12"/>
  <c r="J62" i="12" s="1"/>
  <c r="H30" i="12"/>
  <c r="H62" i="12" s="1"/>
  <c r="G30" i="12"/>
  <c r="F30" i="12"/>
  <c r="W29" i="12"/>
  <c r="V29" i="12"/>
  <c r="U29" i="12"/>
  <c r="T29" i="12"/>
  <c r="T61" i="12" s="1"/>
  <c r="S29" i="12"/>
  <c r="R29" i="12"/>
  <c r="R61" i="12" s="1"/>
  <c r="Q29" i="12"/>
  <c r="P29" i="12"/>
  <c r="O29" i="12"/>
  <c r="O61" i="12" s="1"/>
  <c r="N29" i="12"/>
  <c r="M29" i="12"/>
  <c r="M61" i="12" s="1"/>
  <c r="L29" i="12"/>
  <c r="K29" i="12"/>
  <c r="K61" i="12" s="1"/>
  <c r="J29" i="12"/>
  <c r="J61" i="12" s="1"/>
  <c r="H29" i="12"/>
  <c r="H61" i="12" s="1"/>
  <c r="G29" i="12"/>
  <c r="F29" i="12"/>
  <c r="W28" i="12"/>
  <c r="W60" i="12" s="1"/>
  <c r="V28" i="12"/>
  <c r="U28" i="12"/>
  <c r="T28" i="12"/>
  <c r="T60" i="12" s="1"/>
  <c r="S28" i="12"/>
  <c r="R28" i="12"/>
  <c r="R60" i="12" s="1"/>
  <c r="Q28" i="12"/>
  <c r="P28" i="12"/>
  <c r="O28" i="12"/>
  <c r="O60" i="12" s="1"/>
  <c r="N28" i="12"/>
  <c r="M28" i="12"/>
  <c r="M60" i="12" s="1"/>
  <c r="L28" i="12"/>
  <c r="K28" i="12"/>
  <c r="K60" i="12" s="1"/>
  <c r="J28" i="12"/>
  <c r="J60" i="12" s="1"/>
  <c r="H28" i="12"/>
  <c r="H60" i="12" s="1"/>
  <c r="G28" i="12"/>
  <c r="F28" i="12"/>
  <c r="W27" i="12"/>
  <c r="V27" i="12"/>
  <c r="U27" i="12"/>
  <c r="T27" i="12"/>
  <c r="T59" i="12" s="1"/>
  <c r="S27" i="12"/>
  <c r="R27" i="12"/>
  <c r="R59" i="12" s="1"/>
  <c r="Q27" i="12"/>
  <c r="P27" i="12"/>
  <c r="O27" i="12"/>
  <c r="O59" i="12" s="1"/>
  <c r="N27" i="12"/>
  <c r="M27" i="12"/>
  <c r="M59" i="12" s="1"/>
  <c r="L27" i="12"/>
  <c r="K27" i="12"/>
  <c r="K59" i="12" s="1"/>
  <c r="J27" i="12"/>
  <c r="J59" i="12" s="1"/>
  <c r="H27" i="12"/>
  <c r="H59" i="12" s="1"/>
  <c r="G27" i="12"/>
  <c r="F27" i="12"/>
  <c r="W26" i="12"/>
  <c r="W58" i="12" s="1"/>
  <c r="V26" i="12"/>
  <c r="U26" i="12"/>
  <c r="T26" i="12"/>
  <c r="T58" i="12" s="1"/>
  <c r="S26" i="12"/>
  <c r="R26" i="12"/>
  <c r="R58" i="12" s="1"/>
  <c r="Q26" i="12"/>
  <c r="P26" i="12"/>
  <c r="O26" i="12"/>
  <c r="O58" i="12" s="1"/>
  <c r="N26" i="12"/>
  <c r="M26" i="12"/>
  <c r="M58" i="12" s="1"/>
  <c r="L26" i="12"/>
  <c r="K26" i="12"/>
  <c r="K58" i="12" s="1"/>
  <c r="J26" i="12"/>
  <c r="J58" i="12" s="1"/>
  <c r="H26" i="12"/>
  <c r="H58" i="12" s="1"/>
  <c r="G26" i="12"/>
  <c r="F26" i="12"/>
  <c r="W25" i="12"/>
  <c r="V25" i="12"/>
  <c r="U25" i="12"/>
  <c r="T25" i="12"/>
  <c r="T57" i="12" s="1"/>
  <c r="S25" i="12"/>
  <c r="R25" i="12"/>
  <c r="R57" i="12" s="1"/>
  <c r="Q25" i="12"/>
  <c r="P25" i="12"/>
  <c r="O25" i="12"/>
  <c r="O57" i="12" s="1"/>
  <c r="N25" i="12"/>
  <c r="M25" i="12"/>
  <c r="M57" i="12" s="1"/>
  <c r="L25" i="12"/>
  <c r="K25" i="12"/>
  <c r="K57" i="12" s="1"/>
  <c r="J25" i="12"/>
  <c r="J57" i="12" s="1"/>
  <c r="H25" i="12"/>
  <c r="H57" i="12" s="1"/>
  <c r="G25" i="12"/>
  <c r="W24" i="12"/>
  <c r="W56" i="12" s="1"/>
  <c r="V24" i="12"/>
  <c r="U24" i="12"/>
  <c r="T24" i="12"/>
  <c r="T56" i="12" s="1"/>
  <c r="S24" i="12"/>
  <c r="R24" i="12"/>
  <c r="R56" i="12" s="1"/>
  <c r="Q24" i="12"/>
  <c r="P24" i="12"/>
  <c r="O24" i="12"/>
  <c r="O56" i="12" s="1"/>
  <c r="N24" i="12"/>
  <c r="M24" i="12"/>
  <c r="M56" i="12" s="1"/>
  <c r="L24" i="12"/>
  <c r="K24" i="12"/>
  <c r="K56" i="12" s="1"/>
  <c r="J24" i="12"/>
  <c r="J56" i="12" s="1"/>
  <c r="H24" i="12"/>
  <c r="H56" i="12" s="1"/>
  <c r="G24" i="12"/>
  <c r="F24" i="12"/>
  <c r="W23" i="12"/>
  <c r="V23" i="12"/>
  <c r="U23" i="12"/>
  <c r="T23" i="12"/>
  <c r="T55" i="12" s="1"/>
  <c r="S23" i="12"/>
  <c r="R23" i="12"/>
  <c r="R55" i="12" s="1"/>
  <c r="Q23" i="12"/>
  <c r="P23" i="12"/>
  <c r="O23" i="12"/>
  <c r="O55" i="12" s="1"/>
  <c r="N23" i="12"/>
  <c r="M23" i="12"/>
  <c r="M55" i="12" s="1"/>
  <c r="L23" i="12"/>
  <c r="K23" i="12"/>
  <c r="K55" i="12" s="1"/>
  <c r="J23" i="12"/>
  <c r="J55" i="12" s="1"/>
  <c r="H23" i="12"/>
  <c r="H55" i="12" s="1"/>
  <c r="G23" i="12"/>
  <c r="F23" i="12"/>
  <c r="W22" i="12"/>
  <c r="V22" i="12"/>
  <c r="U22" i="12"/>
  <c r="T22" i="12"/>
  <c r="T54" i="12" s="1"/>
  <c r="S22" i="12"/>
  <c r="R22" i="12"/>
  <c r="R54" i="12" s="1"/>
  <c r="Q22" i="12"/>
  <c r="P22" i="12"/>
  <c r="O22" i="12"/>
  <c r="O54" i="12" s="1"/>
  <c r="N22" i="12"/>
  <c r="M22" i="12"/>
  <c r="M54" i="12" s="1"/>
  <c r="L22" i="12"/>
  <c r="K22" i="12"/>
  <c r="K54" i="12" s="1"/>
  <c r="J22" i="12"/>
  <c r="J54" i="12" s="1"/>
  <c r="H22" i="12"/>
  <c r="H54" i="12" s="1"/>
  <c r="G22" i="12"/>
  <c r="F22" i="12"/>
  <c r="W21" i="12"/>
  <c r="V21" i="12"/>
  <c r="U21" i="12"/>
  <c r="T21" i="12"/>
  <c r="T53" i="12" s="1"/>
  <c r="S21" i="12"/>
  <c r="R21" i="12"/>
  <c r="R53" i="12" s="1"/>
  <c r="Q21" i="12"/>
  <c r="P21" i="12"/>
  <c r="O21" i="12"/>
  <c r="O53" i="12" s="1"/>
  <c r="N21" i="12"/>
  <c r="M21" i="12"/>
  <c r="M53" i="12" s="1"/>
  <c r="L21" i="12"/>
  <c r="K21" i="12"/>
  <c r="K53" i="12" s="1"/>
  <c r="J21" i="12"/>
  <c r="J53" i="12" s="1"/>
  <c r="G21" i="12"/>
  <c r="O63" i="12" l="1"/>
  <c r="K58" i="17"/>
  <c r="R59" i="17"/>
  <c r="K60" i="17"/>
  <c r="M61" i="17"/>
  <c r="K62" i="17"/>
  <c r="R63" i="17"/>
  <c r="K64" i="17"/>
  <c r="K66" i="17"/>
  <c r="R67" i="17"/>
  <c r="K68" i="17"/>
  <c r="U58" i="17"/>
  <c r="U61" i="17"/>
  <c r="K57" i="18"/>
  <c r="K61" i="18"/>
  <c r="K69" i="18"/>
  <c r="H57" i="13"/>
  <c r="M58" i="13"/>
  <c r="U59" i="13"/>
  <c r="J60" i="13"/>
  <c r="H61" i="13"/>
  <c r="M62" i="13"/>
  <c r="U63" i="13"/>
  <c r="J64" i="13"/>
  <c r="H65" i="13"/>
  <c r="M66" i="13"/>
  <c r="U67" i="13"/>
  <c r="J68" i="13"/>
  <c r="H69" i="13"/>
  <c r="M70" i="13"/>
  <c r="H57" i="19"/>
  <c r="U58" i="19"/>
  <c r="O59" i="19"/>
  <c r="R60" i="19"/>
  <c r="H61" i="19"/>
  <c r="U62" i="19"/>
  <c r="O63" i="19"/>
  <c r="R64" i="19"/>
  <c r="H65" i="19"/>
  <c r="U66" i="19"/>
  <c r="O67" i="19"/>
  <c r="R68" i="19"/>
  <c r="R58" i="20"/>
  <c r="M59" i="20"/>
  <c r="R62" i="20"/>
  <c r="M63" i="20"/>
  <c r="M67" i="20"/>
  <c r="R70" i="20"/>
  <c r="H56" i="21"/>
  <c r="U57" i="21"/>
  <c r="O58" i="21"/>
  <c r="U59" i="21"/>
  <c r="H60" i="21"/>
  <c r="U61" i="21"/>
  <c r="O62" i="21"/>
  <c r="K63" i="21"/>
  <c r="H64" i="21"/>
  <c r="U65" i="21"/>
  <c r="O66" i="21"/>
  <c r="K67" i="21"/>
  <c r="H68" i="21"/>
  <c r="H69" i="21"/>
  <c r="O70" i="21"/>
  <c r="H56" i="22"/>
  <c r="U57" i="22"/>
  <c r="O58" i="22"/>
  <c r="U59" i="22"/>
  <c r="K60" i="22"/>
  <c r="U61" i="22"/>
  <c r="O62" i="22"/>
  <c r="U63" i="22"/>
  <c r="K64" i="22"/>
  <c r="U65" i="22"/>
  <c r="O66" i="22"/>
  <c r="U67" i="22"/>
  <c r="K68" i="22"/>
  <c r="U69" i="22"/>
  <c r="O70" i="22"/>
  <c r="U57" i="23"/>
  <c r="U59" i="23"/>
  <c r="U61" i="23"/>
  <c r="U65" i="23"/>
  <c r="U69" i="23"/>
  <c r="U58" i="23"/>
  <c r="U62" i="23"/>
  <c r="U66" i="23"/>
  <c r="U63" i="23"/>
  <c r="U67" i="23"/>
  <c r="R58" i="22"/>
  <c r="R66" i="22"/>
  <c r="R59" i="22"/>
  <c r="R67" i="22"/>
  <c r="O67" i="22"/>
  <c r="K61" i="22"/>
  <c r="K66" i="22"/>
  <c r="J58" i="22"/>
  <c r="J66" i="22"/>
  <c r="R62" i="22"/>
  <c r="R70" i="22"/>
  <c r="K57" i="22"/>
  <c r="K62" i="22"/>
  <c r="K67" i="22"/>
  <c r="J59" i="22"/>
  <c r="J67" i="22"/>
  <c r="K58" i="22"/>
  <c r="K69" i="22"/>
  <c r="J62" i="22"/>
  <c r="J70" i="22"/>
  <c r="M60" i="22"/>
  <c r="M68" i="22"/>
  <c r="H64" i="22"/>
  <c r="O56" i="22"/>
  <c r="O60" i="22"/>
  <c r="O64" i="22"/>
  <c r="O68" i="22"/>
  <c r="M57" i="22"/>
  <c r="M61" i="22"/>
  <c r="M65" i="22"/>
  <c r="M69" i="22"/>
  <c r="H57" i="22"/>
  <c r="H61" i="22"/>
  <c r="H65" i="22"/>
  <c r="H69" i="22"/>
  <c r="H60" i="22"/>
  <c r="R56" i="22"/>
  <c r="R60" i="22"/>
  <c r="R64" i="22"/>
  <c r="R68" i="22"/>
  <c r="O57" i="22"/>
  <c r="O61" i="22"/>
  <c r="O65" i="22"/>
  <c r="O69" i="22"/>
  <c r="M58" i="22"/>
  <c r="M62" i="22"/>
  <c r="M66" i="22"/>
  <c r="M70" i="22"/>
  <c r="J56" i="22"/>
  <c r="J60" i="22"/>
  <c r="J64" i="22"/>
  <c r="J68" i="22"/>
  <c r="H58" i="22"/>
  <c r="H62" i="22"/>
  <c r="H66" i="22"/>
  <c r="H70" i="22"/>
  <c r="M56" i="22"/>
  <c r="M64" i="22"/>
  <c r="H68" i="22"/>
  <c r="R57" i="22"/>
  <c r="R61" i="22"/>
  <c r="R65" i="22"/>
  <c r="R69" i="22"/>
  <c r="M59" i="22"/>
  <c r="M63" i="22"/>
  <c r="M67" i="22"/>
  <c r="K56" i="22"/>
  <c r="J57" i="22"/>
  <c r="J61" i="22"/>
  <c r="J65" i="22"/>
  <c r="J69" i="22"/>
  <c r="H59" i="22"/>
  <c r="H63" i="22"/>
  <c r="H67" i="22"/>
  <c r="U58" i="21"/>
  <c r="M58" i="21"/>
  <c r="J70" i="21"/>
  <c r="K58" i="21"/>
  <c r="M57" i="21"/>
  <c r="R58" i="21"/>
  <c r="M61" i="21"/>
  <c r="R66" i="21"/>
  <c r="M69" i="21"/>
  <c r="R70" i="21"/>
  <c r="M70" i="21"/>
  <c r="J56" i="21"/>
  <c r="J64" i="21"/>
  <c r="H58" i="21"/>
  <c r="O63" i="21"/>
  <c r="J58" i="21"/>
  <c r="K64" i="21"/>
  <c r="H66" i="21"/>
  <c r="O67" i="21"/>
  <c r="J62" i="21"/>
  <c r="J68" i="21"/>
  <c r="H62" i="21"/>
  <c r="R62" i="21"/>
  <c r="M65" i="21"/>
  <c r="M62" i="21"/>
  <c r="K56" i="21"/>
  <c r="K60" i="21"/>
  <c r="K62" i="21"/>
  <c r="K66" i="21"/>
  <c r="K68" i="21"/>
  <c r="K70" i="21"/>
  <c r="H59" i="21"/>
  <c r="H63" i="21"/>
  <c r="H67" i="21"/>
  <c r="O56" i="21"/>
  <c r="O60" i="21"/>
  <c r="O64" i="21"/>
  <c r="O68" i="21"/>
  <c r="M68" i="21"/>
  <c r="U68" i="21"/>
  <c r="M66" i="21"/>
  <c r="U69" i="21"/>
  <c r="J57" i="21"/>
  <c r="J59" i="21"/>
  <c r="J61" i="21"/>
  <c r="J63" i="21"/>
  <c r="J65" i="21"/>
  <c r="J67" i="21"/>
  <c r="J69" i="21"/>
  <c r="O57" i="21"/>
  <c r="O61" i="21"/>
  <c r="O65" i="21"/>
  <c r="O69" i="21"/>
  <c r="R68" i="21"/>
  <c r="K57" i="21"/>
  <c r="K59" i="21"/>
  <c r="K61" i="21"/>
  <c r="K65" i="21"/>
  <c r="K69" i="21"/>
  <c r="H57" i="21"/>
  <c r="H61" i="21"/>
  <c r="H65" i="21"/>
  <c r="R57" i="21"/>
  <c r="R61" i="21"/>
  <c r="R65" i="21"/>
  <c r="R69" i="21"/>
  <c r="U63" i="21"/>
  <c r="U67" i="21"/>
  <c r="M69" i="20"/>
  <c r="U69" i="20"/>
  <c r="M58" i="20"/>
  <c r="U59" i="20"/>
  <c r="R59" i="20"/>
  <c r="M60" i="20"/>
  <c r="M65" i="20"/>
  <c r="U65" i="20"/>
  <c r="R68" i="20"/>
  <c r="R65" i="20"/>
  <c r="M66" i="20"/>
  <c r="R69" i="20"/>
  <c r="M70" i="20"/>
  <c r="U63" i="20"/>
  <c r="U67" i="20"/>
  <c r="U71" i="20"/>
  <c r="U60" i="20"/>
  <c r="U62" i="20"/>
  <c r="U66" i="20"/>
  <c r="U68" i="20"/>
  <c r="U58" i="20"/>
  <c r="R66" i="20"/>
  <c r="U64" i="20"/>
  <c r="U70" i="20"/>
  <c r="U63" i="19"/>
  <c r="U67" i="19"/>
  <c r="M67" i="19"/>
  <c r="O56" i="19"/>
  <c r="O64" i="19"/>
  <c r="K67" i="19"/>
  <c r="H62" i="19"/>
  <c r="J67" i="19"/>
  <c r="M58" i="19"/>
  <c r="R67" i="19"/>
  <c r="M69" i="19"/>
  <c r="U69" i="19"/>
  <c r="O57" i="19"/>
  <c r="O69" i="19"/>
  <c r="K61" i="19"/>
  <c r="J69" i="19"/>
  <c r="H66" i="19"/>
  <c r="O60" i="19"/>
  <c r="J57" i="19"/>
  <c r="J63" i="19"/>
  <c r="K69" i="19"/>
  <c r="H67" i="19"/>
  <c r="O68" i="19"/>
  <c r="J59" i="19"/>
  <c r="J65" i="19"/>
  <c r="U59" i="19"/>
  <c r="M59" i="19"/>
  <c r="U68" i="19"/>
  <c r="O65" i="19"/>
  <c r="K59" i="19"/>
  <c r="K63" i="19"/>
  <c r="K65" i="19"/>
  <c r="H59" i="19"/>
  <c r="H63" i="19"/>
  <c r="R59" i="19"/>
  <c r="M62" i="19"/>
  <c r="R63" i="19"/>
  <c r="M66" i="19"/>
  <c r="M63" i="19"/>
  <c r="O58" i="19"/>
  <c r="O62" i="19"/>
  <c r="O66" i="19"/>
  <c r="J56" i="19"/>
  <c r="J58" i="19"/>
  <c r="J60" i="19"/>
  <c r="J62" i="19"/>
  <c r="J64" i="19"/>
  <c r="J66" i="19"/>
  <c r="J68" i="19"/>
  <c r="H56" i="19"/>
  <c r="H60" i="19"/>
  <c r="H64" i="19"/>
  <c r="H68" i="19"/>
  <c r="R62" i="19"/>
  <c r="M65" i="19"/>
  <c r="U65" i="19"/>
  <c r="R66" i="19"/>
  <c r="K56" i="19"/>
  <c r="K58" i="19"/>
  <c r="K60" i="19"/>
  <c r="K62" i="19"/>
  <c r="K64" i="19"/>
  <c r="K66" i="19"/>
  <c r="K68" i="19"/>
  <c r="U60" i="19"/>
  <c r="U64" i="19"/>
  <c r="R56" i="19"/>
  <c r="O57" i="13"/>
  <c r="J65" i="13"/>
  <c r="J69" i="13"/>
  <c r="M71" i="13"/>
  <c r="J61" i="13"/>
  <c r="K58" i="13"/>
  <c r="O58" i="13"/>
  <c r="K62" i="13"/>
  <c r="O62" i="13"/>
  <c r="K66" i="13"/>
  <c r="O66" i="13"/>
  <c r="K70" i="13"/>
  <c r="O70" i="13"/>
  <c r="J57" i="13"/>
  <c r="M59" i="13"/>
  <c r="U64" i="13"/>
  <c r="H58" i="13"/>
  <c r="H62" i="13"/>
  <c r="H66" i="13"/>
  <c r="H70" i="13"/>
  <c r="U60" i="13"/>
  <c r="U68" i="13"/>
  <c r="R60" i="13"/>
  <c r="R64" i="13"/>
  <c r="R68" i="13"/>
  <c r="J58" i="13"/>
  <c r="J62" i="13"/>
  <c r="J66" i="13"/>
  <c r="J70" i="13"/>
  <c r="H59" i="13"/>
  <c r="H67" i="13"/>
  <c r="H71" i="13"/>
  <c r="M60" i="13"/>
  <c r="M64" i="13"/>
  <c r="M68" i="13"/>
  <c r="U57" i="13"/>
  <c r="U61" i="13"/>
  <c r="U65" i="13"/>
  <c r="U69" i="13"/>
  <c r="K57" i="13"/>
  <c r="K59" i="13"/>
  <c r="K61" i="13"/>
  <c r="K63" i="13"/>
  <c r="K65" i="13"/>
  <c r="K67" i="13"/>
  <c r="K69" i="13"/>
  <c r="K71" i="13"/>
  <c r="J59" i="13"/>
  <c r="J63" i="13"/>
  <c r="J67" i="13"/>
  <c r="J71" i="13"/>
  <c r="H60" i="13"/>
  <c r="H64" i="13"/>
  <c r="H68" i="13"/>
  <c r="M57" i="13"/>
  <c r="M61" i="13"/>
  <c r="M65" i="13"/>
  <c r="M69" i="13"/>
  <c r="U58" i="13"/>
  <c r="U62" i="13"/>
  <c r="U66" i="13"/>
  <c r="U70" i="13"/>
  <c r="K60" i="13"/>
  <c r="O60" i="13"/>
  <c r="K64" i="13"/>
  <c r="O64" i="13"/>
  <c r="K68" i="13"/>
  <c r="O68" i="13"/>
  <c r="R58" i="13"/>
  <c r="O59" i="13"/>
  <c r="R62" i="13"/>
  <c r="O63" i="13"/>
  <c r="R66" i="13"/>
  <c r="O67" i="13"/>
  <c r="R70" i="13"/>
  <c r="R57" i="13"/>
  <c r="R59" i="13"/>
  <c r="R61" i="13"/>
  <c r="R63" i="13"/>
  <c r="R65" i="13"/>
  <c r="R67" i="13"/>
  <c r="R69" i="13"/>
  <c r="R71" i="13"/>
  <c r="K65" i="18"/>
  <c r="K59" i="17"/>
  <c r="M56" i="17"/>
  <c r="M68" i="17"/>
  <c r="O66" i="17"/>
  <c r="K69" i="17"/>
  <c r="M60" i="17"/>
  <c r="M69" i="17"/>
  <c r="O69" i="17"/>
  <c r="K67" i="17"/>
  <c r="J56" i="17"/>
  <c r="J68" i="17"/>
  <c r="H66" i="17"/>
  <c r="O58" i="17"/>
  <c r="R56" i="17"/>
  <c r="R68" i="17"/>
  <c r="U66" i="17"/>
  <c r="O62" i="17"/>
  <c r="U62" i="17"/>
  <c r="H63" i="17"/>
  <c r="M57" i="17"/>
  <c r="M65" i="17"/>
  <c r="O59" i="17"/>
  <c r="R65" i="17"/>
  <c r="H62" i="17"/>
  <c r="K57" i="17"/>
  <c r="K65" i="17"/>
  <c r="J57" i="17"/>
  <c r="J65" i="17"/>
  <c r="H59" i="17"/>
  <c r="H67" i="17"/>
  <c r="O63" i="17"/>
  <c r="O67" i="17"/>
  <c r="R57" i="17"/>
  <c r="U59" i="17"/>
  <c r="U63" i="17"/>
  <c r="U67" i="17"/>
  <c r="K63" i="17"/>
  <c r="J58" i="17"/>
  <c r="J62" i="17"/>
  <c r="J66" i="17"/>
  <c r="H56" i="17"/>
  <c r="H60" i="17"/>
  <c r="H64" i="17"/>
  <c r="H68" i="17"/>
  <c r="M58" i="17"/>
  <c r="M62" i="17"/>
  <c r="M66" i="17"/>
  <c r="O56" i="17"/>
  <c r="O60" i="17"/>
  <c r="O64" i="17"/>
  <c r="O68" i="17"/>
  <c r="R58" i="17"/>
  <c r="R62" i="17"/>
  <c r="R66" i="17"/>
  <c r="U60" i="17"/>
  <c r="U64" i="17"/>
  <c r="U68" i="17"/>
  <c r="J59" i="17"/>
  <c r="J63" i="17"/>
  <c r="J67" i="17"/>
  <c r="H57" i="17"/>
  <c r="H65" i="17"/>
  <c r="M59" i="17"/>
  <c r="M63" i="17"/>
  <c r="M67" i="17"/>
  <c r="O57" i="17"/>
  <c r="O65" i="17"/>
  <c r="K56" i="17"/>
  <c r="K64" i="16"/>
  <c r="K58" i="16"/>
  <c r="K61" i="16"/>
  <c r="K65" i="16"/>
  <c r="K69" i="16"/>
  <c r="K68" i="16"/>
  <c r="K60" i="16"/>
  <c r="K66" i="16"/>
  <c r="K70" i="16"/>
  <c r="W62" i="12"/>
  <c r="W54" i="12"/>
  <c r="W64" i="12"/>
  <c r="K59" i="16"/>
  <c r="K63" i="16"/>
  <c r="K67" i="16"/>
  <c r="K62" i="16"/>
  <c r="K71" i="16"/>
  <c r="W55" i="12"/>
  <c r="W59" i="12"/>
  <c r="W57" i="12"/>
  <c r="W53" i="12"/>
  <c r="W63" i="12"/>
  <c r="W65" i="12"/>
  <c r="W61" i="12"/>
  <c r="E56" i="4"/>
  <c r="E68" i="4"/>
  <c r="E67" i="4"/>
  <c r="E64" i="4"/>
  <c r="E63" i="4"/>
  <c r="E60" i="4"/>
  <c r="E59" i="4"/>
  <c r="E70" i="4"/>
  <c r="E69" i="4"/>
  <c r="E66" i="4"/>
  <c r="E65" i="4"/>
  <c r="E62" i="4"/>
  <c r="E61" i="4"/>
  <c r="E58" i="4"/>
  <c r="E57" i="4"/>
  <c r="E69" i="6"/>
  <c r="E57" i="6"/>
  <c r="E58" i="6"/>
  <c r="E62" i="6"/>
  <c r="E65" i="6"/>
  <c r="E66" i="6"/>
  <c r="E67" i="6"/>
  <c r="E63" i="6"/>
  <c r="E59" i="6"/>
  <c r="E55" i="6"/>
  <c r="E68" i="6"/>
  <c r="E64" i="6"/>
  <c r="E61" i="6"/>
  <c r="E60" i="6"/>
  <c r="E56" i="6"/>
  <c r="E54" i="5"/>
  <c r="E56" i="5"/>
  <c r="E57" i="5"/>
  <c r="E61" i="5"/>
  <c r="E64" i="5"/>
  <c r="E65" i="5"/>
  <c r="E66" i="5"/>
  <c r="E63" i="5"/>
  <c r="E62" i="5"/>
  <c r="E60" i="5"/>
  <c r="E59" i="5"/>
  <c r="E58" i="5"/>
  <c r="E55" i="5"/>
  <c r="E53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E70" i="3" l="1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67" i="11"/>
  <c r="E66" i="11"/>
  <c r="E62" i="11"/>
  <c r="E60" i="11"/>
  <c r="E58" i="11"/>
  <c r="E56" i="11"/>
  <c r="E57" i="11"/>
  <c r="E59" i="11"/>
  <c r="E61" i="11"/>
  <c r="E63" i="11"/>
  <c r="E64" i="11"/>
  <c r="E65" i="11"/>
  <c r="E68" i="11"/>
  <c r="E69" i="11"/>
  <c r="X35" i="7"/>
  <c r="E56" i="7"/>
  <c r="E67" i="7"/>
  <c r="E65" i="7"/>
  <c r="E64" i="7"/>
  <c r="E70" i="7"/>
  <c r="E69" i="7"/>
  <c r="E68" i="7"/>
  <c r="E66" i="7"/>
  <c r="E63" i="7"/>
  <c r="E62" i="7"/>
  <c r="E61" i="7"/>
  <c r="E60" i="7"/>
  <c r="E59" i="7"/>
  <c r="E58" i="7"/>
  <c r="E57" i="7"/>
  <c r="E55" i="8"/>
  <c r="E58" i="8"/>
  <c r="E56" i="8"/>
  <c r="E69" i="8"/>
  <c r="E68" i="8"/>
  <c r="E67" i="8"/>
  <c r="E66" i="8"/>
  <c r="E65" i="8"/>
  <c r="E64" i="8"/>
  <c r="E63" i="8"/>
  <c r="E62" i="8"/>
  <c r="E61" i="8"/>
  <c r="E60" i="8"/>
  <c r="E59" i="8"/>
  <c r="E57" i="8"/>
  <c r="E56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56" i="10"/>
  <c r="X69" i="7" l="1"/>
  <c r="C64" i="15" l="1"/>
  <c r="C65" i="15"/>
  <c r="C66" i="15"/>
  <c r="C67" i="15"/>
  <c r="C68" i="15"/>
  <c r="C69" i="15"/>
  <c r="C70" i="15"/>
  <c r="C71" i="15"/>
  <c r="C72" i="15"/>
  <c r="C73" i="15"/>
  <c r="C74" i="15"/>
  <c r="C75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" i="15"/>
  <c r="C88" i="14"/>
  <c r="D88" i="14" s="1"/>
  <c r="E88" i="14" s="1"/>
  <c r="C87" i="14"/>
  <c r="D87" i="14" s="1"/>
  <c r="E87" i="14" s="1"/>
  <c r="C86" i="14"/>
  <c r="D86" i="14" s="1"/>
  <c r="E86" i="14" s="1"/>
  <c r="C85" i="14"/>
  <c r="D85" i="14" s="1"/>
  <c r="E85" i="14" s="1"/>
  <c r="C84" i="14"/>
  <c r="D84" i="14" s="1"/>
  <c r="E84" i="14" s="1"/>
  <c r="C83" i="14"/>
  <c r="D83" i="14" s="1"/>
  <c r="E83" i="14" s="1"/>
  <c r="C82" i="14"/>
  <c r="D82" i="14" s="1"/>
  <c r="E82" i="14" s="1"/>
  <c r="C81" i="14"/>
  <c r="D81" i="14" s="1"/>
  <c r="E81" i="14" s="1"/>
  <c r="C80" i="14"/>
  <c r="D80" i="14" s="1"/>
  <c r="E80" i="14" s="1"/>
  <c r="C79" i="14"/>
  <c r="D79" i="14" s="1"/>
  <c r="E79" i="14" s="1"/>
  <c r="C78" i="14"/>
  <c r="D78" i="14" s="1"/>
  <c r="E78" i="14" s="1"/>
  <c r="C77" i="14"/>
  <c r="D77" i="14" s="1"/>
  <c r="E77" i="14" s="1"/>
  <c r="C76" i="14"/>
  <c r="D76" i="14" s="1"/>
  <c r="E76" i="14" s="1"/>
  <c r="C75" i="14"/>
  <c r="D75" i="14" s="1"/>
  <c r="E75" i="14" s="1"/>
  <c r="C74" i="14"/>
  <c r="D74" i="14" s="1"/>
  <c r="E74" i="14" s="1"/>
  <c r="C73" i="14"/>
  <c r="D73" i="14" s="1"/>
  <c r="E73" i="14" s="1"/>
  <c r="C72" i="14"/>
  <c r="D72" i="14" s="1"/>
  <c r="E72" i="14" s="1"/>
  <c r="C71" i="14"/>
  <c r="D71" i="14" s="1"/>
  <c r="E71" i="14" s="1"/>
  <c r="C70" i="14"/>
  <c r="D70" i="14" s="1"/>
  <c r="E70" i="14" s="1"/>
  <c r="C69" i="14"/>
  <c r="D69" i="14" s="1"/>
  <c r="E69" i="14" s="1"/>
  <c r="C68" i="14"/>
  <c r="D68" i="14" s="1"/>
  <c r="E68" i="14" s="1"/>
  <c r="C67" i="14"/>
  <c r="D67" i="14" s="1"/>
  <c r="E67" i="14" s="1"/>
  <c r="C66" i="14"/>
  <c r="D66" i="14" s="1"/>
  <c r="E66" i="14" s="1"/>
  <c r="C65" i="14"/>
  <c r="D65" i="14" s="1"/>
  <c r="E65" i="14" s="1"/>
  <c r="C64" i="14"/>
  <c r="D64" i="14" s="1"/>
  <c r="E64" i="14" s="1"/>
  <c r="B63" i="14"/>
  <c r="C63" i="14" s="1"/>
  <c r="D63" i="14" s="1"/>
  <c r="E63" i="14" s="1"/>
  <c r="B62" i="14"/>
  <c r="C62" i="14" s="1"/>
  <c r="D62" i="14" s="1"/>
  <c r="E62" i="14" s="1"/>
  <c r="B61" i="14"/>
  <c r="C61" i="14" s="1"/>
  <c r="D61" i="14" s="1"/>
  <c r="E61" i="14" s="1"/>
  <c r="B60" i="14"/>
  <c r="C60" i="14" s="1"/>
  <c r="D60" i="14" s="1"/>
  <c r="E60" i="14" s="1"/>
  <c r="B59" i="14"/>
  <c r="C59" i="14" s="1"/>
  <c r="D59" i="14" s="1"/>
  <c r="E59" i="14" s="1"/>
  <c r="B58" i="14"/>
  <c r="C58" i="14" s="1"/>
  <c r="D58" i="14" s="1"/>
  <c r="E58" i="14" s="1"/>
  <c r="B57" i="14"/>
  <c r="C57" i="14" s="1"/>
  <c r="D57" i="14" s="1"/>
  <c r="E57" i="14" s="1"/>
  <c r="B56" i="14"/>
  <c r="C56" i="14" s="1"/>
  <c r="D56" i="14" s="1"/>
  <c r="E56" i="14" s="1"/>
  <c r="B55" i="14"/>
  <c r="C55" i="14" s="1"/>
  <c r="D55" i="14" s="1"/>
  <c r="E55" i="14" s="1"/>
  <c r="B54" i="14"/>
  <c r="C54" i="14" s="1"/>
  <c r="D54" i="14" s="1"/>
  <c r="E54" i="14" s="1"/>
  <c r="B53" i="14"/>
  <c r="C53" i="14" s="1"/>
  <c r="D53" i="14" s="1"/>
  <c r="E53" i="14" s="1"/>
  <c r="B52" i="14"/>
  <c r="C52" i="14" s="1"/>
  <c r="D52" i="14" s="1"/>
  <c r="E52" i="14" s="1"/>
  <c r="B51" i="14"/>
  <c r="C51" i="14" s="1"/>
  <c r="D51" i="14" s="1"/>
  <c r="E51" i="14" s="1"/>
  <c r="B50" i="14"/>
  <c r="C50" i="14" s="1"/>
  <c r="D50" i="14" s="1"/>
  <c r="E50" i="14" s="1"/>
  <c r="B49" i="14"/>
  <c r="C49" i="14" s="1"/>
  <c r="D49" i="14" s="1"/>
  <c r="E49" i="14" s="1"/>
  <c r="B48" i="14"/>
  <c r="C48" i="14" s="1"/>
  <c r="D48" i="14" s="1"/>
  <c r="E48" i="14" s="1"/>
  <c r="B47" i="14"/>
  <c r="C47" i="14" s="1"/>
  <c r="D47" i="14" s="1"/>
  <c r="E47" i="14" s="1"/>
  <c r="B46" i="14"/>
  <c r="C46" i="14" s="1"/>
  <c r="D46" i="14" s="1"/>
  <c r="E46" i="14" s="1"/>
  <c r="B45" i="14"/>
  <c r="C45" i="14" s="1"/>
  <c r="D45" i="14" s="1"/>
  <c r="E45" i="14" s="1"/>
  <c r="B44" i="14"/>
  <c r="C44" i="14" s="1"/>
  <c r="D44" i="14" s="1"/>
  <c r="E44" i="14" s="1"/>
  <c r="B43" i="14"/>
  <c r="C43" i="14" s="1"/>
  <c r="D43" i="14" s="1"/>
  <c r="E43" i="14" s="1"/>
  <c r="B42" i="14"/>
  <c r="C42" i="14" s="1"/>
  <c r="D42" i="14" s="1"/>
  <c r="E42" i="14" s="1"/>
  <c r="B41" i="14"/>
  <c r="C41" i="14" s="1"/>
  <c r="D41" i="14" s="1"/>
  <c r="E41" i="14" s="1"/>
  <c r="B40" i="14"/>
  <c r="C40" i="14" s="1"/>
  <c r="D40" i="14" s="1"/>
  <c r="E40" i="14" s="1"/>
  <c r="B39" i="14"/>
  <c r="C39" i="14" s="1"/>
  <c r="D39" i="14" s="1"/>
  <c r="E39" i="14" s="1"/>
  <c r="B38" i="14"/>
  <c r="C38" i="14" s="1"/>
  <c r="D38" i="14" s="1"/>
  <c r="E38" i="14" s="1"/>
  <c r="B37" i="14"/>
  <c r="C37" i="14" s="1"/>
  <c r="D37" i="14" s="1"/>
  <c r="E37" i="14" s="1"/>
  <c r="B36" i="14"/>
  <c r="C36" i="14" s="1"/>
  <c r="D36" i="14" s="1"/>
  <c r="E36" i="14" s="1"/>
  <c r="B35" i="14"/>
  <c r="C35" i="14" s="1"/>
  <c r="D35" i="14" s="1"/>
  <c r="E35" i="14" s="1"/>
  <c r="B34" i="14"/>
  <c r="C34" i="14" s="1"/>
  <c r="D34" i="14" s="1"/>
  <c r="E34" i="14" s="1"/>
  <c r="B33" i="14"/>
  <c r="C33" i="14" s="1"/>
  <c r="D33" i="14" s="1"/>
  <c r="E33" i="14" s="1"/>
  <c r="B32" i="14"/>
  <c r="C32" i="14" s="1"/>
  <c r="D32" i="14" s="1"/>
  <c r="E32" i="14" s="1"/>
  <c r="B31" i="14"/>
  <c r="C31" i="14" s="1"/>
  <c r="D31" i="14" s="1"/>
  <c r="E31" i="14" s="1"/>
  <c r="B30" i="14"/>
  <c r="C30" i="14" s="1"/>
  <c r="D30" i="14" s="1"/>
  <c r="E30" i="14" s="1"/>
  <c r="B29" i="14"/>
  <c r="C29" i="14" s="1"/>
  <c r="D29" i="14" s="1"/>
  <c r="E29" i="14" s="1"/>
  <c r="B28" i="14"/>
  <c r="C28" i="14" s="1"/>
  <c r="D28" i="14" s="1"/>
  <c r="E28" i="14" s="1"/>
  <c r="B27" i="14"/>
  <c r="C27" i="14" s="1"/>
  <c r="D27" i="14" s="1"/>
  <c r="E27" i="14" s="1"/>
  <c r="B26" i="14"/>
  <c r="C26" i="14" s="1"/>
  <c r="D26" i="14" s="1"/>
  <c r="E26" i="14" s="1"/>
  <c r="B25" i="14"/>
  <c r="C25" i="14" s="1"/>
  <c r="D25" i="14" s="1"/>
  <c r="E25" i="14" s="1"/>
  <c r="B24" i="14"/>
  <c r="C24" i="14" s="1"/>
  <c r="D24" i="14" s="1"/>
  <c r="E24" i="14" s="1"/>
  <c r="B23" i="14"/>
  <c r="C23" i="14" s="1"/>
  <c r="D23" i="14" s="1"/>
  <c r="E23" i="14" s="1"/>
  <c r="B22" i="14"/>
  <c r="C22" i="14" s="1"/>
  <c r="D22" i="14" s="1"/>
  <c r="E22" i="14" s="1"/>
  <c r="B21" i="14"/>
  <c r="C21" i="14" s="1"/>
  <c r="D21" i="14" s="1"/>
  <c r="E21" i="14" s="1"/>
  <c r="B20" i="14"/>
  <c r="C20" i="14" s="1"/>
  <c r="D20" i="14" s="1"/>
  <c r="E20" i="14" s="1"/>
  <c r="B19" i="14"/>
  <c r="C19" i="14" s="1"/>
  <c r="D19" i="14" s="1"/>
  <c r="E19" i="14" s="1"/>
  <c r="B18" i="14"/>
  <c r="C18" i="14" s="1"/>
  <c r="D18" i="14" s="1"/>
  <c r="E18" i="14" s="1"/>
  <c r="B17" i="14"/>
  <c r="C17" i="14" s="1"/>
  <c r="D17" i="14" s="1"/>
  <c r="E17" i="14" s="1"/>
  <c r="B16" i="14"/>
  <c r="C16" i="14" s="1"/>
  <c r="D16" i="14" s="1"/>
  <c r="E16" i="14" s="1"/>
  <c r="B15" i="14"/>
  <c r="C15" i="14" s="1"/>
  <c r="D15" i="14" s="1"/>
  <c r="E15" i="14" s="1"/>
  <c r="B14" i="14"/>
  <c r="C14" i="14" s="1"/>
  <c r="D14" i="14" s="1"/>
  <c r="E14" i="14" s="1"/>
  <c r="B13" i="14"/>
  <c r="C13" i="14" s="1"/>
  <c r="D13" i="14" s="1"/>
  <c r="E13" i="14" s="1"/>
  <c r="B12" i="14"/>
  <c r="C12" i="14" s="1"/>
  <c r="D12" i="14" s="1"/>
  <c r="E12" i="14" s="1"/>
  <c r="B11" i="14"/>
  <c r="C11" i="14" s="1"/>
  <c r="D11" i="14" s="1"/>
  <c r="E11" i="14" s="1"/>
  <c r="B10" i="14"/>
  <c r="C10" i="14" s="1"/>
  <c r="D10" i="14" s="1"/>
  <c r="E10" i="14" s="1"/>
  <c r="B9" i="14"/>
  <c r="C9" i="14" s="1"/>
  <c r="D9" i="14" s="1"/>
  <c r="E9" i="14" s="1"/>
  <c r="B8" i="14"/>
  <c r="C8" i="14" s="1"/>
  <c r="D8" i="14" s="1"/>
  <c r="E8" i="14" s="1"/>
  <c r="B7" i="14"/>
  <c r="C7" i="14" s="1"/>
  <c r="D7" i="14" s="1"/>
  <c r="E7" i="14" s="1"/>
  <c r="B6" i="14"/>
  <c r="C6" i="14" s="1"/>
  <c r="D6" i="14" s="1"/>
  <c r="E6" i="14" s="1"/>
  <c r="B5" i="14"/>
  <c r="C5" i="14" s="1"/>
  <c r="D5" i="14" s="1"/>
  <c r="E5" i="14" s="1"/>
  <c r="B4" i="14"/>
  <c r="C4" i="14" s="1"/>
  <c r="D4" i="14" s="1"/>
  <c r="E4" i="14" s="1"/>
  <c r="B3" i="14"/>
  <c r="C3" i="14" s="1"/>
  <c r="D3" i="14" s="1"/>
  <c r="E3" i="14" s="1"/>
  <c r="B2" i="14"/>
  <c r="C2" i="14" s="1"/>
  <c r="D2" i="14" s="1"/>
  <c r="E2" i="14" s="1"/>
  <c r="W53" i="4" l="1"/>
  <c r="H53" i="4"/>
  <c r="F2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G53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W37" i="4"/>
  <c r="W70" i="4" s="1"/>
  <c r="V37" i="4"/>
  <c r="U37" i="4"/>
  <c r="T37" i="4"/>
  <c r="T70" i="4" s="1"/>
  <c r="S37" i="4"/>
  <c r="S70" i="4" s="1"/>
  <c r="R37" i="4"/>
  <c r="R70" i="4" s="1"/>
  <c r="Q37" i="4"/>
  <c r="Q70" i="4" s="1"/>
  <c r="P37" i="4"/>
  <c r="O37" i="4"/>
  <c r="O70" i="4" s="1"/>
  <c r="N37" i="4"/>
  <c r="M37" i="4"/>
  <c r="L37" i="4"/>
  <c r="L70" i="4" s="1"/>
  <c r="K37" i="4"/>
  <c r="K70" i="4" s="1"/>
  <c r="J37" i="4"/>
  <c r="I37" i="4"/>
  <c r="I70" i="4" s="1"/>
  <c r="H37" i="4"/>
  <c r="G37" i="4"/>
  <c r="F37" i="4"/>
  <c r="W36" i="4"/>
  <c r="W69" i="4" s="1"/>
  <c r="V36" i="4"/>
  <c r="U36" i="4"/>
  <c r="T36" i="4"/>
  <c r="T69" i="4" s="1"/>
  <c r="S36" i="4"/>
  <c r="S69" i="4" s="1"/>
  <c r="R36" i="4"/>
  <c r="R69" i="4" s="1"/>
  <c r="Q36" i="4"/>
  <c r="Q69" i="4" s="1"/>
  <c r="P36" i="4"/>
  <c r="O36" i="4"/>
  <c r="O69" i="4" s="1"/>
  <c r="N36" i="4"/>
  <c r="M36" i="4"/>
  <c r="L36" i="4"/>
  <c r="L69" i="4" s="1"/>
  <c r="K36" i="4"/>
  <c r="K69" i="4" s="1"/>
  <c r="J36" i="4"/>
  <c r="I36" i="4"/>
  <c r="I69" i="4" s="1"/>
  <c r="H36" i="4"/>
  <c r="G36" i="4"/>
  <c r="F36" i="4"/>
  <c r="W35" i="4"/>
  <c r="W68" i="4" s="1"/>
  <c r="V35" i="4"/>
  <c r="U35" i="4"/>
  <c r="T35" i="4"/>
  <c r="T68" i="4" s="1"/>
  <c r="S35" i="4"/>
  <c r="S68" i="4" s="1"/>
  <c r="R35" i="4"/>
  <c r="R68" i="4" s="1"/>
  <c r="Q35" i="4"/>
  <c r="Q68" i="4" s="1"/>
  <c r="P35" i="4"/>
  <c r="O35" i="4"/>
  <c r="O68" i="4" s="1"/>
  <c r="N35" i="4"/>
  <c r="M35" i="4"/>
  <c r="L35" i="4"/>
  <c r="L68" i="4" s="1"/>
  <c r="K35" i="4"/>
  <c r="K68" i="4" s="1"/>
  <c r="J35" i="4"/>
  <c r="I35" i="4"/>
  <c r="I68" i="4" s="1"/>
  <c r="H35" i="4"/>
  <c r="G35" i="4"/>
  <c r="F35" i="4"/>
  <c r="W34" i="4"/>
  <c r="W67" i="4" s="1"/>
  <c r="V34" i="4"/>
  <c r="U34" i="4"/>
  <c r="T34" i="4"/>
  <c r="T67" i="4" s="1"/>
  <c r="S34" i="4"/>
  <c r="S67" i="4" s="1"/>
  <c r="R34" i="4"/>
  <c r="R67" i="4" s="1"/>
  <c r="Q34" i="4"/>
  <c r="Q67" i="4" s="1"/>
  <c r="P34" i="4"/>
  <c r="O34" i="4"/>
  <c r="O67" i="4" s="1"/>
  <c r="N34" i="4"/>
  <c r="M34" i="4"/>
  <c r="L34" i="4"/>
  <c r="L67" i="4" s="1"/>
  <c r="K34" i="4"/>
  <c r="K67" i="4" s="1"/>
  <c r="J34" i="4"/>
  <c r="I34" i="4"/>
  <c r="I67" i="4" s="1"/>
  <c r="H34" i="4"/>
  <c r="G34" i="4"/>
  <c r="F34" i="4"/>
  <c r="W33" i="4"/>
  <c r="W66" i="4" s="1"/>
  <c r="V33" i="4"/>
  <c r="U33" i="4"/>
  <c r="T33" i="4"/>
  <c r="T66" i="4" s="1"/>
  <c r="S33" i="4"/>
  <c r="S66" i="4" s="1"/>
  <c r="R33" i="4"/>
  <c r="R66" i="4" s="1"/>
  <c r="Q33" i="4"/>
  <c r="Q66" i="4" s="1"/>
  <c r="P33" i="4"/>
  <c r="O33" i="4"/>
  <c r="O66" i="4" s="1"/>
  <c r="N33" i="4"/>
  <c r="M33" i="4"/>
  <c r="L33" i="4"/>
  <c r="L66" i="4" s="1"/>
  <c r="K33" i="4"/>
  <c r="K66" i="4" s="1"/>
  <c r="J33" i="4"/>
  <c r="I33" i="4"/>
  <c r="I66" i="4" s="1"/>
  <c r="H33" i="4"/>
  <c r="G33" i="4"/>
  <c r="F33" i="4"/>
  <c r="W32" i="4"/>
  <c r="W65" i="4" s="1"/>
  <c r="V32" i="4"/>
  <c r="U32" i="4"/>
  <c r="T32" i="4"/>
  <c r="T65" i="4" s="1"/>
  <c r="S32" i="4"/>
  <c r="S65" i="4" s="1"/>
  <c r="R32" i="4"/>
  <c r="R65" i="4" s="1"/>
  <c r="Q32" i="4"/>
  <c r="Q65" i="4" s="1"/>
  <c r="P32" i="4"/>
  <c r="O32" i="4"/>
  <c r="O65" i="4" s="1"/>
  <c r="N32" i="4"/>
  <c r="M32" i="4"/>
  <c r="L32" i="4"/>
  <c r="L65" i="4" s="1"/>
  <c r="K32" i="4"/>
  <c r="K65" i="4" s="1"/>
  <c r="J32" i="4"/>
  <c r="I32" i="4"/>
  <c r="I65" i="4" s="1"/>
  <c r="H32" i="4"/>
  <c r="G32" i="4"/>
  <c r="F32" i="4"/>
  <c r="W31" i="4"/>
  <c r="W64" i="4" s="1"/>
  <c r="V31" i="4"/>
  <c r="U31" i="4"/>
  <c r="T31" i="4"/>
  <c r="T64" i="4" s="1"/>
  <c r="S31" i="4"/>
  <c r="S64" i="4" s="1"/>
  <c r="R31" i="4"/>
  <c r="R64" i="4" s="1"/>
  <c r="Q31" i="4"/>
  <c r="Q64" i="4" s="1"/>
  <c r="P31" i="4"/>
  <c r="O31" i="4"/>
  <c r="O64" i="4" s="1"/>
  <c r="N31" i="4"/>
  <c r="M31" i="4"/>
  <c r="L31" i="4"/>
  <c r="L64" i="4" s="1"/>
  <c r="K31" i="4"/>
  <c r="K64" i="4" s="1"/>
  <c r="J31" i="4"/>
  <c r="I31" i="4"/>
  <c r="I64" i="4" s="1"/>
  <c r="H31" i="4"/>
  <c r="G31" i="4"/>
  <c r="F31" i="4"/>
  <c r="W30" i="4"/>
  <c r="W63" i="4" s="1"/>
  <c r="V30" i="4"/>
  <c r="U30" i="4"/>
  <c r="T30" i="4"/>
  <c r="T63" i="4" s="1"/>
  <c r="S30" i="4"/>
  <c r="S63" i="4" s="1"/>
  <c r="R30" i="4"/>
  <c r="R63" i="4" s="1"/>
  <c r="Q30" i="4"/>
  <c r="Q63" i="4" s="1"/>
  <c r="P30" i="4"/>
  <c r="O30" i="4"/>
  <c r="O63" i="4" s="1"/>
  <c r="N30" i="4"/>
  <c r="M30" i="4"/>
  <c r="L30" i="4"/>
  <c r="L63" i="4" s="1"/>
  <c r="K30" i="4"/>
  <c r="K63" i="4" s="1"/>
  <c r="J30" i="4"/>
  <c r="I30" i="4"/>
  <c r="I63" i="4" s="1"/>
  <c r="H30" i="4"/>
  <c r="G30" i="4"/>
  <c r="F30" i="4"/>
  <c r="W29" i="4"/>
  <c r="W62" i="4" s="1"/>
  <c r="V29" i="4"/>
  <c r="U29" i="4"/>
  <c r="T29" i="4"/>
  <c r="T62" i="4" s="1"/>
  <c r="S29" i="4"/>
  <c r="S62" i="4" s="1"/>
  <c r="R29" i="4"/>
  <c r="R62" i="4" s="1"/>
  <c r="Q29" i="4"/>
  <c r="Q62" i="4" s="1"/>
  <c r="P29" i="4"/>
  <c r="O29" i="4"/>
  <c r="O62" i="4" s="1"/>
  <c r="N29" i="4"/>
  <c r="M29" i="4"/>
  <c r="L29" i="4"/>
  <c r="L62" i="4" s="1"/>
  <c r="K29" i="4"/>
  <c r="K62" i="4" s="1"/>
  <c r="J29" i="4"/>
  <c r="I29" i="4"/>
  <c r="I62" i="4" s="1"/>
  <c r="H29" i="4"/>
  <c r="G29" i="4"/>
  <c r="F29" i="4"/>
  <c r="W28" i="4"/>
  <c r="W61" i="4" s="1"/>
  <c r="V28" i="4"/>
  <c r="U28" i="4"/>
  <c r="T28" i="4"/>
  <c r="T61" i="4" s="1"/>
  <c r="S28" i="4"/>
  <c r="S61" i="4" s="1"/>
  <c r="R28" i="4"/>
  <c r="R61" i="4" s="1"/>
  <c r="Q28" i="4"/>
  <c r="Q61" i="4" s="1"/>
  <c r="P28" i="4"/>
  <c r="O28" i="4"/>
  <c r="O61" i="4" s="1"/>
  <c r="N28" i="4"/>
  <c r="M28" i="4"/>
  <c r="L28" i="4"/>
  <c r="L61" i="4" s="1"/>
  <c r="K28" i="4"/>
  <c r="K61" i="4" s="1"/>
  <c r="J28" i="4"/>
  <c r="I28" i="4"/>
  <c r="I61" i="4" s="1"/>
  <c r="H28" i="4"/>
  <c r="G28" i="4"/>
  <c r="F28" i="4"/>
  <c r="W27" i="4"/>
  <c r="W60" i="4" s="1"/>
  <c r="V27" i="4"/>
  <c r="U27" i="4"/>
  <c r="T27" i="4"/>
  <c r="T60" i="4" s="1"/>
  <c r="S27" i="4"/>
  <c r="S60" i="4" s="1"/>
  <c r="R27" i="4"/>
  <c r="R60" i="4" s="1"/>
  <c r="Q27" i="4"/>
  <c r="Q60" i="4" s="1"/>
  <c r="P27" i="4"/>
  <c r="O27" i="4"/>
  <c r="O60" i="4" s="1"/>
  <c r="N27" i="4"/>
  <c r="M27" i="4"/>
  <c r="L27" i="4"/>
  <c r="L60" i="4" s="1"/>
  <c r="K27" i="4"/>
  <c r="K60" i="4" s="1"/>
  <c r="J27" i="4"/>
  <c r="I27" i="4"/>
  <c r="I60" i="4" s="1"/>
  <c r="H27" i="4"/>
  <c r="G27" i="4"/>
  <c r="F27" i="4"/>
  <c r="W26" i="4"/>
  <c r="W59" i="4" s="1"/>
  <c r="V26" i="4"/>
  <c r="U26" i="4"/>
  <c r="T26" i="4"/>
  <c r="T59" i="4" s="1"/>
  <c r="S26" i="4"/>
  <c r="S59" i="4" s="1"/>
  <c r="R26" i="4"/>
  <c r="R59" i="4" s="1"/>
  <c r="Q26" i="4"/>
  <c r="Q59" i="4" s="1"/>
  <c r="P26" i="4"/>
  <c r="O26" i="4"/>
  <c r="O59" i="4" s="1"/>
  <c r="N26" i="4"/>
  <c r="M26" i="4"/>
  <c r="L26" i="4"/>
  <c r="L59" i="4" s="1"/>
  <c r="K26" i="4"/>
  <c r="K59" i="4" s="1"/>
  <c r="J26" i="4"/>
  <c r="I26" i="4"/>
  <c r="I59" i="4" s="1"/>
  <c r="H26" i="4"/>
  <c r="G26" i="4"/>
  <c r="F26" i="4"/>
  <c r="W25" i="4"/>
  <c r="W58" i="4" s="1"/>
  <c r="V25" i="4"/>
  <c r="U25" i="4"/>
  <c r="T25" i="4"/>
  <c r="T58" i="4" s="1"/>
  <c r="S25" i="4"/>
  <c r="S58" i="4" s="1"/>
  <c r="R25" i="4"/>
  <c r="R58" i="4" s="1"/>
  <c r="Q25" i="4"/>
  <c r="Q58" i="4" s="1"/>
  <c r="P25" i="4"/>
  <c r="O25" i="4"/>
  <c r="O58" i="4" s="1"/>
  <c r="N25" i="4"/>
  <c r="M25" i="4"/>
  <c r="L25" i="4"/>
  <c r="L58" i="4" s="1"/>
  <c r="K25" i="4"/>
  <c r="K58" i="4" s="1"/>
  <c r="J25" i="4"/>
  <c r="I25" i="4"/>
  <c r="I58" i="4" s="1"/>
  <c r="H25" i="4"/>
  <c r="G25" i="4"/>
  <c r="F25" i="4"/>
  <c r="W24" i="4"/>
  <c r="W57" i="4" s="1"/>
  <c r="V24" i="4"/>
  <c r="U24" i="4"/>
  <c r="T24" i="4"/>
  <c r="T57" i="4" s="1"/>
  <c r="S24" i="4"/>
  <c r="S57" i="4" s="1"/>
  <c r="R24" i="4"/>
  <c r="R57" i="4" s="1"/>
  <c r="Q24" i="4"/>
  <c r="Q57" i="4" s="1"/>
  <c r="P24" i="4"/>
  <c r="O24" i="4"/>
  <c r="O57" i="4" s="1"/>
  <c r="N24" i="4"/>
  <c r="M24" i="4"/>
  <c r="L24" i="4"/>
  <c r="L57" i="4" s="1"/>
  <c r="K24" i="4"/>
  <c r="K57" i="4" s="1"/>
  <c r="J24" i="4"/>
  <c r="I24" i="4"/>
  <c r="I57" i="4" s="1"/>
  <c r="H24" i="4"/>
  <c r="G24" i="4"/>
  <c r="F24" i="4"/>
  <c r="W23" i="4"/>
  <c r="W56" i="4" s="1"/>
  <c r="V23" i="4"/>
  <c r="U23" i="4"/>
  <c r="T23" i="4"/>
  <c r="T56" i="4" s="1"/>
  <c r="S23" i="4"/>
  <c r="S56" i="4" s="1"/>
  <c r="R23" i="4"/>
  <c r="R56" i="4" s="1"/>
  <c r="Q23" i="4"/>
  <c r="Q56" i="4" s="1"/>
  <c r="P23" i="4"/>
  <c r="O23" i="4"/>
  <c r="O56" i="4" s="1"/>
  <c r="N23" i="4"/>
  <c r="M23" i="4"/>
  <c r="L23" i="4"/>
  <c r="L56" i="4" s="1"/>
  <c r="K23" i="4"/>
  <c r="K56" i="4" s="1"/>
  <c r="J23" i="4"/>
  <c r="I23" i="4"/>
  <c r="I56" i="4" s="1"/>
  <c r="H23" i="4"/>
  <c r="G23" i="4"/>
  <c r="O49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W49" i="6"/>
  <c r="V49" i="6"/>
  <c r="U49" i="6"/>
  <c r="T49" i="6"/>
  <c r="S49" i="6"/>
  <c r="R49" i="6"/>
  <c r="Q49" i="6"/>
  <c r="P49" i="6"/>
  <c r="N49" i="6"/>
  <c r="M49" i="6"/>
  <c r="L49" i="6"/>
  <c r="K49" i="6"/>
  <c r="J49" i="6"/>
  <c r="I49" i="6"/>
  <c r="H49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W36" i="6"/>
  <c r="W69" i="6" s="1"/>
  <c r="V36" i="6"/>
  <c r="U36" i="6"/>
  <c r="T36" i="6"/>
  <c r="T69" i="6" s="1"/>
  <c r="S36" i="6"/>
  <c r="S69" i="6" s="1"/>
  <c r="W35" i="6"/>
  <c r="W68" i="6" s="1"/>
  <c r="V35" i="6"/>
  <c r="U35" i="6"/>
  <c r="T35" i="6"/>
  <c r="T68" i="6" s="1"/>
  <c r="S35" i="6"/>
  <c r="S68" i="6" s="1"/>
  <c r="W34" i="6"/>
  <c r="W67" i="6" s="1"/>
  <c r="V34" i="6"/>
  <c r="U34" i="6"/>
  <c r="T34" i="6"/>
  <c r="T67" i="6" s="1"/>
  <c r="S34" i="6"/>
  <c r="S67" i="6" s="1"/>
  <c r="W33" i="6"/>
  <c r="W66" i="6" s="1"/>
  <c r="V33" i="6"/>
  <c r="U33" i="6"/>
  <c r="T33" i="6"/>
  <c r="T66" i="6" s="1"/>
  <c r="S33" i="6"/>
  <c r="S66" i="6" s="1"/>
  <c r="W32" i="6"/>
  <c r="W65" i="6" s="1"/>
  <c r="V32" i="6"/>
  <c r="U32" i="6"/>
  <c r="T32" i="6"/>
  <c r="T65" i="6" s="1"/>
  <c r="S32" i="6"/>
  <c r="S65" i="6" s="1"/>
  <c r="W31" i="6"/>
  <c r="W64" i="6" s="1"/>
  <c r="V31" i="6"/>
  <c r="U31" i="6"/>
  <c r="T31" i="6"/>
  <c r="T64" i="6" s="1"/>
  <c r="S31" i="6"/>
  <c r="S64" i="6" s="1"/>
  <c r="W30" i="6"/>
  <c r="W63" i="6" s="1"/>
  <c r="V30" i="6"/>
  <c r="U30" i="6"/>
  <c r="T30" i="6"/>
  <c r="T63" i="6" s="1"/>
  <c r="S30" i="6"/>
  <c r="S63" i="6" s="1"/>
  <c r="W29" i="6"/>
  <c r="W62" i="6" s="1"/>
  <c r="V29" i="6"/>
  <c r="U29" i="6"/>
  <c r="T29" i="6"/>
  <c r="T62" i="6" s="1"/>
  <c r="S29" i="6"/>
  <c r="S62" i="6" s="1"/>
  <c r="W28" i="6"/>
  <c r="W61" i="6" s="1"/>
  <c r="V28" i="6"/>
  <c r="U28" i="6"/>
  <c r="T28" i="6"/>
  <c r="T61" i="6" s="1"/>
  <c r="S28" i="6"/>
  <c r="S61" i="6" s="1"/>
  <c r="W27" i="6"/>
  <c r="W60" i="6" s="1"/>
  <c r="V27" i="6"/>
  <c r="U27" i="6"/>
  <c r="T27" i="6"/>
  <c r="T60" i="6" s="1"/>
  <c r="S27" i="6"/>
  <c r="S60" i="6" s="1"/>
  <c r="W26" i="6"/>
  <c r="W59" i="6" s="1"/>
  <c r="V26" i="6"/>
  <c r="U26" i="6"/>
  <c r="T26" i="6"/>
  <c r="T59" i="6" s="1"/>
  <c r="S26" i="6"/>
  <c r="S59" i="6" s="1"/>
  <c r="W25" i="6"/>
  <c r="W58" i="6" s="1"/>
  <c r="V25" i="6"/>
  <c r="U25" i="6"/>
  <c r="T25" i="6"/>
  <c r="T58" i="6" s="1"/>
  <c r="S25" i="6"/>
  <c r="S58" i="6" s="1"/>
  <c r="W24" i="6"/>
  <c r="W57" i="6" s="1"/>
  <c r="V24" i="6"/>
  <c r="U24" i="6"/>
  <c r="T24" i="6"/>
  <c r="T57" i="6" s="1"/>
  <c r="S24" i="6"/>
  <c r="S57" i="6" s="1"/>
  <c r="W23" i="6"/>
  <c r="W56" i="6" s="1"/>
  <c r="V23" i="6"/>
  <c r="U23" i="6"/>
  <c r="T23" i="6"/>
  <c r="T56" i="6" s="1"/>
  <c r="S23" i="6"/>
  <c r="S56" i="6" s="1"/>
  <c r="W22" i="6"/>
  <c r="W55" i="6" s="1"/>
  <c r="V22" i="6"/>
  <c r="U22" i="6"/>
  <c r="T22" i="6"/>
  <c r="T55" i="6" s="1"/>
  <c r="S22" i="6"/>
  <c r="S55" i="6" s="1"/>
  <c r="R36" i="6"/>
  <c r="R69" i="6" s="1"/>
  <c r="Q36" i="6"/>
  <c r="Q69" i="6" s="1"/>
  <c r="P36" i="6"/>
  <c r="O36" i="6"/>
  <c r="O69" i="6" s="1"/>
  <c r="N36" i="6"/>
  <c r="M36" i="6"/>
  <c r="L36" i="6"/>
  <c r="L69" i="6" s="1"/>
  <c r="K36" i="6"/>
  <c r="K69" i="6" s="1"/>
  <c r="J36" i="6"/>
  <c r="I36" i="6"/>
  <c r="I69" i="6" s="1"/>
  <c r="H36" i="6"/>
  <c r="G36" i="6"/>
  <c r="R35" i="6"/>
  <c r="R68" i="6" s="1"/>
  <c r="Q35" i="6"/>
  <c r="Q68" i="6" s="1"/>
  <c r="P35" i="6"/>
  <c r="O35" i="6"/>
  <c r="O68" i="6" s="1"/>
  <c r="N35" i="6"/>
  <c r="M35" i="6"/>
  <c r="L35" i="6"/>
  <c r="L68" i="6" s="1"/>
  <c r="K35" i="6"/>
  <c r="K68" i="6" s="1"/>
  <c r="J35" i="6"/>
  <c r="I35" i="6"/>
  <c r="I68" i="6" s="1"/>
  <c r="H35" i="6"/>
  <c r="G35" i="6"/>
  <c r="R34" i="6"/>
  <c r="R67" i="6" s="1"/>
  <c r="Q34" i="6"/>
  <c r="Q67" i="6" s="1"/>
  <c r="P34" i="6"/>
  <c r="O34" i="6"/>
  <c r="O67" i="6" s="1"/>
  <c r="N34" i="6"/>
  <c r="M34" i="6"/>
  <c r="L34" i="6"/>
  <c r="L67" i="6" s="1"/>
  <c r="K34" i="6"/>
  <c r="K67" i="6" s="1"/>
  <c r="J34" i="6"/>
  <c r="I34" i="6"/>
  <c r="I67" i="6" s="1"/>
  <c r="H34" i="6"/>
  <c r="G34" i="6"/>
  <c r="R33" i="6"/>
  <c r="R66" i="6" s="1"/>
  <c r="Q33" i="6"/>
  <c r="Q66" i="6" s="1"/>
  <c r="P33" i="6"/>
  <c r="O33" i="6"/>
  <c r="O66" i="6" s="1"/>
  <c r="N33" i="6"/>
  <c r="M33" i="6"/>
  <c r="L33" i="6"/>
  <c r="L66" i="6" s="1"/>
  <c r="K33" i="6"/>
  <c r="K66" i="6" s="1"/>
  <c r="J33" i="6"/>
  <c r="I33" i="6"/>
  <c r="I66" i="6" s="1"/>
  <c r="H33" i="6"/>
  <c r="G33" i="6"/>
  <c r="R32" i="6"/>
  <c r="R65" i="6" s="1"/>
  <c r="Q32" i="6"/>
  <c r="Q65" i="6" s="1"/>
  <c r="P32" i="6"/>
  <c r="O32" i="6"/>
  <c r="O65" i="6" s="1"/>
  <c r="N32" i="6"/>
  <c r="M32" i="6"/>
  <c r="L32" i="6"/>
  <c r="L65" i="6" s="1"/>
  <c r="K32" i="6"/>
  <c r="K65" i="6" s="1"/>
  <c r="J32" i="6"/>
  <c r="I32" i="6"/>
  <c r="I65" i="6" s="1"/>
  <c r="H32" i="6"/>
  <c r="G32" i="6"/>
  <c r="R31" i="6"/>
  <c r="R64" i="6" s="1"/>
  <c r="Q31" i="6"/>
  <c r="Q64" i="6" s="1"/>
  <c r="P31" i="6"/>
  <c r="O31" i="6"/>
  <c r="O64" i="6" s="1"/>
  <c r="N31" i="6"/>
  <c r="M31" i="6"/>
  <c r="L31" i="6"/>
  <c r="L64" i="6" s="1"/>
  <c r="K31" i="6"/>
  <c r="K64" i="6" s="1"/>
  <c r="J31" i="6"/>
  <c r="I31" i="6"/>
  <c r="I64" i="6" s="1"/>
  <c r="H31" i="6"/>
  <c r="G31" i="6"/>
  <c r="R30" i="6"/>
  <c r="R63" i="6" s="1"/>
  <c r="Q30" i="6"/>
  <c r="Q63" i="6" s="1"/>
  <c r="P30" i="6"/>
  <c r="O30" i="6"/>
  <c r="O63" i="6" s="1"/>
  <c r="N30" i="6"/>
  <c r="M30" i="6"/>
  <c r="L30" i="6"/>
  <c r="L63" i="6" s="1"/>
  <c r="K30" i="6"/>
  <c r="K63" i="6" s="1"/>
  <c r="J30" i="6"/>
  <c r="I30" i="6"/>
  <c r="I63" i="6" s="1"/>
  <c r="H30" i="6"/>
  <c r="G30" i="6"/>
  <c r="R29" i="6"/>
  <c r="R62" i="6" s="1"/>
  <c r="Q29" i="6"/>
  <c r="Q62" i="6" s="1"/>
  <c r="P29" i="6"/>
  <c r="O29" i="6"/>
  <c r="O62" i="6" s="1"/>
  <c r="N29" i="6"/>
  <c r="M29" i="6"/>
  <c r="L29" i="6"/>
  <c r="L62" i="6" s="1"/>
  <c r="K29" i="6"/>
  <c r="K62" i="6" s="1"/>
  <c r="J29" i="6"/>
  <c r="I29" i="6"/>
  <c r="I62" i="6" s="1"/>
  <c r="H29" i="6"/>
  <c r="G29" i="6"/>
  <c r="R28" i="6"/>
  <c r="R61" i="6" s="1"/>
  <c r="Q28" i="6"/>
  <c r="Q61" i="6" s="1"/>
  <c r="P28" i="6"/>
  <c r="O28" i="6"/>
  <c r="O61" i="6" s="1"/>
  <c r="N28" i="6"/>
  <c r="M28" i="6"/>
  <c r="L28" i="6"/>
  <c r="L61" i="6" s="1"/>
  <c r="K28" i="6"/>
  <c r="K61" i="6" s="1"/>
  <c r="J28" i="6"/>
  <c r="I28" i="6"/>
  <c r="I61" i="6" s="1"/>
  <c r="H28" i="6"/>
  <c r="G28" i="6"/>
  <c r="R27" i="6"/>
  <c r="R60" i="6" s="1"/>
  <c r="Q27" i="6"/>
  <c r="Q60" i="6" s="1"/>
  <c r="P27" i="6"/>
  <c r="O27" i="6"/>
  <c r="O60" i="6" s="1"/>
  <c r="N27" i="6"/>
  <c r="M27" i="6"/>
  <c r="L27" i="6"/>
  <c r="L60" i="6" s="1"/>
  <c r="K27" i="6"/>
  <c r="K60" i="6" s="1"/>
  <c r="J27" i="6"/>
  <c r="I27" i="6"/>
  <c r="I60" i="6" s="1"/>
  <c r="H27" i="6"/>
  <c r="G27" i="6"/>
  <c r="R26" i="6"/>
  <c r="R59" i="6" s="1"/>
  <c r="Q26" i="6"/>
  <c r="Q59" i="6" s="1"/>
  <c r="P26" i="6"/>
  <c r="O26" i="6"/>
  <c r="O59" i="6" s="1"/>
  <c r="N26" i="6"/>
  <c r="M26" i="6"/>
  <c r="L26" i="6"/>
  <c r="L59" i="6" s="1"/>
  <c r="K26" i="6"/>
  <c r="K59" i="6" s="1"/>
  <c r="J26" i="6"/>
  <c r="I26" i="6"/>
  <c r="I59" i="6" s="1"/>
  <c r="H26" i="6"/>
  <c r="G26" i="6"/>
  <c r="R25" i="6"/>
  <c r="R58" i="6" s="1"/>
  <c r="Q25" i="6"/>
  <c r="Q58" i="6" s="1"/>
  <c r="P25" i="6"/>
  <c r="O25" i="6"/>
  <c r="O58" i="6" s="1"/>
  <c r="N25" i="6"/>
  <c r="M25" i="6"/>
  <c r="L25" i="6"/>
  <c r="L58" i="6" s="1"/>
  <c r="K25" i="6"/>
  <c r="K58" i="6" s="1"/>
  <c r="J25" i="6"/>
  <c r="I25" i="6"/>
  <c r="I58" i="6" s="1"/>
  <c r="H25" i="6"/>
  <c r="G25" i="6"/>
  <c r="R24" i="6"/>
  <c r="R57" i="6" s="1"/>
  <c r="Q24" i="6"/>
  <c r="Q57" i="6" s="1"/>
  <c r="P24" i="6"/>
  <c r="O24" i="6"/>
  <c r="O57" i="6" s="1"/>
  <c r="N24" i="6"/>
  <c r="M24" i="6"/>
  <c r="L24" i="6"/>
  <c r="L57" i="6" s="1"/>
  <c r="K24" i="6"/>
  <c r="K57" i="6" s="1"/>
  <c r="J24" i="6"/>
  <c r="I24" i="6"/>
  <c r="I57" i="6" s="1"/>
  <c r="H24" i="6"/>
  <c r="G24" i="6"/>
  <c r="R23" i="6"/>
  <c r="R56" i="6" s="1"/>
  <c r="Q23" i="6"/>
  <c r="Q56" i="6" s="1"/>
  <c r="P23" i="6"/>
  <c r="O23" i="6"/>
  <c r="O56" i="6" s="1"/>
  <c r="N23" i="6"/>
  <c r="M23" i="6"/>
  <c r="L23" i="6"/>
  <c r="L56" i="6" s="1"/>
  <c r="K23" i="6"/>
  <c r="K56" i="6" s="1"/>
  <c r="J23" i="6"/>
  <c r="I23" i="6"/>
  <c r="I56" i="6" s="1"/>
  <c r="H23" i="6"/>
  <c r="G23" i="6"/>
  <c r="R22" i="6"/>
  <c r="R55" i="6" s="1"/>
  <c r="Q22" i="6"/>
  <c r="Q55" i="6" s="1"/>
  <c r="P22" i="6"/>
  <c r="O22" i="6"/>
  <c r="O55" i="6" s="1"/>
  <c r="N22" i="6"/>
  <c r="M22" i="6"/>
  <c r="L22" i="6"/>
  <c r="L55" i="6" s="1"/>
  <c r="K22" i="6"/>
  <c r="K55" i="6" s="1"/>
  <c r="J22" i="6"/>
  <c r="I22" i="6"/>
  <c r="I55" i="6" s="1"/>
  <c r="H22" i="6"/>
  <c r="G22" i="6"/>
  <c r="F35" i="6"/>
  <c r="F36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W34" i="5"/>
  <c r="W66" i="5" s="1"/>
  <c r="V34" i="5"/>
  <c r="U34" i="5"/>
  <c r="T34" i="5"/>
  <c r="T66" i="5" s="1"/>
  <c r="S34" i="5"/>
  <c r="S66" i="5" s="1"/>
  <c r="W33" i="5"/>
  <c r="W65" i="5" s="1"/>
  <c r="V33" i="5"/>
  <c r="U33" i="5"/>
  <c r="T33" i="5"/>
  <c r="T65" i="5" s="1"/>
  <c r="S33" i="5"/>
  <c r="S65" i="5" s="1"/>
  <c r="W32" i="5"/>
  <c r="W64" i="5" s="1"/>
  <c r="V32" i="5"/>
  <c r="U32" i="5"/>
  <c r="T32" i="5"/>
  <c r="T64" i="5" s="1"/>
  <c r="S32" i="5"/>
  <c r="S64" i="5" s="1"/>
  <c r="W31" i="5"/>
  <c r="W63" i="5" s="1"/>
  <c r="V31" i="5"/>
  <c r="U31" i="5"/>
  <c r="T31" i="5"/>
  <c r="T63" i="5" s="1"/>
  <c r="S31" i="5"/>
  <c r="S63" i="5" s="1"/>
  <c r="W30" i="5"/>
  <c r="W62" i="5" s="1"/>
  <c r="V30" i="5"/>
  <c r="U30" i="5"/>
  <c r="T30" i="5"/>
  <c r="T62" i="5" s="1"/>
  <c r="S30" i="5"/>
  <c r="S62" i="5" s="1"/>
  <c r="W29" i="5"/>
  <c r="W61" i="5" s="1"/>
  <c r="V29" i="5"/>
  <c r="U29" i="5"/>
  <c r="T29" i="5"/>
  <c r="T61" i="5" s="1"/>
  <c r="S29" i="5"/>
  <c r="S61" i="5" s="1"/>
  <c r="W28" i="5"/>
  <c r="W60" i="5" s="1"/>
  <c r="V28" i="5"/>
  <c r="U28" i="5"/>
  <c r="T28" i="5"/>
  <c r="T60" i="5" s="1"/>
  <c r="S28" i="5"/>
  <c r="S60" i="5" s="1"/>
  <c r="W27" i="5"/>
  <c r="W59" i="5" s="1"/>
  <c r="V27" i="5"/>
  <c r="U27" i="5"/>
  <c r="T27" i="5"/>
  <c r="T59" i="5" s="1"/>
  <c r="S27" i="5"/>
  <c r="S59" i="5" s="1"/>
  <c r="W26" i="5"/>
  <c r="W58" i="5" s="1"/>
  <c r="V26" i="5"/>
  <c r="U26" i="5"/>
  <c r="T26" i="5"/>
  <c r="T58" i="5" s="1"/>
  <c r="S26" i="5"/>
  <c r="S58" i="5" s="1"/>
  <c r="W25" i="5"/>
  <c r="W57" i="5" s="1"/>
  <c r="V25" i="5"/>
  <c r="U25" i="5"/>
  <c r="T25" i="5"/>
  <c r="T57" i="5" s="1"/>
  <c r="S25" i="5"/>
  <c r="S57" i="5" s="1"/>
  <c r="W24" i="5"/>
  <c r="W56" i="5" s="1"/>
  <c r="V24" i="5"/>
  <c r="U24" i="5"/>
  <c r="T24" i="5"/>
  <c r="T56" i="5" s="1"/>
  <c r="S24" i="5"/>
  <c r="S56" i="5" s="1"/>
  <c r="W23" i="5"/>
  <c r="W55" i="5" s="1"/>
  <c r="V23" i="5"/>
  <c r="U23" i="5"/>
  <c r="T23" i="5"/>
  <c r="T55" i="5" s="1"/>
  <c r="S23" i="5"/>
  <c r="S55" i="5" s="1"/>
  <c r="W22" i="5"/>
  <c r="W54" i="5" s="1"/>
  <c r="V22" i="5"/>
  <c r="U22" i="5"/>
  <c r="T22" i="5"/>
  <c r="T54" i="5" s="1"/>
  <c r="S22" i="5"/>
  <c r="S54" i="5" s="1"/>
  <c r="W21" i="5"/>
  <c r="W53" i="5" s="1"/>
  <c r="V21" i="5"/>
  <c r="U21" i="5"/>
  <c r="T21" i="5"/>
  <c r="T53" i="5" s="1"/>
  <c r="S21" i="5"/>
  <c r="S53" i="5" s="1"/>
  <c r="R34" i="5"/>
  <c r="R66" i="5" s="1"/>
  <c r="Q34" i="5"/>
  <c r="Q66" i="5" s="1"/>
  <c r="P34" i="5"/>
  <c r="O34" i="5"/>
  <c r="O66" i="5" s="1"/>
  <c r="N34" i="5"/>
  <c r="M34" i="5"/>
  <c r="L34" i="5"/>
  <c r="L66" i="5" s="1"/>
  <c r="K34" i="5"/>
  <c r="K66" i="5" s="1"/>
  <c r="J34" i="5"/>
  <c r="I34" i="5"/>
  <c r="I66" i="5" s="1"/>
  <c r="H34" i="5"/>
  <c r="G34" i="5"/>
  <c r="R33" i="5"/>
  <c r="R65" i="5" s="1"/>
  <c r="Q33" i="5"/>
  <c r="Q65" i="5" s="1"/>
  <c r="P33" i="5"/>
  <c r="O33" i="5"/>
  <c r="O65" i="5" s="1"/>
  <c r="N33" i="5"/>
  <c r="M33" i="5"/>
  <c r="L33" i="5"/>
  <c r="L65" i="5" s="1"/>
  <c r="K33" i="5"/>
  <c r="K65" i="5" s="1"/>
  <c r="J33" i="5"/>
  <c r="I33" i="5"/>
  <c r="I65" i="5" s="1"/>
  <c r="H33" i="5"/>
  <c r="G33" i="5"/>
  <c r="R32" i="5"/>
  <c r="R64" i="5" s="1"/>
  <c r="Q32" i="5"/>
  <c r="Q64" i="5" s="1"/>
  <c r="P32" i="5"/>
  <c r="O32" i="5"/>
  <c r="O64" i="5" s="1"/>
  <c r="N32" i="5"/>
  <c r="M32" i="5"/>
  <c r="L32" i="5"/>
  <c r="L64" i="5" s="1"/>
  <c r="K32" i="5"/>
  <c r="K64" i="5" s="1"/>
  <c r="J32" i="5"/>
  <c r="I32" i="5"/>
  <c r="I64" i="5" s="1"/>
  <c r="H32" i="5"/>
  <c r="G32" i="5"/>
  <c r="R31" i="5"/>
  <c r="R63" i="5" s="1"/>
  <c r="Q31" i="5"/>
  <c r="Q63" i="5" s="1"/>
  <c r="P31" i="5"/>
  <c r="O31" i="5"/>
  <c r="O63" i="5" s="1"/>
  <c r="N31" i="5"/>
  <c r="M31" i="5"/>
  <c r="L31" i="5"/>
  <c r="L63" i="5" s="1"/>
  <c r="K31" i="5"/>
  <c r="K63" i="5" s="1"/>
  <c r="J31" i="5"/>
  <c r="I31" i="5"/>
  <c r="I63" i="5" s="1"/>
  <c r="H31" i="5"/>
  <c r="G31" i="5"/>
  <c r="R30" i="5"/>
  <c r="R62" i="5" s="1"/>
  <c r="Q30" i="5"/>
  <c r="Q62" i="5" s="1"/>
  <c r="P30" i="5"/>
  <c r="O30" i="5"/>
  <c r="O62" i="5" s="1"/>
  <c r="N30" i="5"/>
  <c r="M30" i="5"/>
  <c r="L30" i="5"/>
  <c r="L62" i="5" s="1"/>
  <c r="K30" i="5"/>
  <c r="K62" i="5" s="1"/>
  <c r="J30" i="5"/>
  <c r="I30" i="5"/>
  <c r="I62" i="5" s="1"/>
  <c r="H30" i="5"/>
  <c r="G30" i="5"/>
  <c r="R29" i="5"/>
  <c r="R61" i="5" s="1"/>
  <c r="Q29" i="5"/>
  <c r="Q61" i="5" s="1"/>
  <c r="P29" i="5"/>
  <c r="O29" i="5"/>
  <c r="O61" i="5" s="1"/>
  <c r="N29" i="5"/>
  <c r="M29" i="5"/>
  <c r="L29" i="5"/>
  <c r="L61" i="5" s="1"/>
  <c r="K29" i="5"/>
  <c r="K61" i="5" s="1"/>
  <c r="J29" i="5"/>
  <c r="I29" i="5"/>
  <c r="I61" i="5" s="1"/>
  <c r="H29" i="5"/>
  <c r="G29" i="5"/>
  <c r="R28" i="5"/>
  <c r="R60" i="5" s="1"/>
  <c r="Q28" i="5"/>
  <c r="Q60" i="5" s="1"/>
  <c r="P28" i="5"/>
  <c r="O28" i="5"/>
  <c r="O60" i="5" s="1"/>
  <c r="N28" i="5"/>
  <c r="M28" i="5"/>
  <c r="L28" i="5"/>
  <c r="L60" i="5" s="1"/>
  <c r="K28" i="5"/>
  <c r="K60" i="5" s="1"/>
  <c r="J28" i="5"/>
  <c r="I28" i="5"/>
  <c r="I60" i="5" s="1"/>
  <c r="H28" i="5"/>
  <c r="G28" i="5"/>
  <c r="R27" i="5"/>
  <c r="R59" i="5" s="1"/>
  <c r="Q27" i="5"/>
  <c r="Q59" i="5" s="1"/>
  <c r="P27" i="5"/>
  <c r="O27" i="5"/>
  <c r="O59" i="5" s="1"/>
  <c r="N27" i="5"/>
  <c r="M27" i="5"/>
  <c r="L27" i="5"/>
  <c r="L59" i="5" s="1"/>
  <c r="K27" i="5"/>
  <c r="K59" i="5" s="1"/>
  <c r="J27" i="5"/>
  <c r="I27" i="5"/>
  <c r="I59" i="5" s="1"/>
  <c r="H27" i="5"/>
  <c r="G27" i="5"/>
  <c r="R26" i="5"/>
  <c r="R58" i="5" s="1"/>
  <c r="Q26" i="5"/>
  <c r="Q58" i="5" s="1"/>
  <c r="P26" i="5"/>
  <c r="O26" i="5"/>
  <c r="O58" i="5" s="1"/>
  <c r="N26" i="5"/>
  <c r="M26" i="5"/>
  <c r="L26" i="5"/>
  <c r="L58" i="5" s="1"/>
  <c r="K26" i="5"/>
  <c r="K58" i="5" s="1"/>
  <c r="J26" i="5"/>
  <c r="I26" i="5"/>
  <c r="I58" i="5" s="1"/>
  <c r="H26" i="5"/>
  <c r="G26" i="5"/>
  <c r="R25" i="5"/>
  <c r="R57" i="5" s="1"/>
  <c r="Q25" i="5"/>
  <c r="Q57" i="5" s="1"/>
  <c r="P25" i="5"/>
  <c r="O25" i="5"/>
  <c r="O57" i="5" s="1"/>
  <c r="N25" i="5"/>
  <c r="M25" i="5"/>
  <c r="L25" i="5"/>
  <c r="L57" i="5" s="1"/>
  <c r="K25" i="5"/>
  <c r="K57" i="5" s="1"/>
  <c r="J25" i="5"/>
  <c r="I25" i="5"/>
  <c r="I57" i="5" s="1"/>
  <c r="H25" i="5"/>
  <c r="G25" i="5"/>
  <c r="R24" i="5"/>
  <c r="R56" i="5" s="1"/>
  <c r="Q24" i="5"/>
  <c r="Q56" i="5" s="1"/>
  <c r="P24" i="5"/>
  <c r="O24" i="5"/>
  <c r="O56" i="5" s="1"/>
  <c r="N24" i="5"/>
  <c r="M24" i="5"/>
  <c r="L24" i="5"/>
  <c r="L56" i="5" s="1"/>
  <c r="K24" i="5"/>
  <c r="K56" i="5" s="1"/>
  <c r="J24" i="5"/>
  <c r="I24" i="5"/>
  <c r="I56" i="5" s="1"/>
  <c r="H24" i="5"/>
  <c r="G24" i="5"/>
  <c r="R23" i="5"/>
  <c r="R55" i="5" s="1"/>
  <c r="Q23" i="5"/>
  <c r="Q55" i="5" s="1"/>
  <c r="P23" i="5"/>
  <c r="O23" i="5"/>
  <c r="O55" i="5" s="1"/>
  <c r="N23" i="5"/>
  <c r="M23" i="5"/>
  <c r="L23" i="5"/>
  <c r="L55" i="5" s="1"/>
  <c r="K23" i="5"/>
  <c r="K55" i="5" s="1"/>
  <c r="J23" i="5"/>
  <c r="I23" i="5"/>
  <c r="I55" i="5" s="1"/>
  <c r="H23" i="5"/>
  <c r="G23" i="5"/>
  <c r="R22" i="5"/>
  <c r="R54" i="5" s="1"/>
  <c r="Q22" i="5"/>
  <c r="Q54" i="5" s="1"/>
  <c r="P22" i="5"/>
  <c r="O22" i="5"/>
  <c r="O54" i="5" s="1"/>
  <c r="N22" i="5"/>
  <c r="M22" i="5"/>
  <c r="L22" i="5"/>
  <c r="L54" i="5" s="1"/>
  <c r="K22" i="5"/>
  <c r="K54" i="5" s="1"/>
  <c r="J22" i="5"/>
  <c r="I22" i="5"/>
  <c r="I54" i="5" s="1"/>
  <c r="H22" i="5"/>
  <c r="G22" i="5"/>
  <c r="R21" i="5"/>
  <c r="R53" i="5" s="1"/>
  <c r="Q21" i="5"/>
  <c r="Q53" i="5" s="1"/>
  <c r="P21" i="5"/>
  <c r="O21" i="5"/>
  <c r="O53" i="5" s="1"/>
  <c r="N21" i="5"/>
  <c r="M21" i="5"/>
  <c r="L21" i="5"/>
  <c r="L53" i="5" s="1"/>
  <c r="K21" i="5"/>
  <c r="K53" i="5" s="1"/>
  <c r="J21" i="5"/>
  <c r="I21" i="5"/>
  <c r="I53" i="5" s="1"/>
  <c r="H21" i="5"/>
  <c r="G21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W53" i="3"/>
  <c r="V53" i="3"/>
  <c r="U53" i="3"/>
  <c r="T53" i="3"/>
  <c r="S53" i="3"/>
  <c r="R53" i="3"/>
  <c r="Q53" i="3"/>
  <c r="W52" i="3"/>
  <c r="V52" i="3"/>
  <c r="U52" i="3"/>
  <c r="T52" i="3"/>
  <c r="S52" i="3"/>
  <c r="R52" i="3"/>
  <c r="Q52" i="3"/>
  <c r="W51" i="3"/>
  <c r="V51" i="3"/>
  <c r="U51" i="3"/>
  <c r="T51" i="3"/>
  <c r="S51" i="3"/>
  <c r="R51" i="3"/>
  <c r="Q51" i="3"/>
  <c r="W50" i="3"/>
  <c r="V50" i="3"/>
  <c r="U50" i="3"/>
  <c r="T50" i="3"/>
  <c r="S50" i="3"/>
  <c r="R50" i="3"/>
  <c r="Q50" i="3"/>
  <c r="W49" i="3"/>
  <c r="V49" i="3"/>
  <c r="U49" i="3"/>
  <c r="T49" i="3"/>
  <c r="S49" i="3"/>
  <c r="R49" i="3"/>
  <c r="Q49" i="3"/>
  <c r="W48" i="3"/>
  <c r="V48" i="3"/>
  <c r="U48" i="3"/>
  <c r="T48" i="3"/>
  <c r="S48" i="3"/>
  <c r="R48" i="3"/>
  <c r="Q48" i="3"/>
  <c r="W47" i="3"/>
  <c r="V47" i="3"/>
  <c r="U47" i="3"/>
  <c r="T47" i="3"/>
  <c r="S47" i="3"/>
  <c r="R47" i="3"/>
  <c r="Q47" i="3"/>
  <c r="W46" i="3"/>
  <c r="V46" i="3"/>
  <c r="U46" i="3"/>
  <c r="T46" i="3"/>
  <c r="S46" i="3"/>
  <c r="R46" i="3"/>
  <c r="Q46" i="3"/>
  <c r="W45" i="3"/>
  <c r="V45" i="3"/>
  <c r="U45" i="3"/>
  <c r="T45" i="3"/>
  <c r="S45" i="3"/>
  <c r="R45" i="3"/>
  <c r="Q45" i="3"/>
  <c r="W44" i="3"/>
  <c r="V44" i="3"/>
  <c r="U44" i="3"/>
  <c r="T44" i="3"/>
  <c r="S44" i="3"/>
  <c r="R44" i="3"/>
  <c r="Q44" i="3"/>
  <c r="W43" i="3"/>
  <c r="V43" i="3"/>
  <c r="U43" i="3"/>
  <c r="T43" i="3"/>
  <c r="S43" i="3"/>
  <c r="R43" i="3"/>
  <c r="Q43" i="3"/>
  <c r="W42" i="3"/>
  <c r="V42" i="3"/>
  <c r="U42" i="3"/>
  <c r="T42" i="3"/>
  <c r="S42" i="3"/>
  <c r="R42" i="3"/>
  <c r="Q42" i="3"/>
  <c r="W41" i="3"/>
  <c r="V41" i="3"/>
  <c r="U41" i="3"/>
  <c r="T41" i="3"/>
  <c r="S41" i="3"/>
  <c r="R41" i="3"/>
  <c r="Q41" i="3"/>
  <c r="W40" i="3"/>
  <c r="V40" i="3"/>
  <c r="U40" i="3"/>
  <c r="T40" i="3"/>
  <c r="S40" i="3"/>
  <c r="R40" i="3"/>
  <c r="Q40" i="3"/>
  <c r="W39" i="3"/>
  <c r="V39" i="3"/>
  <c r="U39" i="3"/>
  <c r="T39" i="3"/>
  <c r="S39" i="3"/>
  <c r="R39" i="3"/>
  <c r="Q39" i="3"/>
  <c r="P53" i="3"/>
  <c r="O53" i="3"/>
  <c r="N53" i="3"/>
  <c r="M53" i="3"/>
  <c r="L53" i="3"/>
  <c r="K53" i="3"/>
  <c r="J53" i="3"/>
  <c r="I53" i="3"/>
  <c r="H53" i="3"/>
  <c r="P52" i="3"/>
  <c r="O52" i="3"/>
  <c r="N52" i="3"/>
  <c r="M52" i="3"/>
  <c r="L52" i="3"/>
  <c r="K52" i="3"/>
  <c r="J52" i="3"/>
  <c r="I52" i="3"/>
  <c r="H52" i="3"/>
  <c r="P51" i="3"/>
  <c r="O51" i="3"/>
  <c r="N51" i="3"/>
  <c r="M51" i="3"/>
  <c r="L51" i="3"/>
  <c r="K51" i="3"/>
  <c r="J51" i="3"/>
  <c r="I51" i="3"/>
  <c r="H51" i="3"/>
  <c r="P50" i="3"/>
  <c r="O50" i="3"/>
  <c r="N50" i="3"/>
  <c r="M50" i="3"/>
  <c r="L50" i="3"/>
  <c r="K50" i="3"/>
  <c r="J50" i="3"/>
  <c r="I50" i="3"/>
  <c r="H50" i="3"/>
  <c r="P49" i="3"/>
  <c r="O49" i="3"/>
  <c r="N49" i="3"/>
  <c r="M49" i="3"/>
  <c r="L49" i="3"/>
  <c r="K49" i="3"/>
  <c r="J49" i="3"/>
  <c r="I49" i="3"/>
  <c r="H49" i="3"/>
  <c r="P48" i="3"/>
  <c r="O48" i="3"/>
  <c r="N48" i="3"/>
  <c r="M48" i="3"/>
  <c r="L48" i="3"/>
  <c r="K48" i="3"/>
  <c r="J48" i="3"/>
  <c r="I48" i="3"/>
  <c r="H48" i="3"/>
  <c r="P47" i="3"/>
  <c r="O47" i="3"/>
  <c r="N47" i="3"/>
  <c r="M47" i="3"/>
  <c r="L47" i="3"/>
  <c r="K47" i="3"/>
  <c r="J47" i="3"/>
  <c r="I47" i="3"/>
  <c r="H47" i="3"/>
  <c r="P46" i="3"/>
  <c r="O46" i="3"/>
  <c r="N46" i="3"/>
  <c r="M46" i="3"/>
  <c r="L46" i="3"/>
  <c r="K46" i="3"/>
  <c r="J46" i="3"/>
  <c r="I46" i="3"/>
  <c r="H46" i="3"/>
  <c r="P45" i="3"/>
  <c r="O45" i="3"/>
  <c r="N45" i="3"/>
  <c r="M45" i="3"/>
  <c r="L45" i="3"/>
  <c r="K45" i="3"/>
  <c r="J45" i="3"/>
  <c r="I45" i="3"/>
  <c r="H45" i="3"/>
  <c r="P44" i="3"/>
  <c r="O44" i="3"/>
  <c r="N44" i="3"/>
  <c r="M44" i="3"/>
  <c r="L44" i="3"/>
  <c r="K44" i="3"/>
  <c r="J44" i="3"/>
  <c r="I44" i="3"/>
  <c r="H44" i="3"/>
  <c r="P43" i="3"/>
  <c r="O43" i="3"/>
  <c r="N43" i="3"/>
  <c r="M43" i="3"/>
  <c r="L43" i="3"/>
  <c r="K43" i="3"/>
  <c r="J43" i="3"/>
  <c r="I43" i="3"/>
  <c r="H43" i="3"/>
  <c r="P42" i="3"/>
  <c r="O42" i="3"/>
  <c r="N42" i="3"/>
  <c r="M42" i="3"/>
  <c r="L42" i="3"/>
  <c r="K42" i="3"/>
  <c r="J42" i="3"/>
  <c r="I42" i="3"/>
  <c r="H42" i="3"/>
  <c r="P41" i="3"/>
  <c r="O41" i="3"/>
  <c r="N41" i="3"/>
  <c r="M41" i="3"/>
  <c r="L41" i="3"/>
  <c r="K41" i="3"/>
  <c r="J41" i="3"/>
  <c r="I41" i="3"/>
  <c r="H41" i="3"/>
  <c r="P40" i="3"/>
  <c r="O40" i="3"/>
  <c r="N40" i="3"/>
  <c r="M40" i="3"/>
  <c r="L40" i="3"/>
  <c r="K40" i="3"/>
  <c r="J40" i="3"/>
  <c r="I40" i="3"/>
  <c r="H40" i="3"/>
  <c r="P39" i="3"/>
  <c r="O39" i="3"/>
  <c r="N39" i="3"/>
  <c r="M39" i="3"/>
  <c r="L39" i="3"/>
  <c r="K39" i="3"/>
  <c r="J39" i="3"/>
  <c r="I39" i="3"/>
  <c r="H39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W37" i="3"/>
  <c r="W70" i="3" s="1"/>
  <c r="V37" i="3"/>
  <c r="U37" i="3"/>
  <c r="T37" i="3"/>
  <c r="T70" i="3" s="1"/>
  <c r="S37" i="3"/>
  <c r="S70" i="3" s="1"/>
  <c r="R37" i="3"/>
  <c r="R70" i="3" s="1"/>
  <c r="Q37" i="3"/>
  <c r="Q70" i="3" s="1"/>
  <c r="Q36" i="3"/>
  <c r="Q69" i="3" s="1"/>
  <c r="R36" i="3"/>
  <c r="R69" i="3" s="1"/>
  <c r="S36" i="3"/>
  <c r="S69" i="3" s="1"/>
  <c r="T36" i="3"/>
  <c r="T69" i="3" s="1"/>
  <c r="U36" i="3"/>
  <c r="V36" i="3"/>
  <c r="W36" i="3"/>
  <c r="W69" i="3" s="1"/>
  <c r="P37" i="3"/>
  <c r="O37" i="3"/>
  <c r="O70" i="3" s="1"/>
  <c r="N37" i="3"/>
  <c r="M37" i="3"/>
  <c r="L37" i="3"/>
  <c r="L70" i="3" s="1"/>
  <c r="K37" i="3"/>
  <c r="K70" i="3" s="1"/>
  <c r="J37" i="3"/>
  <c r="I37" i="3"/>
  <c r="I70" i="3" s="1"/>
  <c r="H37" i="3"/>
  <c r="G37" i="3"/>
  <c r="F37" i="3"/>
  <c r="F23" i="3"/>
  <c r="W35" i="3"/>
  <c r="W68" i="3" s="1"/>
  <c r="V35" i="3"/>
  <c r="U35" i="3"/>
  <c r="T35" i="3"/>
  <c r="T68" i="3" s="1"/>
  <c r="W34" i="3"/>
  <c r="W67" i="3" s="1"/>
  <c r="V34" i="3"/>
  <c r="U34" i="3"/>
  <c r="T34" i="3"/>
  <c r="T67" i="3" s="1"/>
  <c r="W33" i="3"/>
  <c r="W66" i="3" s="1"/>
  <c r="V33" i="3"/>
  <c r="U33" i="3"/>
  <c r="T33" i="3"/>
  <c r="T66" i="3" s="1"/>
  <c r="W32" i="3"/>
  <c r="W65" i="3" s="1"/>
  <c r="V32" i="3"/>
  <c r="U32" i="3"/>
  <c r="T32" i="3"/>
  <c r="T65" i="3" s="1"/>
  <c r="W31" i="3"/>
  <c r="W64" i="3" s="1"/>
  <c r="V31" i="3"/>
  <c r="U31" i="3"/>
  <c r="T31" i="3"/>
  <c r="T64" i="3" s="1"/>
  <c r="W30" i="3"/>
  <c r="W63" i="3" s="1"/>
  <c r="V30" i="3"/>
  <c r="U30" i="3"/>
  <c r="T30" i="3"/>
  <c r="T63" i="3" s="1"/>
  <c r="W29" i="3"/>
  <c r="W62" i="3" s="1"/>
  <c r="V29" i="3"/>
  <c r="U29" i="3"/>
  <c r="T29" i="3"/>
  <c r="T62" i="3" s="1"/>
  <c r="W28" i="3"/>
  <c r="W61" i="3" s="1"/>
  <c r="V28" i="3"/>
  <c r="U28" i="3"/>
  <c r="T28" i="3"/>
  <c r="T61" i="3" s="1"/>
  <c r="W27" i="3"/>
  <c r="W60" i="3" s="1"/>
  <c r="V27" i="3"/>
  <c r="U27" i="3"/>
  <c r="T27" i="3"/>
  <c r="T60" i="3" s="1"/>
  <c r="W26" i="3"/>
  <c r="W59" i="3" s="1"/>
  <c r="V26" i="3"/>
  <c r="U26" i="3"/>
  <c r="T26" i="3"/>
  <c r="T59" i="3" s="1"/>
  <c r="W25" i="3"/>
  <c r="W58" i="3" s="1"/>
  <c r="V25" i="3"/>
  <c r="U25" i="3"/>
  <c r="T25" i="3"/>
  <c r="T58" i="3" s="1"/>
  <c r="W24" i="3"/>
  <c r="W57" i="3" s="1"/>
  <c r="V24" i="3"/>
  <c r="U24" i="3"/>
  <c r="T24" i="3"/>
  <c r="T57" i="3" s="1"/>
  <c r="W23" i="3"/>
  <c r="W56" i="3" s="1"/>
  <c r="V23" i="3"/>
  <c r="U23" i="3"/>
  <c r="T23" i="3"/>
  <c r="T56" i="3" s="1"/>
  <c r="P36" i="3"/>
  <c r="O36" i="3"/>
  <c r="O69" i="3" s="1"/>
  <c r="N36" i="3"/>
  <c r="M36" i="3"/>
  <c r="L36" i="3"/>
  <c r="L69" i="3" s="1"/>
  <c r="K36" i="3"/>
  <c r="K69" i="3" s="1"/>
  <c r="J36" i="3"/>
  <c r="I36" i="3"/>
  <c r="I69" i="3" s="1"/>
  <c r="H36" i="3"/>
  <c r="G36" i="3"/>
  <c r="S35" i="3"/>
  <c r="S68" i="3" s="1"/>
  <c r="R35" i="3"/>
  <c r="R68" i="3" s="1"/>
  <c r="Q35" i="3"/>
  <c r="Q68" i="3" s="1"/>
  <c r="P35" i="3"/>
  <c r="O35" i="3"/>
  <c r="O68" i="3" s="1"/>
  <c r="N35" i="3"/>
  <c r="M35" i="3"/>
  <c r="L35" i="3"/>
  <c r="L68" i="3" s="1"/>
  <c r="K35" i="3"/>
  <c r="K68" i="3" s="1"/>
  <c r="J35" i="3"/>
  <c r="I35" i="3"/>
  <c r="I68" i="3" s="1"/>
  <c r="H35" i="3"/>
  <c r="G35" i="3"/>
  <c r="S34" i="3"/>
  <c r="S67" i="3" s="1"/>
  <c r="R34" i="3"/>
  <c r="R67" i="3" s="1"/>
  <c r="Q34" i="3"/>
  <c r="Q67" i="3" s="1"/>
  <c r="P34" i="3"/>
  <c r="O34" i="3"/>
  <c r="O67" i="3" s="1"/>
  <c r="N34" i="3"/>
  <c r="M34" i="3"/>
  <c r="L34" i="3"/>
  <c r="L67" i="3" s="1"/>
  <c r="K34" i="3"/>
  <c r="K67" i="3" s="1"/>
  <c r="J34" i="3"/>
  <c r="I34" i="3"/>
  <c r="I67" i="3" s="1"/>
  <c r="H34" i="3"/>
  <c r="G34" i="3"/>
  <c r="S33" i="3"/>
  <c r="S66" i="3" s="1"/>
  <c r="R33" i="3"/>
  <c r="R66" i="3" s="1"/>
  <c r="Q33" i="3"/>
  <c r="Q66" i="3" s="1"/>
  <c r="P33" i="3"/>
  <c r="O33" i="3"/>
  <c r="O66" i="3" s="1"/>
  <c r="N33" i="3"/>
  <c r="M33" i="3"/>
  <c r="L33" i="3"/>
  <c r="L66" i="3" s="1"/>
  <c r="K33" i="3"/>
  <c r="K66" i="3" s="1"/>
  <c r="J33" i="3"/>
  <c r="I33" i="3"/>
  <c r="I66" i="3" s="1"/>
  <c r="H33" i="3"/>
  <c r="G33" i="3"/>
  <c r="S32" i="3"/>
  <c r="S65" i="3" s="1"/>
  <c r="R32" i="3"/>
  <c r="R65" i="3" s="1"/>
  <c r="Q32" i="3"/>
  <c r="Q65" i="3" s="1"/>
  <c r="P32" i="3"/>
  <c r="O32" i="3"/>
  <c r="O65" i="3" s="1"/>
  <c r="N32" i="3"/>
  <c r="M32" i="3"/>
  <c r="L32" i="3"/>
  <c r="L65" i="3" s="1"/>
  <c r="K32" i="3"/>
  <c r="K65" i="3" s="1"/>
  <c r="J32" i="3"/>
  <c r="I32" i="3"/>
  <c r="I65" i="3" s="1"/>
  <c r="H32" i="3"/>
  <c r="G32" i="3"/>
  <c r="S31" i="3"/>
  <c r="S64" i="3" s="1"/>
  <c r="R31" i="3"/>
  <c r="R64" i="3" s="1"/>
  <c r="Q31" i="3"/>
  <c r="Q64" i="3" s="1"/>
  <c r="P31" i="3"/>
  <c r="O31" i="3"/>
  <c r="O64" i="3" s="1"/>
  <c r="N31" i="3"/>
  <c r="M31" i="3"/>
  <c r="L31" i="3"/>
  <c r="L64" i="3" s="1"/>
  <c r="K31" i="3"/>
  <c r="K64" i="3" s="1"/>
  <c r="J31" i="3"/>
  <c r="I31" i="3"/>
  <c r="I64" i="3" s="1"/>
  <c r="H31" i="3"/>
  <c r="G31" i="3"/>
  <c r="S30" i="3"/>
  <c r="S63" i="3" s="1"/>
  <c r="R30" i="3"/>
  <c r="R63" i="3" s="1"/>
  <c r="Q30" i="3"/>
  <c r="Q63" i="3" s="1"/>
  <c r="P30" i="3"/>
  <c r="O30" i="3"/>
  <c r="O63" i="3" s="1"/>
  <c r="N30" i="3"/>
  <c r="M30" i="3"/>
  <c r="L30" i="3"/>
  <c r="L63" i="3" s="1"/>
  <c r="K30" i="3"/>
  <c r="K63" i="3" s="1"/>
  <c r="J30" i="3"/>
  <c r="I30" i="3"/>
  <c r="I63" i="3" s="1"/>
  <c r="H30" i="3"/>
  <c r="G30" i="3"/>
  <c r="S29" i="3"/>
  <c r="S62" i="3" s="1"/>
  <c r="R29" i="3"/>
  <c r="R62" i="3" s="1"/>
  <c r="Q29" i="3"/>
  <c r="Q62" i="3" s="1"/>
  <c r="P29" i="3"/>
  <c r="O29" i="3"/>
  <c r="O62" i="3" s="1"/>
  <c r="N29" i="3"/>
  <c r="M29" i="3"/>
  <c r="L29" i="3"/>
  <c r="L62" i="3" s="1"/>
  <c r="K29" i="3"/>
  <c r="K62" i="3" s="1"/>
  <c r="J29" i="3"/>
  <c r="I29" i="3"/>
  <c r="I62" i="3" s="1"/>
  <c r="H29" i="3"/>
  <c r="G29" i="3"/>
  <c r="S28" i="3"/>
  <c r="S61" i="3" s="1"/>
  <c r="R28" i="3"/>
  <c r="R61" i="3" s="1"/>
  <c r="Q28" i="3"/>
  <c r="Q61" i="3" s="1"/>
  <c r="P28" i="3"/>
  <c r="O28" i="3"/>
  <c r="O61" i="3" s="1"/>
  <c r="N28" i="3"/>
  <c r="M28" i="3"/>
  <c r="L28" i="3"/>
  <c r="L61" i="3" s="1"/>
  <c r="K28" i="3"/>
  <c r="K61" i="3" s="1"/>
  <c r="J28" i="3"/>
  <c r="I28" i="3"/>
  <c r="I61" i="3" s="1"/>
  <c r="H28" i="3"/>
  <c r="G28" i="3"/>
  <c r="S27" i="3"/>
  <c r="S60" i="3" s="1"/>
  <c r="R27" i="3"/>
  <c r="R60" i="3" s="1"/>
  <c r="Q27" i="3"/>
  <c r="Q60" i="3" s="1"/>
  <c r="P27" i="3"/>
  <c r="O27" i="3"/>
  <c r="O60" i="3" s="1"/>
  <c r="N27" i="3"/>
  <c r="M27" i="3"/>
  <c r="L27" i="3"/>
  <c r="L60" i="3" s="1"/>
  <c r="K27" i="3"/>
  <c r="K60" i="3" s="1"/>
  <c r="J27" i="3"/>
  <c r="I27" i="3"/>
  <c r="I60" i="3" s="1"/>
  <c r="H27" i="3"/>
  <c r="G27" i="3"/>
  <c r="S26" i="3"/>
  <c r="S59" i="3" s="1"/>
  <c r="R26" i="3"/>
  <c r="R59" i="3" s="1"/>
  <c r="Q26" i="3"/>
  <c r="Q59" i="3" s="1"/>
  <c r="P26" i="3"/>
  <c r="O26" i="3"/>
  <c r="O59" i="3" s="1"/>
  <c r="N26" i="3"/>
  <c r="M26" i="3"/>
  <c r="L26" i="3"/>
  <c r="L59" i="3" s="1"/>
  <c r="K26" i="3"/>
  <c r="K59" i="3" s="1"/>
  <c r="J26" i="3"/>
  <c r="I26" i="3"/>
  <c r="I59" i="3" s="1"/>
  <c r="H26" i="3"/>
  <c r="G26" i="3"/>
  <c r="S25" i="3"/>
  <c r="S58" i="3" s="1"/>
  <c r="R25" i="3"/>
  <c r="R58" i="3" s="1"/>
  <c r="Q25" i="3"/>
  <c r="Q58" i="3" s="1"/>
  <c r="P25" i="3"/>
  <c r="O25" i="3"/>
  <c r="O58" i="3" s="1"/>
  <c r="N25" i="3"/>
  <c r="M25" i="3"/>
  <c r="L25" i="3"/>
  <c r="L58" i="3" s="1"/>
  <c r="K25" i="3"/>
  <c r="K58" i="3" s="1"/>
  <c r="J25" i="3"/>
  <c r="I25" i="3"/>
  <c r="I58" i="3" s="1"/>
  <c r="H25" i="3"/>
  <c r="G25" i="3"/>
  <c r="S24" i="3"/>
  <c r="S57" i="3" s="1"/>
  <c r="R24" i="3"/>
  <c r="R57" i="3" s="1"/>
  <c r="Q24" i="3"/>
  <c r="Q57" i="3" s="1"/>
  <c r="P24" i="3"/>
  <c r="O24" i="3"/>
  <c r="O57" i="3" s="1"/>
  <c r="N24" i="3"/>
  <c r="M24" i="3"/>
  <c r="L24" i="3"/>
  <c r="L57" i="3" s="1"/>
  <c r="K24" i="3"/>
  <c r="K57" i="3" s="1"/>
  <c r="J24" i="3"/>
  <c r="I24" i="3"/>
  <c r="I57" i="3" s="1"/>
  <c r="H24" i="3"/>
  <c r="G24" i="3"/>
  <c r="S23" i="3"/>
  <c r="S56" i="3" s="1"/>
  <c r="R23" i="3"/>
  <c r="R56" i="3" s="1"/>
  <c r="Q23" i="3"/>
  <c r="Q56" i="3" s="1"/>
  <c r="P23" i="3"/>
  <c r="O23" i="3"/>
  <c r="O56" i="3" s="1"/>
  <c r="N23" i="3"/>
  <c r="M23" i="3"/>
  <c r="L23" i="3"/>
  <c r="L56" i="3" s="1"/>
  <c r="K23" i="3"/>
  <c r="K56" i="3" s="1"/>
  <c r="J23" i="3"/>
  <c r="I23" i="3"/>
  <c r="I56" i="3" s="1"/>
  <c r="H23" i="3"/>
  <c r="G23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W53" i="2"/>
  <c r="V53" i="2"/>
  <c r="U53" i="2"/>
  <c r="T53" i="2"/>
  <c r="S53" i="2"/>
  <c r="R53" i="2"/>
  <c r="Q53" i="2"/>
  <c r="P53" i="2"/>
  <c r="O53" i="2"/>
  <c r="N53" i="2"/>
  <c r="M53" i="2"/>
  <c r="L53" i="2"/>
  <c r="W52" i="2"/>
  <c r="V52" i="2"/>
  <c r="U52" i="2"/>
  <c r="T52" i="2"/>
  <c r="S52" i="2"/>
  <c r="R52" i="2"/>
  <c r="Q52" i="2"/>
  <c r="P52" i="2"/>
  <c r="O52" i="2"/>
  <c r="N52" i="2"/>
  <c r="M52" i="2"/>
  <c r="L52" i="2"/>
  <c r="W51" i="2"/>
  <c r="V51" i="2"/>
  <c r="U51" i="2"/>
  <c r="T51" i="2"/>
  <c r="S51" i="2"/>
  <c r="R51" i="2"/>
  <c r="Q51" i="2"/>
  <c r="P51" i="2"/>
  <c r="O51" i="2"/>
  <c r="N51" i="2"/>
  <c r="M51" i="2"/>
  <c r="L51" i="2"/>
  <c r="W50" i="2"/>
  <c r="V50" i="2"/>
  <c r="U50" i="2"/>
  <c r="T50" i="2"/>
  <c r="S50" i="2"/>
  <c r="R50" i="2"/>
  <c r="Q50" i="2"/>
  <c r="P50" i="2"/>
  <c r="O50" i="2"/>
  <c r="N50" i="2"/>
  <c r="M50" i="2"/>
  <c r="L50" i="2"/>
  <c r="W49" i="2"/>
  <c r="V49" i="2"/>
  <c r="U49" i="2"/>
  <c r="T49" i="2"/>
  <c r="S49" i="2"/>
  <c r="R49" i="2"/>
  <c r="Q49" i="2"/>
  <c r="P49" i="2"/>
  <c r="O49" i="2"/>
  <c r="N49" i="2"/>
  <c r="M49" i="2"/>
  <c r="L49" i="2"/>
  <c r="W48" i="2"/>
  <c r="V48" i="2"/>
  <c r="U48" i="2"/>
  <c r="T48" i="2"/>
  <c r="S48" i="2"/>
  <c r="R48" i="2"/>
  <c r="Q48" i="2"/>
  <c r="P48" i="2"/>
  <c r="O48" i="2"/>
  <c r="N48" i="2"/>
  <c r="M48" i="2"/>
  <c r="L48" i="2"/>
  <c r="W47" i="2"/>
  <c r="V47" i="2"/>
  <c r="U47" i="2"/>
  <c r="T47" i="2"/>
  <c r="S47" i="2"/>
  <c r="R47" i="2"/>
  <c r="Q47" i="2"/>
  <c r="P47" i="2"/>
  <c r="O47" i="2"/>
  <c r="N47" i="2"/>
  <c r="M47" i="2"/>
  <c r="L47" i="2"/>
  <c r="W46" i="2"/>
  <c r="V46" i="2"/>
  <c r="U46" i="2"/>
  <c r="T46" i="2"/>
  <c r="S46" i="2"/>
  <c r="R46" i="2"/>
  <c r="Q46" i="2"/>
  <c r="P46" i="2"/>
  <c r="O46" i="2"/>
  <c r="N46" i="2"/>
  <c r="M46" i="2"/>
  <c r="L46" i="2"/>
  <c r="W45" i="2"/>
  <c r="V45" i="2"/>
  <c r="U45" i="2"/>
  <c r="T45" i="2"/>
  <c r="S45" i="2"/>
  <c r="R45" i="2"/>
  <c r="Q45" i="2"/>
  <c r="P45" i="2"/>
  <c r="O45" i="2"/>
  <c r="N45" i="2"/>
  <c r="M45" i="2"/>
  <c r="L45" i="2"/>
  <c r="W44" i="2"/>
  <c r="V44" i="2"/>
  <c r="U44" i="2"/>
  <c r="T44" i="2"/>
  <c r="S44" i="2"/>
  <c r="R44" i="2"/>
  <c r="Q44" i="2"/>
  <c r="P44" i="2"/>
  <c r="O44" i="2"/>
  <c r="N44" i="2"/>
  <c r="M44" i="2"/>
  <c r="L44" i="2"/>
  <c r="W43" i="2"/>
  <c r="V43" i="2"/>
  <c r="U43" i="2"/>
  <c r="T43" i="2"/>
  <c r="S43" i="2"/>
  <c r="R43" i="2"/>
  <c r="Q43" i="2"/>
  <c r="P43" i="2"/>
  <c r="O43" i="2"/>
  <c r="N43" i="2"/>
  <c r="M43" i="2"/>
  <c r="L43" i="2"/>
  <c r="W42" i="2"/>
  <c r="V42" i="2"/>
  <c r="U42" i="2"/>
  <c r="T42" i="2"/>
  <c r="S42" i="2"/>
  <c r="R42" i="2"/>
  <c r="Q42" i="2"/>
  <c r="P42" i="2"/>
  <c r="O42" i="2"/>
  <c r="N42" i="2"/>
  <c r="M42" i="2"/>
  <c r="L42" i="2"/>
  <c r="W41" i="2"/>
  <c r="V41" i="2"/>
  <c r="U41" i="2"/>
  <c r="T41" i="2"/>
  <c r="S41" i="2"/>
  <c r="R41" i="2"/>
  <c r="Q41" i="2"/>
  <c r="P41" i="2"/>
  <c r="O41" i="2"/>
  <c r="N41" i="2"/>
  <c r="M41" i="2"/>
  <c r="L41" i="2"/>
  <c r="W40" i="2"/>
  <c r="V40" i="2"/>
  <c r="U40" i="2"/>
  <c r="T40" i="2"/>
  <c r="S40" i="2"/>
  <c r="R40" i="2"/>
  <c r="Q40" i="2"/>
  <c r="P40" i="2"/>
  <c r="O40" i="2"/>
  <c r="N40" i="2"/>
  <c r="M40" i="2"/>
  <c r="L40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W36" i="2"/>
  <c r="W69" i="2" s="1"/>
  <c r="W35" i="2"/>
  <c r="W68" i="2" s="1"/>
  <c r="W34" i="2"/>
  <c r="W67" i="2" s="1"/>
  <c r="W33" i="2"/>
  <c r="W66" i="2" s="1"/>
  <c r="W32" i="2"/>
  <c r="W65" i="2" s="1"/>
  <c r="W31" i="2"/>
  <c r="W64" i="2" s="1"/>
  <c r="W30" i="2"/>
  <c r="W63" i="2" s="1"/>
  <c r="W29" i="2"/>
  <c r="W62" i="2" s="1"/>
  <c r="W28" i="2"/>
  <c r="W61" i="2" s="1"/>
  <c r="W27" i="2"/>
  <c r="W60" i="2" s="1"/>
  <c r="W26" i="2"/>
  <c r="W59" i="2" s="1"/>
  <c r="W25" i="2"/>
  <c r="W58" i="2" s="1"/>
  <c r="W24" i="2"/>
  <c r="W57" i="2" s="1"/>
  <c r="W23" i="2"/>
  <c r="W56" i="2" s="1"/>
  <c r="T36" i="2"/>
  <c r="T69" i="2" s="1"/>
  <c r="S36" i="2"/>
  <c r="S69" i="2" s="1"/>
  <c r="R36" i="2"/>
  <c r="R69" i="2" s="1"/>
  <c r="Q36" i="2"/>
  <c r="Q69" i="2" s="1"/>
  <c r="T35" i="2"/>
  <c r="T68" i="2" s="1"/>
  <c r="S35" i="2"/>
  <c r="S68" i="2" s="1"/>
  <c r="R35" i="2"/>
  <c r="R68" i="2" s="1"/>
  <c r="Q35" i="2"/>
  <c r="Q68" i="2" s="1"/>
  <c r="T34" i="2"/>
  <c r="T67" i="2" s="1"/>
  <c r="S34" i="2"/>
  <c r="S67" i="2" s="1"/>
  <c r="R34" i="2"/>
  <c r="R67" i="2" s="1"/>
  <c r="Q34" i="2"/>
  <c r="Q67" i="2" s="1"/>
  <c r="T33" i="2"/>
  <c r="T66" i="2" s="1"/>
  <c r="S33" i="2"/>
  <c r="S66" i="2" s="1"/>
  <c r="R33" i="2"/>
  <c r="R66" i="2" s="1"/>
  <c r="Q33" i="2"/>
  <c r="Q66" i="2" s="1"/>
  <c r="T32" i="2"/>
  <c r="T65" i="2" s="1"/>
  <c r="S32" i="2"/>
  <c r="S65" i="2" s="1"/>
  <c r="R32" i="2"/>
  <c r="R65" i="2" s="1"/>
  <c r="Q32" i="2"/>
  <c r="Q65" i="2" s="1"/>
  <c r="T31" i="2"/>
  <c r="T64" i="2" s="1"/>
  <c r="S31" i="2"/>
  <c r="S64" i="2" s="1"/>
  <c r="R31" i="2"/>
  <c r="R64" i="2" s="1"/>
  <c r="Q31" i="2"/>
  <c r="Q64" i="2" s="1"/>
  <c r="T30" i="2"/>
  <c r="T63" i="2" s="1"/>
  <c r="S30" i="2"/>
  <c r="S63" i="2" s="1"/>
  <c r="R30" i="2"/>
  <c r="R63" i="2" s="1"/>
  <c r="Q30" i="2"/>
  <c r="Q63" i="2" s="1"/>
  <c r="T29" i="2"/>
  <c r="T62" i="2" s="1"/>
  <c r="S29" i="2"/>
  <c r="S62" i="2" s="1"/>
  <c r="R29" i="2"/>
  <c r="R62" i="2" s="1"/>
  <c r="Q29" i="2"/>
  <c r="Q62" i="2" s="1"/>
  <c r="T28" i="2"/>
  <c r="T61" i="2" s="1"/>
  <c r="S28" i="2"/>
  <c r="S61" i="2" s="1"/>
  <c r="R28" i="2"/>
  <c r="R61" i="2" s="1"/>
  <c r="Q28" i="2"/>
  <c r="Q61" i="2" s="1"/>
  <c r="T27" i="2"/>
  <c r="T60" i="2" s="1"/>
  <c r="S27" i="2"/>
  <c r="S60" i="2" s="1"/>
  <c r="R27" i="2"/>
  <c r="R60" i="2" s="1"/>
  <c r="Q27" i="2"/>
  <c r="Q60" i="2" s="1"/>
  <c r="T26" i="2"/>
  <c r="T59" i="2" s="1"/>
  <c r="S26" i="2"/>
  <c r="S59" i="2" s="1"/>
  <c r="R26" i="2"/>
  <c r="R59" i="2" s="1"/>
  <c r="Q26" i="2"/>
  <c r="Q59" i="2" s="1"/>
  <c r="T25" i="2"/>
  <c r="T58" i="2" s="1"/>
  <c r="S25" i="2"/>
  <c r="S58" i="2" s="1"/>
  <c r="R25" i="2"/>
  <c r="R58" i="2" s="1"/>
  <c r="Q25" i="2"/>
  <c r="Q58" i="2" s="1"/>
  <c r="T24" i="2"/>
  <c r="T57" i="2" s="1"/>
  <c r="S24" i="2"/>
  <c r="S57" i="2" s="1"/>
  <c r="R24" i="2"/>
  <c r="R57" i="2" s="1"/>
  <c r="Q24" i="2"/>
  <c r="Q57" i="2" s="1"/>
  <c r="T23" i="2"/>
  <c r="T56" i="2" s="1"/>
  <c r="S23" i="2"/>
  <c r="S56" i="2" s="1"/>
  <c r="R23" i="2"/>
  <c r="R56" i="2" s="1"/>
  <c r="Q23" i="2"/>
  <c r="Q56" i="2" s="1"/>
  <c r="P36" i="2"/>
  <c r="O36" i="2"/>
  <c r="O69" i="2" s="1"/>
  <c r="N36" i="2"/>
  <c r="M36" i="2"/>
  <c r="P35" i="2"/>
  <c r="O35" i="2"/>
  <c r="O68" i="2" s="1"/>
  <c r="N35" i="2"/>
  <c r="M35" i="2"/>
  <c r="P34" i="2"/>
  <c r="O34" i="2"/>
  <c r="O67" i="2" s="1"/>
  <c r="N34" i="2"/>
  <c r="M34" i="2"/>
  <c r="P33" i="2"/>
  <c r="O33" i="2"/>
  <c r="O66" i="2" s="1"/>
  <c r="N33" i="2"/>
  <c r="M33" i="2"/>
  <c r="P32" i="2"/>
  <c r="O32" i="2"/>
  <c r="O65" i="2" s="1"/>
  <c r="N32" i="2"/>
  <c r="M32" i="2"/>
  <c r="P31" i="2"/>
  <c r="O31" i="2"/>
  <c r="O64" i="2" s="1"/>
  <c r="N31" i="2"/>
  <c r="M31" i="2"/>
  <c r="P30" i="2"/>
  <c r="O30" i="2"/>
  <c r="O63" i="2" s="1"/>
  <c r="N30" i="2"/>
  <c r="M30" i="2"/>
  <c r="P29" i="2"/>
  <c r="O29" i="2"/>
  <c r="O62" i="2" s="1"/>
  <c r="N29" i="2"/>
  <c r="M29" i="2"/>
  <c r="P28" i="2"/>
  <c r="O28" i="2"/>
  <c r="O61" i="2" s="1"/>
  <c r="N28" i="2"/>
  <c r="M28" i="2"/>
  <c r="P27" i="2"/>
  <c r="O27" i="2"/>
  <c r="O60" i="2" s="1"/>
  <c r="N27" i="2"/>
  <c r="M27" i="2"/>
  <c r="P26" i="2"/>
  <c r="O26" i="2"/>
  <c r="O59" i="2" s="1"/>
  <c r="N26" i="2"/>
  <c r="M26" i="2"/>
  <c r="P25" i="2"/>
  <c r="O25" i="2"/>
  <c r="O58" i="2" s="1"/>
  <c r="N25" i="2"/>
  <c r="M25" i="2"/>
  <c r="P24" i="2"/>
  <c r="O24" i="2"/>
  <c r="O57" i="2" s="1"/>
  <c r="N24" i="2"/>
  <c r="M24" i="2"/>
  <c r="P23" i="2"/>
  <c r="O23" i="2"/>
  <c r="O56" i="2" s="1"/>
  <c r="N23" i="2"/>
  <c r="M23" i="2"/>
  <c r="L36" i="2"/>
  <c r="L69" i="2" s="1"/>
  <c r="L35" i="2"/>
  <c r="L68" i="2" s="1"/>
  <c r="L34" i="2"/>
  <c r="L67" i="2" s="1"/>
  <c r="L33" i="2"/>
  <c r="L66" i="2" s="1"/>
  <c r="L32" i="2"/>
  <c r="L65" i="2" s="1"/>
  <c r="L31" i="2"/>
  <c r="L64" i="2" s="1"/>
  <c r="L30" i="2"/>
  <c r="L63" i="2" s="1"/>
  <c r="L29" i="2"/>
  <c r="L62" i="2" s="1"/>
  <c r="L28" i="2"/>
  <c r="L61" i="2" s="1"/>
  <c r="L27" i="2"/>
  <c r="L60" i="2" s="1"/>
  <c r="L26" i="2"/>
  <c r="L59" i="2" s="1"/>
  <c r="L25" i="2"/>
  <c r="L58" i="2" s="1"/>
  <c r="L24" i="2"/>
  <c r="L57" i="2" s="1"/>
  <c r="L23" i="2"/>
  <c r="L56" i="2" s="1"/>
  <c r="K36" i="2"/>
  <c r="K69" i="2" s="1"/>
  <c r="K35" i="2"/>
  <c r="K68" i="2" s="1"/>
  <c r="K34" i="2"/>
  <c r="K67" i="2" s="1"/>
  <c r="K33" i="2"/>
  <c r="K66" i="2" s="1"/>
  <c r="K32" i="2"/>
  <c r="K65" i="2" s="1"/>
  <c r="K31" i="2"/>
  <c r="K64" i="2" s="1"/>
  <c r="K30" i="2"/>
  <c r="K63" i="2" s="1"/>
  <c r="K29" i="2"/>
  <c r="K62" i="2" s="1"/>
  <c r="K28" i="2"/>
  <c r="K61" i="2" s="1"/>
  <c r="K27" i="2"/>
  <c r="K60" i="2" s="1"/>
  <c r="K26" i="2"/>
  <c r="K59" i="2" s="1"/>
  <c r="K25" i="2"/>
  <c r="K58" i="2" s="1"/>
  <c r="K24" i="2"/>
  <c r="K57" i="2" s="1"/>
  <c r="K23" i="2"/>
  <c r="K56" i="2" s="1"/>
  <c r="I53" i="2"/>
  <c r="F23" i="2"/>
  <c r="F36" i="2"/>
  <c r="X52" i="11"/>
  <c r="W52" i="11"/>
  <c r="V52" i="11"/>
  <c r="U52" i="11"/>
  <c r="T52" i="11"/>
  <c r="S52" i="11"/>
  <c r="R52" i="11"/>
  <c r="Q52" i="11"/>
  <c r="P52" i="11"/>
  <c r="X51" i="11"/>
  <c r="W51" i="11"/>
  <c r="V51" i="11"/>
  <c r="U51" i="11"/>
  <c r="T51" i="11"/>
  <c r="S51" i="11"/>
  <c r="R51" i="11"/>
  <c r="Q51" i="11"/>
  <c r="P51" i="11"/>
  <c r="X50" i="11"/>
  <c r="W50" i="11"/>
  <c r="V50" i="11"/>
  <c r="U50" i="11"/>
  <c r="T50" i="11"/>
  <c r="S50" i="11"/>
  <c r="R50" i="11"/>
  <c r="Q50" i="11"/>
  <c r="P50" i="11"/>
  <c r="X49" i="11"/>
  <c r="W49" i="11"/>
  <c r="V49" i="11"/>
  <c r="U49" i="11"/>
  <c r="T49" i="11"/>
  <c r="S49" i="11"/>
  <c r="R49" i="11"/>
  <c r="Q49" i="11"/>
  <c r="P49" i="11"/>
  <c r="X48" i="11"/>
  <c r="W48" i="11"/>
  <c r="V48" i="11"/>
  <c r="U48" i="11"/>
  <c r="T48" i="11"/>
  <c r="S48" i="11"/>
  <c r="R48" i="11"/>
  <c r="Q48" i="11"/>
  <c r="P48" i="11"/>
  <c r="X47" i="11"/>
  <c r="W47" i="11"/>
  <c r="V47" i="11"/>
  <c r="U47" i="11"/>
  <c r="T47" i="11"/>
  <c r="S47" i="11"/>
  <c r="R47" i="11"/>
  <c r="Q47" i="11"/>
  <c r="P47" i="11"/>
  <c r="X46" i="11"/>
  <c r="W46" i="11"/>
  <c r="V46" i="11"/>
  <c r="U46" i="11"/>
  <c r="T46" i="11"/>
  <c r="S46" i="11"/>
  <c r="R46" i="11"/>
  <c r="Q46" i="11"/>
  <c r="P46" i="11"/>
  <c r="X45" i="11"/>
  <c r="W45" i="11"/>
  <c r="V45" i="11"/>
  <c r="U45" i="11"/>
  <c r="T45" i="11"/>
  <c r="S45" i="11"/>
  <c r="R45" i="11"/>
  <c r="Q45" i="11"/>
  <c r="P45" i="11"/>
  <c r="X44" i="11"/>
  <c r="W44" i="11"/>
  <c r="V44" i="11"/>
  <c r="U44" i="11"/>
  <c r="T44" i="11"/>
  <c r="S44" i="11"/>
  <c r="R44" i="11"/>
  <c r="Q44" i="11"/>
  <c r="P44" i="11"/>
  <c r="X43" i="11"/>
  <c r="W43" i="11"/>
  <c r="V43" i="11"/>
  <c r="U43" i="11"/>
  <c r="T43" i="11"/>
  <c r="S43" i="11"/>
  <c r="R43" i="11"/>
  <c r="Q43" i="11"/>
  <c r="P43" i="11"/>
  <c r="X42" i="11"/>
  <c r="W42" i="11"/>
  <c r="V42" i="11"/>
  <c r="U42" i="11"/>
  <c r="T42" i="11"/>
  <c r="S42" i="11"/>
  <c r="R42" i="11"/>
  <c r="Q42" i="11"/>
  <c r="P42" i="11"/>
  <c r="X41" i="11"/>
  <c r="W41" i="11"/>
  <c r="V41" i="11"/>
  <c r="U41" i="11"/>
  <c r="T41" i="11"/>
  <c r="S41" i="11"/>
  <c r="R41" i="11"/>
  <c r="Q41" i="11"/>
  <c r="P41" i="11"/>
  <c r="X40" i="11"/>
  <c r="W40" i="11"/>
  <c r="V40" i="11"/>
  <c r="U40" i="11"/>
  <c r="T40" i="11"/>
  <c r="S40" i="11"/>
  <c r="R40" i="11"/>
  <c r="Q40" i="11"/>
  <c r="P40" i="11"/>
  <c r="X39" i="11"/>
  <c r="W39" i="11"/>
  <c r="V39" i="11"/>
  <c r="U39" i="11"/>
  <c r="T39" i="11"/>
  <c r="S39" i="11"/>
  <c r="R39" i="11"/>
  <c r="Q39" i="11"/>
  <c r="P39" i="11"/>
  <c r="O52" i="11"/>
  <c r="N52" i="11"/>
  <c r="M52" i="11"/>
  <c r="L52" i="11"/>
  <c r="K52" i="11"/>
  <c r="J52" i="11"/>
  <c r="I52" i="11"/>
  <c r="H52" i="11"/>
  <c r="O51" i="11"/>
  <c r="N51" i="11"/>
  <c r="M51" i="11"/>
  <c r="L51" i="11"/>
  <c r="K51" i="11"/>
  <c r="J51" i="11"/>
  <c r="I51" i="11"/>
  <c r="H51" i="11"/>
  <c r="O50" i="11"/>
  <c r="N50" i="11"/>
  <c r="M50" i="11"/>
  <c r="L50" i="11"/>
  <c r="K50" i="11"/>
  <c r="J50" i="11"/>
  <c r="I50" i="11"/>
  <c r="H50" i="11"/>
  <c r="O49" i="11"/>
  <c r="N49" i="11"/>
  <c r="M49" i="11"/>
  <c r="L49" i="11"/>
  <c r="K49" i="11"/>
  <c r="J49" i="11"/>
  <c r="I49" i="11"/>
  <c r="H49" i="11"/>
  <c r="O48" i="11"/>
  <c r="N48" i="11"/>
  <c r="M48" i="11"/>
  <c r="L48" i="11"/>
  <c r="K48" i="11"/>
  <c r="J48" i="11"/>
  <c r="I48" i="11"/>
  <c r="H48" i="11"/>
  <c r="O47" i="11"/>
  <c r="N47" i="11"/>
  <c r="M47" i="11"/>
  <c r="L47" i="11"/>
  <c r="K47" i="11"/>
  <c r="J47" i="11"/>
  <c r="I47" i="11"/>
  <c r="H47" i="11"/>
  <c r="O46" i="11"/>
  <c r="N46" i="11"/>
  <c r="M46" i="11"/>
  <c r="L46" i="11"/>
  <c r="K46" i="11"/>
  <c r="J46" i="11"/>
  <c r="I46" i="11"/>
  <c r="H46" i="11"/>
  <c r="O45" i="11"/>
  <c r="N45" i="11"/>
  <c r="M45" i="11"/>
  <c r="L45" i="11"/>
  <c r="K45" i="11"/>
  <c r="J45" i="11"/>
  <c r="I45" i="11"/>
  <c r="H45" i="11"/>
  <c r="O44" i="11"/>
  <c r="N44" i="11"/>
  <c r="M44" i="11"/>
  <c r="L44" i="11"/>
  <c r="K44" i="11"/>
  <c r="J44" i="11"/>
  <c r="I44" i="11"/>
  <c r="H44" i="11"/>
  <c r="O43" i="11"/>
  <c r="N43" i="11"/>
  <c r="M43" i="11"/>
  <c r="L43" i="11"/>
  <c r="K43" i="11"/>
  <c r="J43" i="11"/>
  <c r="I43" i="11"/>
  <c r="H43" i="11"/>
  <c r="O42" i="11"/>
  <c r="N42" i="11"/>
  <c r="M42" i="11"/>
  <c r="L42" i="11"/>
  <c r="K42" i="11"/>
  <c r="J42" i="11"/>
  <c r="I42" i="11"/>
  <c r="H42" i="11"/>
  <c r="O41" i="11"/>
  <c r="N41" i="11"/>
  <c r="M41" i="11"/>
  <c r="L41" i="11"/>
  <c r="K41" i="11"/>
  <c r="J41" i="11"/>
  <c r="I41" i="11"/>
  <c r="H41" i="11"/>
  <c r="O40" i="11"/>
  <c r="N40" i="11"/>
  <c r="M40" i="11"/>
  <c r="L40" i="11"/>
  <c r="K40" i="11"/>
  <c r="J40" i="11"/>
  <c r="I40" i="11"/>
  <c r="H40" i="11"/>
  <c r="O39" i="11"/>
  <c r="N39" i="11"/>
  <c r="M39" i="11"/>
  <c r="L39" i="11"/>
  <c r="K39" i="11"/>
  <c r="J39" i="11"/>
  <c r="I39" i="11"/>
  <c r="H39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X33" i="11"/>
  <c r="X67" i="11" s="1"/>
  <c r="X35" i="11"/>
  <c r="X69" i="11" s="1"/>
  <c r="W35" i="11"/>
  <c r="V35" i="11"/>
  <c r="U35" i="11"/>
  <c r="U69" i="11" s="1"/>
  <c r="T35" i="11"/>
  <c r="T69" i="11" s="1"/>
  <c r="S35" i="11"/>
  <c r="S69" i="11" s="1"/>
  <c r="R35" i="11"/>
  <c r="R69" i="11" s="1"/>
  <c r="Q35" i="11"/>
  <c r="X34" i="11"/>
  <c r="X68" i="11" s="1"/>
  <c r="W34" i="11"/>
  <c r="V34" i="11"/>
  <c r="U34" i="11"/>
  <c r="U68" i="11" s="1"/>
  <c r="T34" i="11"/>
  <c r="T68" i="11" s="1"/>
  <c r="S34" i="11"/>
  <c r="S68" i="11" s="1"/>
  <c r="R34" i="11"/>
  <c r="R68" i="11" s="1"/>
  <c r="Q34" i="11"/>
  <c r="W33" i="11"/>
  <c r="V33" i="11"/>
  <c r="U33" i="11"/>
  <c r="U67" i="11" s="1"/>
  <c r="T33" i="11"/>
  <c r="T67" i="11" s="1"/>
  <c r="S33" i="11"/>
  <c r="S67" i="11" s="1"/>
  <c r="R33" i="11"/>
  <c r="R67" i="11" s="1"/>
  <c r="Q33" i="11"/>
  <c r="X32" i="11"/>
  <c r="X66" i="11" s="1"/>
  <c r="W32" i="11"/>
  <c r="V32" i="11"/>
  <c r="U32" i="11"/>
  <c r="U66" i="11" s="1"/>
  <c r="T32" i="11"/>
  <c r="T66" i="11" s="1"/>
  <c r="S32" i="11"/>
  <c r="S66" i="11" s="1"/>
  <c r="R32" i="11"/>
  <c r="R66" i="11" s="1"/>
  <c r="Q32" i="11"/>
  <c r="X31" i="11"/>
  <c r="X65" i="11" s="1"/>
  <c r="W31" i="11"/>
  <c r="V31" i="11"/>
  <c r="U31" i="11"/>
  <c r="U65" i="11" s="1"/>
  <c r="T31" i="11"/>
  <c r="T65" i="11" s="1"/>
  <c r="S31" i="11"/>
  <c r="S65" i="11" s="1"/>
  <c r="R31" i="11"/>
  <c r="R65" i="11" s="1"/>
  <c r="Q31" i="11"/>
  <c r="X30" i="11"/>
  <c r="X64" i="11" s="1"/>
  <c r="W30" i="11"/>
  <c r="V30" i="11"/>
  <c r="U30" i="11"/>
  <c r="U64" i="11" s="1"/>
  <c r="T30" i="11"/>
  <c r="T64" i="11" s="1"/>
  <c r="S30" i="11"/>
  <c r="S64" i="11" s="1"/>
  <c r="R30" i="11"/>
  <c r="R64" i="11" s="1"/>
  <c r="Q30" i="11"/>
  <c r="X29" i="11"/>
  <c r="X63" i="11" s="1"/>
  <c r="W29" i="11"/>
  <c r="V29" i="11"/>
  <c r="U29" i="11"/>
  <c r="U63" i="11" s="1"/>
  <c r="T29" i="11"/>
  <c r="T63" i="11" s="1"/>
  <c r="S29" i="11"/>
  <c r="S63" i="11" s="1"/>
  <c r="R29" i="11"/>
  <c r="R63" i="11" s="1"/>
  <c r="Q29" i="11"/>
  <c r="X28" i="11"/>
  <c r="X62" i="11" s="1"/>
  <c r="W28" i="11"/>
  <c r="V28" i="11"/>
  <c r="U28" i="11"/>
  <c r="U62" i="11" s="1"/>
  <c r="T28" i="11"/>
  <c r="T62" i="11" s="1"/>
  <c r="S28" i="11"/>
  <c r="S62" i="11" s="1"/>
  <c r="R28" i="11"/>
  <c r="R62" i="11" s="1"/>
  <c r="Q28" i="11"/>
  <c r="X27" i="11"/>
  <c r="X61" i="11" s="1"/>
  <c r="W27" i="11"/>
  <c r="V27" i="11"/>
  <c r="U27" i="11"/>
  <c r="U61" i="11" s="1"/>
  <c r="T27" i="11"/>
  <c r="T61" i="11" s="1"/>
  <c r="S27" i="11"/>
  <c r="S61" i="11" s="1"/>
  <c r="R27" i="11"/>
  <c r="R61" i="11" s="1"/>
  <c r="Q27" i="11"/>
  <c r="X26" i="11"/>
  <c r="X60" i="11" s="1"/>
  <c r="W26" i="11"/>
  <c r="V26" i="11"/>
  <c r="U26" i="11"/>
  <c r="U60" i="11" s="1"/>
  <c r="T26" i="11"/>
  <c r="T60" i="11" s="1"/>
  <c r="S26" i="11"/>
  <c r="S60" i="11" s="1"/>
  <c r="R26" i="11"/>
  <c r="R60" i="11" s="1"/>
  <c r="Q26" i="11"/>
  <c r="X25" i="11"/>
  <c r="X59" i="11" s="1"/>
  <c r="W25" i="11"/>
  <c r="V25" i="11"/>
  <c r="U25" i="11"/>
  <c r="U59" i="11" s="1"/>
  <c r="T25" i="11"/>
  <c r="T59" i="11" s="1"/>
  <c r="S25" i="11"/>
  <c r="S59" i="11" s="1"/>
  <c r="R25" i="11"/>
  <c r="R59" i="11" s="1"/>
  <c r="Q25" i="11"/>
  <c r="X24" i="11"/>
  <c r="X58" i="11" s="1"/>
  <c r="W24" i="11"/>
  <c r="V24" i="11"/>
  <c r="U24" i="11"/>
  <c r="U58" i="11" s="1"/>
  <c r="T24" i="11"/>
  <c r="T58" i="11" s="1"/>
  <c r="S24" i="11"/>
  <c r="S58" i="11" s="1"/>
  <c r="R24" i="11"/>
  <c r="R58" i="11" s="1"/>
  <c r="Q24" i="11"/>
  <c r="X23" i="11"/>
  <c r="X57" i="11" s="1"/>
  <c r="W23" i="11"/>
  <c r="V23" i="11"/>
  <c r="U23" i="11"/>
  <c r="U57" i="11" s="1"/>
  <c r="T23" i="11"/>
  <c r="T57" i="11" s="1"/>
  <c r="S23" i="11"/>
  <c r="S57" i="11" s="1"/>
  <c r="R23" i="11"/>
  <c r="R57" i="11" s="1"/>
  <c r="Q23" i="11"/>
  <c r="X22" i="11"/>
  <c r="X56" i="11" s="1"/>
  <c r="W22" i="11"/>
  <c r="V22" i="11"/>
  <c r="U22" i="11"/>
  <c r="U56" i="11" s="1"/>
  <c r="T22" i="11"/>
  <c r="T56" i="11" s="1"/>
  <c r="S22" i="11"/>
  <c r="S56" i="11" s="1"/>
  <c r="R22" i="11"/>
  <c r="R56" i="11" s="1"/>
  <c r="Q22" i="11"/>
  <c r="P35" i="11"/>
  <c r="P69" i="11" s="1"/>
  <c r="O35" i="11"/>
  <c r="N35" i="11"/>
  <c r="M35" i="11"/>
  <c r="M69" i="11" s="1"/>
  <c r="L35" i="11"/>
  <c r="L69" i="11" s="1"/>
  <c r="K35" i="11"/>
  <c r="J35" i="11"/>
  <c r="I35" i="11"/>
  <c r="I69" i="11" s="1"/>
  <c r="H35" i="11"/>
  <c r="G35" i="11"/>
  <c r="P34" i="11"/>
  <c r="P68" i="11" s="1"/>
  <c r="O34" i="11"/>
  <c r="N34" i="11"/>
  <c r="M34" i="11"/>
  <c r="M68" i="11" s="1"/>
  <c r="L34" i="11"/>
  <c r="L68" i="11" s="1"/>
  <c r="K34" i="11"/>
  <c r="J34" i="11"/>
  <c r="I34" i="11"/>
  <c r="I68" i="11" s="1"/>
  <c r="H34" i="11"/>
  <c r="G34" i="11"/>
  <c r="P33" i="11"/>
  <c r="P67" i="11" s="1"/>
  <c r="O33" i="11"/>
  <c r="N33" i="11"/>
  <c r="M33" i="11"/>
  <c r="M67" i="11" s="1"/>
  <c r="L33" i="11"/>
  <c r="L67" i="11" s="1"/>
  <c r="K33" i="11"/>
  <c r="J33" i="11"/>
  <c r="I33" i="11"/>
  <c r="I67" i="11" s="1"/>
  <c r="H33" i="11"/>
  <c r="G33" i="11"/>
  <c r="P32" i="11"/>
  <c r="P66" i="11" s="1"/>
  <c r="O32" i="11"/>
  <c r="N32" i="11"/>
  <c r="M32" i="11"/>
  <c r="M66" i="11" s="1"/>
  <c r="L32" i="11"/>
  <c r="L66" i="11" s="1"/>
  <c r="K32" i="11"/>
  <c r="J32" i="11"/>
  <c r="I32" i="11"/>
  <c r="I66" i="11" s="1"/>
  <c r="H32" i="11"/>
  <c r="G32" i="11"/>
  <c r="P31" i="11"/>
  <c r="P65" i="11" s="1"/>
  <c r="O31" i="11"/>
  <c r="N31" i="11"/>
  <c r="M31" i="11"/>
  <c r="M65" i="11" s="1"/>
  <c r="L31" i="11"/>
  <c r="L65" i="11" s="1"/>
  <c r="K31" i="11"/>
  <c r="J31" i="11"/>
  <c r="I31" i="11"/>
  <c r="I65" i="11" s="1"/>
  <c r="H31" i="11"/>
  <c r="G31" i="11"/>
  <c r="P30" i="11"/>
  <c r="P64" i="11" s="1"/>
  <c r="O30" i="11"/>
  <c r="N30" i="11"/>
  <c r="M30" i="11"/>
  <c r="M64" i="11" s="1"/>
  <c r="L30" i="11"/>
  <c r="L64" i="11" s="1"/>
  <c r="K30" i="11"/>
  <c r="J30" i="11"/>
  <c r="I30" i="11"/>
  <c r="I64" i="11" s="1"/>
  <c r="H30" i="11"/>
  <c r="G30" i="11"/>
  <c r="P29" i="11"/>
  <c r="P63" i="11" s="1"/>
  <c r="O29" i="11"/>
  <c r="N29" i="11"/>
  <c r="M29" i="11"/>
  <c r="M63" i="11" s="1"/>
  <c r="L29" i="11"/>
  <c r="L63" i="11" s="1"/>
  <c r="K29" i="11"/>
  <c r="J29" i="11"/>
  <c r="I29" i="11"/>
  <c r="I63" i="11" s="1"/>
  <c r="H29" i="11"/>
  <c r="G29" i="11"/>
  <c r="P28" i="11"/>
  <c r="P62" i="11" s="1"/>
  <c r="O28" i="11"/>
  <c r="N28" i="11"/>
  <c r="M28" i="11"/>
  <c r="M62" i="11" s="1"/>
  <c r="L28" i="11"/>
  <c r="L62" i="11" s="1"/>
  <c r="K28" i="11"/>
  <c r="J28" i="11"/>
  <c r="I28" i="11"/>
  <c r="I62" i="11" s="1"/>
  <c r="H28" i="11"/>
  <c r="G28" i="11"/>
  <c r="P27" i="11"/>
  <c r="P61" i="11" s="1"/>
  <c r="O27" i="11"/>
  <c r="N27" i="11"/>
  <c r="M27" i="11"/>
  <c r="M61" i="11" s="1"/>
  <c r="L27" i="11"/>
  <c r="L61" i="11" s="1"/>
  <c r="K27" i="11"/>
  <c r="J27" i="11"/>
  <c r="I27" i="11"/>
  <c r="I61" i="11" s="1"/>
  <c r="H27" i="11"/>
  <c r="G27" i="11"/>
  <c r="P26" i="11"/>
  <c r="P60" i="11" s="1"/>
  <c r="O26" i="11"/>
  <c r="N26" i="11"/>
  <c r="M26" i="11"/>
  <c r="M60" i="11" s="1"/>
  <c r="L26" i="11"/>
  <c r="L60" i="11" s="1"/>
  <c r="K26" i="11"/>
  <c r="J26" i="11"/>
  <c r="I26" i="11"/>
  <c r="I60" i="11" s="1"/>
  <c r="H26" i="11"/>
  <c r="G26" i="11"/>
  <c r="P25" i="11"/>
  <c r="P59" i="11" s="1"/>
  <c r="O25" i="11"/>
  <c r="N25" i="11"/>
  <c r="M25" i="11"/>
  <c r="M59" i="11" s="1"/>
  <c r="L25" i="11"/>
  <c r="L59" i="11" s="1"/>
  <c r="K25" i="11"/>
  <c r="J25" i="11"/>
  <c r="I25" i="11"/>
  <c r="I59" i="11" s="1"/>
  <c r="H25" i="11"/>
  <c r="G25" i="11"/>
  <c r="P24" i="11"/>
  <c r="P58" i="11" s="1"/>
  <c r="O24" i="11"/>
  <c r="N24" i="11"/>
  <c r="M24" i="11"/>
  <c r="M58" i="11" s="1"/>
  <c r="L24" i="11"/>
  <c r="L58" i="11" s="1"/>
  <c r="K24" i="11"/>
  <c r="J24" i="11"/>
  <c r="I24" i="11"/>
  <c r="I58" i="11" s="1"/>
  <c r="H24" i="11"/>
  <c r="G24" i="11"/>
  <c r="P23" i="11"/>
  <c r="P57" i="11" s="1"/>
  <c r="O23" i="11"/>
  <c r="N23" i="11"/>
  <c r="M23" i="11"/>
  <c r="M57" i="11" s="1"/>
  <c r="L23" i="11"/>
  <c r="L57" i="11" s="1"/>
  <c r="K23" i="11"/>
  <c r="J23" i="11"/>
  <c r="I23" i="11"/>
  <c r="I57" i="11" s="1"/>
  <c r="H23" i="11"/>
  <c r="G23" i="11"/>
  <c r="P22" i="11"/>
  <c r="P56" i="11" s="1"/>
  <c r="O22" i="11"/>
  <c r="N22" i="11"/>
  <c r="M22" i="11"/>
  <c r="M56" i="11" s="1"/>
  <c r="L22" i="11"/>
  <c r="L56" i="11" s="1"/>
  <c r="K22" i="11"/>
  <c r="J22" i="11"/>
  <c r="I22" i="11"/>
  <c r="I56" i="11" s="1"/>
  <c r="H22" i="11"/>
  <c r="G22" i="11"/>
  <c r="F22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J53" i="2"/>
  <c r="H53" i="2"/>
  <c r="G53" i="2"/>
  <c r="J52" i="2"/>
  <c r="I52" i="2"/>
  <c r="H52" i="2"/>
  <c r="G52" i="2"/>
  <c r="J51" i="2"/>
  <c r="I51" i="2"/>
  <c r="H51" i="2"/>
  <c r="G51" i="2"/>
  <c r="J50" i="2"/>
  <c r="I50" i="2"/>
  <c r="H50" i="2"/>
  <c r="G50" i="2"/>
  <c r="J49" i="2"/>
  <c r="I49" i="2"/>
  <c r="H49" i="2"/>
  <c r="G49" i="2"/>
  <c r="J48" i="2"/>
  <c r="I48" i="2"/>
  <c r="H48" i="2"/>
  <c r="G48" i="2"/>
  <c r="J47" i="2"/>
  <c r="I47" i="2"/>
  <c r="H47" i="2"/>
  <c r="G47" i="2"/>
  <c r="J46" i="2"/>
  <c r="I46" i="2"/>
  <c r="H46" i="2"/>
  <c r="G46" i="2"/>
  <c r="J45" i="2"/>
  <c r="I45" i="2"/>
  <c r="H45" i="2"/>
  <c r="G45" i="2"/>
  <c r="J44" i="2"/>
  <c r="I44" i="2"/>
  <c r="H44" i="2"/>
  <c r="G44" i="2"/>
  <c r="J43" i="2"/>
  <c r="I43" i="2"/>
  <c r="H43" i="2"/>
  <c r="G43" i="2"/>
  <c r="J42" i="2"/>
  <c r="I42" i="2"/>
  <c r="H42" i="2"/>
  <c r="G42" i="2"/>
  <c r="J41" i="2"/>
  <c r="I41" i="2"/>
  <c r="H41" i="2"/>
  <c r="G41" i="2"/>
  <c r="J40" i="2"/>
  <c r="I40" i="2"/>
  <c r="H40" i="2"/>
  <c r="G40" i="2"/>
  <c r="J36" i="2"/>
  <c r="I36" i="2"/>
  <c r="I69" i="2" s="1"/>
  <c r="H36" i="2"/>
  <c r="G36" i="2"/>
  <c r="J35" i="2"/>
  <c r="I35" i="2"/>
  <c r="I68" i="2" s="1"/>
  <c r="H35" i="2"/>
  <c r="G35" i="2"/>
  <c r="F35" i="2"/>
  <c r="J34" i="2"/>
  <c r="I34" i="2"/>
  <c r="I67" i="2" s="1"/>
  <c r="H34" i="2"/>
  <c r="G34" i="2"/>
  <c r="F34" i="2"/>
  <c r="J33" i="2"/>
  <c r="I33" i="2"/>
  <c r="I66" i="2" s="1"/>
  <c r="H33" i="2"/>
  <c r="G33" i="2"/>
  <c r="F33" i="2"/>
  <c r="J32" i="2"/>
  <c r="I32" i="2"/>
  <c r="I65" i="2" s="1"/>
  <c r="H32" i="2"/>
  <c r="G32" i="2"/>
  <c r="F32" i="2"/>
  <c r="J31" i="2"/>
  <c r="I31" i="2"/>
  <c r="I64" i="2" s="1"/>
  <c r="H31" i="2"/>
  <c r="G31" i="2"/>
  <c r="F31" i="2"/>
  <c r="J30" i="2"/>
  <c r="I30" i="2"/>
  <c r="I63" i="2" s="1"/>
  <c r="H30" i="2"/>
  <c r="G30" i="2"/>
  <c r="F30" i="2"/>
  <c r="J29" i="2"/>
  <c r="I29" i="2"/>
  <c r="I62" i="2" s="1"/>
  <c r="H29" i="2"/>
  <c r="G29" i="2"/>
  <c r="F29" i="2"/>
  <c r="J28" i="2"/>
  <c r="I28" i="2"/>
  <c r="I61" i="2" s="1"/>
  <c r="H28" i="2"/>
  <c r="G28" i="2"/>
  <c r="F28" i="2"/>
  <c r="J27" i="2"/>
  <c r="I27" i="2"/>
  <c r="I60" i="2" s="1"/>
  <c r="H27" i="2"/>
  <c r="G27" i="2"/>
  <c r="F27" i="2"/>
  <c r="J26" i="2"/>
  <c r="I26" i="2"/>
  <c r="I59" i="2" s="1"/>
  <c r="H26" i="2"/>
  <c r="G26" i="2"/>
  <c r="F26" i="2"/>
  <c r="J25" i="2"/>
  <c r="I25" i="2"/>
  <c r="I58" i="2" s="1"/>
  <c r="H25" i="2"/>
  <c r="G25" i="2"/>
  <c r="F25" i="2"/>
  <c r="J24" i="2"/>
  <c r="I24" i="2"/>
  <c r="I57" i="2" s="1"/>
  <c r="H24" i="2"/>
  <c r="G24" i="2"/>
  <c r="F24" i="2"/>
  <c r="J23" i="2"/>
  <c r="I23" i="2"/>
  <c r="I56" i="2" s="1"/>
  <c r="H23" i="2"/>
  <c r="G23" i="2"/>
  <c r="H53" i="10"/>
  <c r="J53" i="10"/>
  <c r="L25" i="10"/>
  <c r="L59" i="10" s="1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I53" i="10"/>
  <c r="G53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X36" i="10"/>
  <c r="X70" i="10" s="1"/>
  <c r="U36" i="10"/>
  <c r="U70" i="10" s="1"/>
  <c r="T36" i="10"/>
  <c r="T70" i="10" s="1"/>
  <c r="S36" i="10"/>
  <c r="S70" i="10" s="1"/>
  <c r="R36" i="10"/>
  <c r="R70" i="10" s="1"/>
  <c r="Q36" i="10"/>
  <c r="P36" i="10"/>
  <c r="P70" i="10" s="1"/>
  <c r="O36" i="10"/>
  <c r="N36" i="10"/>
  <c r="M36" i="10"/>
  <c r="M70" i="10" s="1"/>
  <c r="L36" i="10"/>
  <c r="L70" i="10" s="1"/>
  <c r="K36" i="10"/>
  <c r="J36" i="10"/>
  <c r="I36" i="10"/>
  <c r="I70" i="10" s="1"/>
  <c r="H36" i="10"/>
  <c r="G36" i="10"/>
  <c r="F36" i="10"/>
  <c r="X35" i="10"/>
  <c r="X69" i="10" s="1"/>
  <c r="U35" i="10"/>
  <c r="U69" i="10" s="1"/>
  <c r="T35" i="10"/>
  <c r="T69" i="10" s="1"/>
  <c r="S35" i="10"/>
  <c r="S69" i="10" s="1"/>
  <c r="R35" i="10"/>
  <c r="R69" i="10" s="1"/>
  <c r="Q35" i="10"/>
  <c r="P35" i="10"/>
  <c r="P69" i="10" s="1"/>
  <c r="O35" i="10"/>
  <c r="N35" i="10"/>
  <c r="M35" i="10"/>
  <c r="M69" i="10" s="1"/>
  <c r="L35" i="10"/>
  <c r="L69" i="10" s="1"/>
  <c r="K35" i="10"/>
  <c r="J35" i="10"/>
  <c r="I35" i="10"/>
  <c r="I69" i="10" s="1"/>
  <c r="H35" i="10"/>
  <c r="G35" i="10"/>
  <c r="F35" i="10"/>
  <c r="X34" i="10"/>
  <c r="X68" i="10" s="1"/>
  <c r="U34" i="10"/>
  <c r="U68" i="10" s="1"/>
  <c r="T34" i="10"/>
  <c r="T68" i="10" s="1"/>
  <c r="S34" i="10"/>
  <c r="S68" i="10" s="1"/>
  <c r="R34" i="10"/>
  <c r="R68" i="10" s="1"/>
  <c r="Q34" i="10"/>
  <c r="P34" i="10"/>
  <c r="P68" i="10" s="1"/>
  <c r="O34" i="10"/>
  <c r="N34" i="10"/>
  <c r="M34" i="10"/>
  <c r="M68" i="10" s="1"/>
  <c r="L34" i="10"/>
  <c r="L68" i="10" s="1"/>
  <c r="K34" i="10"/>
  <c r="J34" i="10"/>
  <c r="I34" i="10"/>
  <c r="I68" i="10" s="1"/>
  <c r="H34" i="10"/>
  <c r="G34" i="10"/>
  <c r="F34" i="10"/>
  <c r="X33" i="10"/>
  <c r="X67" i="10" s="1"/>
  <c r="U33" i="10"/>
  <c r="U67" i="10" s="1"/>
  <c r="T33" i="10"/>
  <c r="T67" i="10" s="1"/>
  <c r="S33" i="10"/>
  <c r="S67" i="10" s="1"/>
  <c r="R33" i="10"/>
  <c r="R67" i="10" s="1"/>
  <c r="Q33" i="10"/>
  <c r="P33" i="10"/>
  <c r="P67" i="10" s="1"/>
  <c r="O33" i="10"/>
  <c r="N33" i="10"/>
  <c r="M33" i="10"/>
  <c r="M67" i="10" s="1"/>
  <c r="L33" i="10"/>
  <c r="L67" i="10" s="1"/>
  <c r="K33" i="10"/>
  <c r="J33" i="10"/>
  <c r="I33" i="10"/>
  <c r="I67" i="10" s="1"/>
  <c r="H33" i="10"/>
  <c r="G33" i="10"/>
  <c r="F33" i="10"/>
  <c r="X32" i="10"/>
  <c r="X66" i="10" s="1"/>
  <c r="U32" i="10"/>
  <c r="U66" i="10" s="1"/>
  <c r="T32" i="10"/>
  <c r="T66" i="10" s="1"/>
  <c r="S32" i="10"/>
  <c r="S66" i="10" s="1"/>
  <c r="R32" i="10"/>
  <c r="R66" i="10" s="1"/>
  <c r="Q32" i="10"/>
  <c r="P32" i="10"/>
  <c r="P66" i="10" s="1"/>
  <c r="O32" i="10"/>
  <c r="N32" i="10"/>
  <c r="M32" i="10"/>
  <c r="M66" i="10" s="1"/>
  <c r="L32" i="10"/>
  <c r="L66" i="10" s="1"/>
  <c r="K32" i="10"/>
  <c r="J32" i="10"/>
  <c r="I32" i="10"/>
  <c r="I66" i="10" s="1"/>
  <c r="H32" i="10"/>
  <c r="G32" i="10"/>
  <c r="F32" i="10"/>
  <c r="X31" i="10"/>
  <c r="X65" i="10" s="1"/>
  <c r="U31" i="10"/>
  <c r="U65" i="10" s="1"/>
  <c r="T31" i="10"/>
  <c r="T65" i="10" s="1"/>
  <c r="S31" i="10"/>
  <c r="S65" i="10" s="1"/>
  <c r="R31" i="10"/>
  <c r="R65" i="10" s="1"/>
  <c r="Q31" i="10"/>
  <c r="P31" i="10"/>
  <c r="P65" i="10" s="1"/>
  <c r="O31" i="10"/>
  <c r="N31" i="10"/>
  <c r="M31" i="10"/>
  <c r="M65" i="10" s="1"/>
  <c r="L31" i="10"/>
  <c r="L65" i="10" s="1"/>
  <c r="K31" i="10"/>
  <c r="J31" i="10"/>
  <c r="I31" i="10"/>
  <c r="I65" i="10" s="1"/>
  <c r="H31" i="10"/>
  <c r="G31" i="10"/>
  <c r="F31" i="10"/>
  <c r="X30" i="10"/>
  <c r="X64" i="10" s="1"/>
  <c r="U30" i="10"/>
  <c r="U64" i="10" s="1"/>
  <c r="T30" i="10"/>
  <c r="T64" i="10" s="1"/>
  <c r="S30" i="10"/>
  <c r="S64" i="10" s="1"/>
  <c r="R30" i="10"/>
  <c r="R64" i="10" s="1"/>
  <c r="Q30" i="10"/>
  <c r="P30" i="10"/>
  <c r="P64" i="10" s="1"/>
  <c r="O30" i="10"/>
  <c r="N30" i="10"/>
  <c r="M30" i="10"/>
  <c r="M64" i="10" s="1"/>
  <c r="L30" i="10"/>
  <c r="L64" i="10" s="1"/>
  <c r="K30" i="10"/>
  <c r="J30" i="10"/>
  <c r="I30" i="10"/>
  <c r="I64" i="10" s="1"/>
  <c r="H30" i="10"/>
  <c r="G30" i="10"/>
  <c r="F30" i="10"/>
  <c r="X29" i="10"/>
  <c r="X63" i="10" s="1"/>
  <c r="U29" i="10"/>
  <c r="U63" i="10" s="1"/>
  <c r="T29" i="10"/>
  <c r="T63" i="10" s="1"/>
  <c r="S29" i="10"/>
  <c r="S63" i="10" s="1"/>
  <c r="R29" i="10"/>
  <c r="R63" i="10" s="1"/>
  <c r="Q29" i="10"/>
  <c r="P29" i="10"/>
  <c r="P63" i="10" s="1"/>
  <c r="O29" i="10"/>
  <c r="N29" i="10"/>
  <c r="M29" i="10"/>
  <c r="M63" i="10" s="1"/>
  <c r="L29" i="10"/>
  <c r="L63" i="10" s="1"/>
  <c r="K29" i="10"/>
  <c r="J29" i="10"/>
  <c r="I29" i="10"/>
  <c r="I63" i="10" s="1"/>
  <c r="H29" i="10"/>
  <c r="G29" i="10"/>
  <c r="F29" i="10"/>
  <c r="X28" i="10"/>
  <c r="X62" i="10" s="1"/>
  <c r="U28" i="10"/>
  <c r="U62" i="10" s="1"/>
  <c r="T28" i="10"/>
  <c r="T62" i="10" s="1"/>
  <c r="S28" i="10"/>
  <c r="S62" i="10" s="1"/>
  <c r="R28" i="10"/>
  <c r="R62" i="10" s="1"/>
  <c r="Q28" i="10"/>
  <c r="P28" i="10"/>
  <c r="P62" i="10" s="1"/>
  <c r="O28" i="10"/>
  <c r="N28" i="10"/>
  <c r="M28" i="10"/>
  <c r="M62" i="10" s="1"/>
  <c r="L28" i="10"/>
  <c r="L62" i="10" s="1"/>
  <c r="K28" i="10"/>
  <c r="J28" i="10"/>
  <c r="I28" i="10"/>
  <c r="I62" i="10" s="1"/>
  <c r="H28" i="10"/>
  <c r="G28" i="10"/>
  <c r="F28" i="10"/>
  <c r="X27" i="10"/>
  <c r="X61" i="10" s="1"/>
  <c r="U27" i="10"/>
  <c r="U61" i="10" s="1"/>
  <c r="T27" i="10"/>
  <c r="T61" i="10" s="1"/>
  <c r="S27" i="10"/>
  <c r="S61" i="10" s="1"/>
  <c r="R27" i="10"/>
  <c r="R61" i="10" s="1"/>
  <c r="Q27" i="10"/>
  <c r="P27" i="10"/>
  <c r="P61" i="10" s="1"/>
  <c r="O27" i="10"/>
  <c r="N27" i="10"/>
  <c r="M27" i="10"/>
  <c r="M61" i="10" s="1"/>
  <c r="L27" i="10"/>
  <c r="L61" i="10" s="1"/>
  <c r="K27" i="10"/>
  <c r="J27" i="10"/>
  <c r="I27" i="10"/>
  <c r="I61" i="10" s="1"/>
  <c r="H27" i="10"/>
  <c r="G27" i="10"/>
  <c r="F27" i="10"/>
  <c r="X26" i="10"/>
  <c r="X60" i="10" s="1"/>
  <c r="U26" i="10"/>
  <c r="U60" i="10" s="1"/>
  <c r="T26" i="10"/>
  <c r="T60" i="10" s="1"/>
  <c r="S26" i="10"/>
  <c r="S60" i="10" s="1"/>
  <c r="R26" i="10"/>
  <c r="R60" i="10" s="1"/>
  <c r="Q26" i="10"/>
  <c r="P26" i="10"/>
  <c r="P60" i="10" s="1"/>
  <c r="O26" i="10"/>
  <c r="N26" i="10"/>
  <c r="M26" i="10"/>
  <c r="M60" i="10" s="1"/>
  <c r="L26" i="10"/>
  <c r="L60" i="10" s="1"/>
  <c r="K26" i="10"/>
  <c r="J26" i="10"/>
  <c r="I26" i="10"/>
  <c r="I60" i="10" s="1"/>
  <c r="H26" i="10"/>
  <c r="G26" i="10"/>
  <c r="F26" i="10"/>
  <c r="X25" i="10"/>
  <c r="X59" i="10" s="1"/>
  <c r="U25" i="10"/>
  <c r="U59" i="10" s="1"/>
  <c r="T25" i="10"/>
  <c r="T59" i="10" s="1"/>
  <c r="S25" i="10"/>
  <c r="S59" i="10" s="1"/>
  <c r="R25" i="10"/>
  <c r="R59" i="10" s="1"/>
  <c r="Q25" i="10"/>
  <c r="P25" i="10"/>
  <c r="P59" i="10" s="1"/>
  <c r="O25" i="10"/>
  <c r="N25" i="10"/>
  <c r="M25" i="10"/>
  <c r="M59" i="10" s="1"/>
  <c r="K25" i="10"/>
  <c r="J25" i="10"/>
  <c r="I25" i="10"/>
  <c r="I59" i="10" s="1"/>
  <c r="H25" i="10"/>
  <c r="G25" i="10"/>
  <c r="F25" i="10"/>
  <c r="X24" i="10"/>
  <c r="X58" i="10" s="1"/>
  <c r="U24" i="10"/>
  <c r="U58" i="10" s="1"/>
  <c r="T24" i="10"/>
  <c r="T58" i="10" s="1"/>
  <c r="S24" i="10"/>
  <c r="S58" i="10" s="1"/>
  <c r="R24" i="10"/>
  <c r="R58" i="10" s="1"/>
  <c r="Q24" i="10"/>
  <c r="P24" i="10"/>
  <c r="P58" i="10" s="1"/>
  <c r="O24" i="10"/>
  <c r="N24" i="10"/>
  <c r="M24" i="10"/>
  <c r="M58" i="10" s="1"/>
  <c r="L24" i="10"/>
  <c r="L58" i="10" s="1"/>
  <c r="K24" i="10"/>
  <c r="J24" i="10"/>
  <c r="I24" i="10"/>
  <c r="I58" i="10" s="1"/>
  <c r="H24" i="10"/>
  <c r="G24" i="10"/>
  <c r="F24" i="10"/>
  <c r="X23" i="10"/>
  <c r="X57" i="10" s="1"/>
  <c r="U23" i="10"/>
  <c r="U57" i="10" s="1"/>
  <c r="T23" i="10"/>
  <c r="T57" i="10" s="1"/>
  <c r="S23" i="10"/>
  <c r="S57" i="10" s="1"/>
  <c r="R23" i="10"/>
  <c r="R57" i="10" s="1"/>
  <c r="Q23" i="10"/>
  <c r="P23" i="10"/>
  <c r="P57" i="10" s="1"/>
  <c r="O23" i="10"/>
  <c r="N23" i="10"/>
  <c r="M23" i="10"/>
  <c r="M57" i="10" s="1"/>
  <c r="L23" i="10"/>
  <c r="L57" i="10" s="1"/>
  <c r="K23" i="10"/>
  <c r="J23" i="10"/>
  <c r="I23" i="10"/>
  <c r="I57" i="10" s="1"/>
  <c r="H23" i="10"/>
  <c r="G23" i="10"/>
  <c r="F23" i="10"/>
  <c r="X22" i="10"/>
  <c r="X56" i="10" s="1"/>
  <c r="U22" i="10"/>
  <c r="U56" i="10" s="1"/>
  <c r="T22" i="10"/>
  <c r="T56" i="10" s="1"/>
  <c r="S22" i="10"/>
  <c r="S56" i="10" s="1"/>
  <c r="R22" i="10"/>
  <c r="R56" i="10" s="1"/>
  <c r="Q22" i="10"/>
  <c r="P22" i="10"/>
  <c r="P56" i="10" s="1"/>
  <c r="O22" i="10"/>
  <c r="N22" i="10"/>
  <c r="M22" i="10"/>
  <c r="M56" i="10" s="1"/>
  <c r="L22" i="10"/>
  <c r="L56" i="10" s="1"/>
  <c r="K22" i="10"/>
  <c r="J22" i="10"/>
  <c r="I22" i="10"/>
  <c r="I56" i="10" s="1"/>
  <c r="H22" i="10"/>
  <c r="G22" i="10"/>
  <c r="F22" i="10"/>
  <c r="G53" i="9"/>
  <c r="J36" i="9"/>
  <c r="F22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X36" i="9"/>
  <c r="X70" i="9" s="1"/>
  <c r="U36" i="9"/>
  <c r="U70" i="9" s="1"/>
  <c r="T36" i="9"/>
  <c r="T70" i="9" s="1"/>
  <c r="S36" i="9"/>
  <c r="S70" i="9" s="1"/>
  <c r="R36" i="9"/>
  <c r="R70" i="9" s="1"/>
  <c r="Q36" i="9"/>
  <c r="P36" i="9"/>
  <c r="P70" i="9" s="1"/>
  <c r="O36" i="9"/>
  <c r="N36" i="9"/>
  <c r="M36" i="9"/>
  <c r="M70" i="9" s="1"/>
  <c r="L36" i="9"/>
  <c r="L70" i="9" s="1"/>
  <c r="K36" i="9"/>
  <c r="I36" i="9"/>
  <c r="I70" i="9" s="1"/>
  <c r="H36" i="9"/>
  <c r="G36" i="9"/>
  <c r="F36" i="9"/>
  <c r="X35" i="9"/>
  <c r="X69" i="9" s="1"/>
  <c r="U35" i="9"/>
  <c r="U69" i="9" s="1"/>
  <c r="T35" i="9"/>
  <c r="T69" i="9" s="1"/>
  <c r="S35" i="9"/>
  <c r="S69" i="9" s="1"/>
  <c r="R35" i="9"/>
  <c r="R69" i="9" s="1"/>
  <c r="Q35" i="9"/>
  <c r="P35" i="9"/>
  <c r="P69" i="9" s="1"/>
  <c r="O35" i="9"/>
  <c r="N35" i="9"/>
  <c r="M35" i="9"/>
  <c r="M69" i="9" s="1"/>
  <c r="L35" i="9"/>
  <c r="L69" i="9" s="1"/>
  <c r="K35" i="9"/>
  <c r="J35" i="9"/>
  <c r="I35" i="9"/>
  <c r="I69" i="9" s="1"/>
  <c r="H35" i="9"/>
  <c r="G35" i="9"/>
  <c r="F35" i="9"/>
  <c r="X34" i="9"/>
  <c r="X68" i="9" s="1"/>
  <c r="U34" i="9"/>
  <c r="U68" i="9" s="1"/>
  <c r="T34" i="9"/>
  <c r="T68" i="9" s="1"/>
  <c r="S34" i="9"/>
  <c r="S68" i="9" s="1"/>
  <c r="R34" i="9"/>
  <c r="R68" i="9" s="1"/>
  <c r="Q34" i="9"/>
  <c r="P34" i="9"/>
  <c r="P68" i="9" s="1"/>
  <c r="O34" i="9"/>
  <c r="N34" i="9"/>
  <c r="M34" i="9"/>
  <c r="M68" i="9" s="1"/>
  <c r="L34" i="9"/>
  <c r="L68" i="9" s="1"/>
  <c r="K34" i="9"/>
  <c r="J34" i="9"/>
  <c r="I34" i="9"/>
  <c r="I68" i="9" s="1"/>
  <c r="H34" i="9"/>
  <c r="G34" i="9"/>
  <c r="F34" i="9"/>
  <c r="X33" i="9"/>
  <c r="X67" i="9" s="1"/>
  <c r="U33" i="9"/>
  <c r="U67" i="9" s="1"/>
  <c r="T33" i="9"/>
  <c r="T67" i="9" s="1"/>
  <c r="S33" i="9"/>
  <c r="S67" i="9" s="1"/>
  <c r="R33" i="9"/>
  <c r="R67" i="9" s="1"/>
  <c r="Q33" i="9"/>
  <c r="P33" i="9"/>
  <c r="P67" i="9" s="1"/>
  <c r="O33" i="9"/>
  <c r="N33" i="9"/>
  <c r="M33" i="9"/>
  <c r="M67" i="9" s="1"/>
  <c r="L33" i="9"/>
  <c r="L67" i="9" s="1"/>
  <c r="K33" i="9"/>
  <c r="J33" i="9"/>
  <c r="I33" i="9"/>
  <c r="I67" i="9" s="1"/>
  <c r="H33" i="9"/>
  <c r="G33" i="9"/>
  <c r="F33" i="9"/>
  <c r="X32" i="9"/>
  <c r="X66" i="9" s="1"/>
  <c r="U32" i="9"/>
  <c r="U66" i="9" s="1"/>
  <c r="T32" i="9"/>
  <c r="T66" i="9" s="1"/>
  <c r="S32" i="9"/>
  <c r="S66" i="9" s="1"/>
  <c r="R32" i="9"/>
  <c r="R66" i="9" s="1"/>
  <c r="Q32" i="9"/>
  <c r="P32" i="9"/>
  <c r="P66" i="9" s="1"/>
  <c r="O32" i="9"/>
  <c r="N32" i="9"/>
  <c r="M32" i="9"/>
  <c r="M66" i="9" s="1"/>
  <c r="L32" i="9"/>
  <c r="L66" i="9" s="1"/>
  <c r="K32" i="9"/>
  <c r="J32" i="9"/>
  <c r="I32" i="9"/>
  <c r="I66" i="9" s="1"/>
  <c r="H32" i="9"/>
  <c r="G32" i="9"/>
  <c r="F32" i="9"/>
  <c r="X31" i="9"/>
  <c r="X65" i="9" s="1"/>
  <c r="U31" i="9"/>
  <c r="U65" i="9" s="1"/>
  <c r="T31" i="9"/>
  <c r="T65" i="9" s="1"/>
  <c r="S31" i="9"/>
  <c r="S65" i="9" s="1"/>
  <c r="R31" i="9"/>
  <c r="R65" i="9" s="1"/>
  <c r="Q31" i="9"/>
  <c r="P31" i="9"/>
  <c r="P65" i="9" s="1"/>
  <c r="O31" i="9"/>
  <c r="N31" i="9"/>
  <c r="M31" i="9"/>
  <c r="M65" i="9" s="1"/>
  <c r="L31" i="9"/>
  <c r="L65" i="9" s="1"/>
  <c r="K31" i="9"/>
  <c r="J31" i="9"/>
  <c r="I31" i="9"/>
  <c r="I65" i="9" s="1"/>
  <c r="H31" i="9"/>
  <c r="G31" i="9"/>
  <c r="F31" i="9"/>
  <c r="X30" i="9"/>
  <c r="X64" i="9" s="1"/>
  <c r="U30" i="9"/>
  <c r="U64" i="9" s="1"/>
  <c r="T30" i="9"/>
  <c r="T64" i="9" s="1"/>
  <c r="S30" i="9"/>
  <c r="S64" i="9" s="1"/>
  <c r="R30" i="9"/>
  <c r="R64" i="9" s="1"/>
  <c r="Q30" i="9"/>
  <c r="P30" i="9"/>
  <c r="P64" i="9" s="1"/>
  <c r="O30" i="9"/>
  <c r="N30" i="9"/>
  <c r="M30" i="9"/>
  <c r="M64" i="9" s="1"/>
  <c r="L30" i="9"/>
  <c r="L64" i="9" s="1"/>
  <c r="K30" i="9"/>
  <c r="J30" i="9"/>
  <c r="I30" i="9"/>
  <c r="I64" i="9" s="1"/>
  <c r="H30" i="9"/>
  <c r="G30" i="9"/>
  <c r="F30" i="9"/>
  <c r="X29" i="9"/>
  <c r="X63" i="9" s="1"/>
  <c r="U29" i="9"/>
  <c r="U63" i="9" s="1"/>
  <c r="T29" i="9"/>
  <c r="T63" i="9" s="1"/>
  <c r="S29" i="9"/>
  <c r="S63" i="9" s="1"/>
  <c r="R29" i="9"/>
  <c r="R63" i="9" s="1"/>
  <c r="Q29" i="9"/>
  <c r="P29" i="9"/>
  <c r="P63" i="9" s="1"/>
  <c r="O29" i="9"/>
  <c r="N29" i="9"/>
  <c r="M29" i="9"/>
  <c r="M63" i="9" s="1"/>
  <c r="L29" i="9"/>
  <c r="L63" i="9" s="1"/>
  <c r="K29" i="9"/>
  <c r="J29" i="9"/>
  <c r="I29" i="9"/>
  <c r="I63" i="9" s="1"/>
  <c r="H29" i="9"/>
  <c r="G29" i="9"/>
  <c r="F29" i="9"/>
  <c r="X28" i="9"/>
  <c r="X62" i="9" s="1"/>
  <c r="U28" i="9"/>
  <c r="U62" i="9" s="1"/>
  <c r="T28" i="9"/>
  <c r="T62" i="9" s="1"/>
  <c r="S28" i="9"/>
  <c r="S62" i="9" s="1"/>
  <c r="R28" i="9"/>
  <c r="R62" i="9" s="1"/>
  <c r="Q28" i="9"/>
  <c r="P28" i="9"/>
  <c r="P62" i="9" s="1"/>
  <c r="O28" i="9"/>
  <c r="N28" i="9"/>
  <c r="M28" i="9"/>
  <c r="M62" i="9" s="1"/>
  <c r="L28" i="9"/>
  <c r="L62" i="9" s="1"/>
  <c r="K28" i="9"/>
  <c r="J28" i="9"/>
  <c r="I28" i="9"/>
  <c r="I62" i="9" s="1"/>
  <c r="H28" i="9"/>
  <c r="G28" i="9"/>
  <c r="F28" i="9"/>
  <c r="X27" i="9"/>
  <c r="X61" i="9" s="1"/>
  <c r="U27" i="9"/>
  <c r="U61" i="9" s="1"/>
  <c r="T27" i="9"/>
  <c r="T61" i="9" s="1"/>
  <c r="S27" i="9"/>
  <c r="S61" i="9" s="1"/>
  <c r="R27" i="9"/>
  <c r="R61" i="9" s="1"/>
  <c r="Q27" i="9"/>
  <c r="P27" i="9"/>
  <c r="P61" i="9" s="1"/>
  <c r="O27" i="9"/>
  <c r="N27" i="9"/>
  <c r="M27" i="9"/>
  <c r="M61" i="9" s="1"/>
  <c r="L27" i="9"/>
  <c r="L61" i="9" s="1"/>
  <c r="K27" i="9"/>
  <c r="J27" i="9"/>
  <c r="I27" i="9"/>
  <c r="I61" i="9" s="1"/>
  <c r="H27" i="9"/>
  <c r="G27" i="9"/>
  <c r="F27" i="9"/>
  <c r="X26" i="9"/>
  <c r="X60" i="9" s="1"/>
  <c r="U26" i="9"/>
  <c r="U60" i="9" s="1"/>
  <c r="T26" i="9"/>
  <c r="T60" i="9" s="1"/>
  <c r="S26" i="9"/>
  <c r="S60" i="9" s="1"/>
  <c r="R26" i="9"/>
  <c r="R60" i="9" s="1"/>
  <c r="Q26" i="9"/>
  <c r="P26" i="9"/>
  <c r="P60" i="9" s="1"/>
  <c r="O26" i="9"/>
  <c r="N26" i="9"/>
  <c r="M26" i="9"/>
  <c r="M60" i="9" s="1"/>
  <c r="L26" i="9"/>
  <c r="L60" i="9" s="1"/>
  <c r="K26" i="9"/>
  <c r="J26" i="9"/>
  <c r="I26" i="9"/>
  <c r="I60" i="9" s="1"/>
  <c r="H26" i="9"/>
  <c r="G26" i="9"/>
  <c r="F26" i="9"/>
  <c r="X25" i="9"/>
  <c r="X59" i="9" s="1"/>
  <c r="U25" i="9"/>
  <c r="U59" i="9" s="1"/>
  <c r="T25" i="9"/>
  <c r="T59" i="9" s="1"/>
  <c r="S25" i="9"/>
  <c r="S59" i="9" s="1"/>
  <c r="R25" i="9"/>
  <c r="R59" i="9" s="1"/>
  <c r="Q25" i="9"/>
  <c r="P25" i="9"/>
  <c r="P59" i="9" s="1"/>
  <c r="O25" i="9"/>
  <c r="N25" i="9"/>
  <c r="M25" i="9"/>
  <c r="M59" i="9" s="1"/>
  <c r="L25" i="9"/>
  <c r="L59" i="9" s="1"/>
  <c r="K25" i="9"/>
  <c r="J25" i="9"/>
  <c r="I25" i="9"/>
  <c r="I59" i="9" s="1"/>
  <c r="H25" i="9"/>
  <c r="G25" i="9"/>
  <c r="F25" i="9"/>
  <c r="X24" i="9"/>
  <c r="X58" i="9" s="1"/>
  <c r="U24" i="9"/>
  <c r="U58" i="9" s="1"/>
  <c r="T24" i="9"/>
  <c r="T58" i="9" s="1"/>
  <c r="S24" i="9"/>
  <c r="S58" i="9" s="1"/>
  <c r="R24" i="9"/>
  <c r="R58" i="9" s="1"/>
  <c r="Q24" i="9"/>
  <c r="P24" i="9"/>
  <c r="P58" i="9" s="1"/>
  <c r="O24" i="9"/>
  <c r="N24" i="9"/>
  <c r="M24" i="9"/>
  <c r="M58" i="9" s="1"/>
  <c r="L24" i="9"/>
  <c r="L58" i="9" s="1"/>
  <c r="K24" i="9"/>
  <c r="J24" i="9"/>
  <c r="I24" i="9"/>
  <c r="I58" i="9" s="1"/>
  <c r="H24" i="9"/>
  <c r="G24" i="9"/>
  <c r="F24" i="9"/>
  <c r="X23" i="9"/>
  <c r="X57" i="9" s="1"/>
  <c r="U23" i="9"/>
  <c r="U57" i="9" s="1"/>
  <c r="T23" i="9"/>
  <c r="T57" i="9" s="1"/>
  <c r="S23" i="9"/>
  <c r="S57" i="9" s="1"/>
  <c r="R23" i="9"/>
  <c r="R57" i="9" s="1"/>
  <c r="Q23" i="9"/>
  <c r="P23" i="9"/>
  <c r="P57" i="9" s="1"/>
  <c r="O23" i="9"/>
  <c r="N23" i="9"/>
  <c r="M23" i="9"/>
  <c r="M57" i="9" s="1"/>
  <c r="L23" i="9"/>
  <c r="L57" i="9" s="1"/>
  <c r="K23" i="9"/>
  <c r="J23" i="9"/>
  <c r="I23" i="9"/>
  <c r="I57" i="9" s="1"/>
  <c r="H23" i="9"/>
  <c r="G23" i="9"/>
  <c r="F23" i="9"/>
  <c r="X22" i="9"/>
  <c r="X56" i="9" s="1"/>
  <c r="U22" i="9"/>
  <c r="U56" i="9" s="1"/>
  <c r="T22" i="9"/>
  <c r="T56" i="9" s="1"/>
  <c r="S22" i="9"/>
  <c r="S56" i="9" s="1"/>
  <c r="R22" i="9"/>
  <c r="R56" i="9" s="1"/>
  <c r="Q22" i="9"/>
  <c r="P22" i="9"/>
  <c r="P56" i="9" s="1"/>
  <c r="O22" i="9"/>
  <c r="N22" i="9"/>
  <c r="M22" i="9"/>
  <c r="M56" i="9" s="1"/>
  <c r="L22" i="9"/>
  <c r="L56" i="9" s="1"/>
  <c r="K22" i="9"/>
  <c r="J22" i="9"/>
  <c r="I22" i="9"/>
  <c r="I56" i="9" s="1"/>
  <c r="H22" i="9"/>
  <c r="G22" i="9"/>
  <c r="K22" i="8"/>
  <c r="I35" i="8"/>
  <c r="I69" i="8" s="1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X35" i="8"/>
  <c r="X69" i="8" s="1"/>
  <c r="U35" i="8"/>
  <c r="U69" i="8" s="1"/>
  <c r="T35" i="8"/>
  <c r="T69" i="8" s="1"/>
  <c r="S35" i="8"/>
  <c r="S69" i="8" s="1"/>
  <c r="R35" i="8"/>
  <c r="R69" i="8" s="1"/>
  <c r="Q35" i="8"/>
  <c r="P35" i="8"/>
  <c r="P69" i="8" s="1"/>
  <c r="O35" i="8"/>
  <c r="N35" i="8"/>
  <c r="M35" i="8"/>
  <c r="M69" i="8" s="1"/>
  <c r="L35" i="8"/>
  <c r="L69" i="8" s="1"/>
  <c r="K35" i="8"/>
  <c r="J35" i="8"/>
  <c r="H35" i="8"/>
  <c r="G35" i="8"/>
  <c r="F35" i="8"/>
  <c r="X34" i="8"/>
  <c r="X68" i="8" s="1"/>
  <c r="U34" i="8"/>
  <c r="U68" i="8" s="1"/>
  <c r="T34" i="8"/>
  <c r="T68" i="8" s="1"/>
  <c r="S34" i="8"/>
  <c r="S68" i="8" s="1"/>
  <c r="R34" i="8"/>
  <c r="R68" i="8" s="1"/>
  <c r="Q34" i="8"/>
  <c r="P34" i="8"/>
  <c r="P68" i="8" s="1"/>
  <c r="O34" i="8"/>
  <c r="N34" i="8"/>
  <c r="M34" i="8"/>
  <c r="M68" i="8" s="1"/>
  <c r="L34" i="8"/>
  <c r="L68" i="8" s="1"/>
  <c r="K34" i="8"/>
  <c r="J34" i="8"/>
  <c r="I34" i="8"/>
  <c r="I68" i="8" s="1"/>
  <c r="H34" i="8"/>
  <c r="G34" i="8"/>
  <c r="F34" i="8"/>
  <c r="X33" i="8"/>
  <c r="X67" i="8" s="1"/>
  <c r="U33" i="8"/>
  <c r="U67" i="8" s="1"/>
  <c r="T33" i="8"/>
  <c r="T67" i="8" s="1"/>
  <c r="S33" i="8"/>
  <c r="S67" i="8" s="1"/>
  <c r="R33" i="8"/>
  <c r="R67" i="8" s="1"/>
  <c r="Q33" i="8"/>
  <c r="P33" i="8"/>
  <c r="P67" i="8" s="1"/>
  <c r="O33" i="8"/>
  <c r="N33" i="8"/>
  <c r="M33" i="8"/>
  <c r="M67" i="8" s="1"/>
  <c r="L33" i="8"/>
  <c r="L67" i="8" s="1"/>
  <c r="K33" i="8"/>
  <c r="J33" i="8"/>
  <c r="I33" i="8"/>
  <c r="I67" i="8" s="1"/>
  <c r="H33" i="8"/>
  <c r="G33" i="8"/>
  <c r="F33" i="8"/>
  <c r="X32" i="8"/>
  <c r="X66" i="8" s="1"/>
  <c r="U32" i="8"/>
  <c r="U66" i="8" s="1"/>
  <c r="T32" i="8"/>
  <c r="T66" i="8" s="1"/>
  <c r="S32" i="8"/>
  <c r="S66" i="8" s="1"/>
  <c r="R32" i="8"/>
  <c r="R66" i="8" s="1"/>
  <c r="Q32" i="8"/>
  <c r="P32" i="8"/>
  <c r="P66" i="8" s="1"/>
  <c r="O32" i="8"/>
  <c r="N32" i="8"/>
  <c r="M32" i="8"/>
  <c r="M66" i="8" s="1"/>
  <c r="L32" i="8"/>
  <c r="L66" i="8" s="1"/>
  <c r="K32" i="8"/>
  <c r="J32" i="8"/>
  <c r="I32" i="8"/>
  <c r="I66" i="8" s="1"/>
  <c r="H32" i="8"/>
  <c r="G32" i="8"/>
  <c r="F32" i="8"/>
  <c r="X31" i="8"/>
  <c r="X65" i="8" s="1"/>
  <c r="U31" i="8"/>
  <c r="U65" i="8" s="1"/>
  <c r="T31" i="8"/>
  <c r="T65" i="8" s="1"/>
  <c r="S31" i="8"/>
  <c r="S65" i="8" s="1"/>
  <c r="R31" i="8"/>
  <c r="R65" i="8" s="1"/>
  <c r="Q31" i="8"/>
  <c r="P31" i="8"/>
  <c r="P65" i="8" s="1"/>
  <c r="O31" i="8"/>
  <c r="N31" i="8"/>
  <c r="M31" i="8"/>
  <c r="M65" i="8" s="1"/>
  <c r="L31" i="8"/>
  <c r="L65" i="8" s="1"/>
  <c r="K31" i="8"/>
  <c r="J31" i="8"/>
  <c r="I31" i="8"/>
  <c r="I65" i="8" s="1"/>
  <c r="H31" i="8"/>
  <c r="G31" i="8"/>
  <c r="F31" i="8"/>
  <c r="X30" i="8"/>
  <c r="X64" i="8" s="1"/>
  <c r="U30" i="8"/>
  <c r="U64" i="8" s="1"/>
  <c r="T30" i="8"/>
  <c r="T64" i="8" s="1"/>
  <c r="S30" i="8"/>
  <c r="S64" i="8" s="1"/>
  <c r="R30" i="8"/>
  <c r="R64" i="8" s="1"/>
  <c r="Q30" i="8"/>
  <c r="P30" i="8"/>
  <c r="P64" i="8" s="1"/>
  <c r="O30" i="8"/>
  <c r="N30" i="8"/>
  <c r="M30" i="8"/>
  <c r="M64" i="8" s="1"/>
  <c r="L30" i="8"/>
  <c r="L64" i="8" s="1"/>
  <c r="K30" i="8"/>
  <c r="J30" i="8"/>
  <c r="I30" i="8"/>
  <c r="I64" i="8" s="1"/>
  <c r="H30" i="8"/>
  <c r="G30" i="8"/>
  <c r="F30" i="8"/>
  <c r="X29" i="8"/>
  <c r="X63" i="8" s="1"/>
  <c r="U29" i="8"/>
  <c r="U63" i="8" s="1"/>
  <c r="T29" i="8"/>
  <c r="T63" i="8" s="1"/>
  <c r="S29" i="8"/>
  <c r="S63" i="8" s="1"/>
  <c r="R29" i="8"/>
  <c r="R63" i="8" s="1"/>
  <c r="Q29" i="8"/>
  <c r="P29" i="8"/>
  <c r="P63" i="8" s="1"/>
  <c r="O29" i="8"/>
  <c r="N29" i="8"/>
  <c r="M29" i="8"/>
  <c r="M63" i="8" s="1"/>
  <c r="L29" i="8"/>
  <c r="L63" i="8" s="1"/>
  <c r="K29" i="8"/>
  <c r="J29" i="8"/>
  <c r="I29" i="8"/>
  <c r="I63" i="8" s="1"/>
  <c r="H29" i="8"/>
  <c r="G29" i="8"/>
  <c r="F29" i="8"/>
  <c r="X28" i="8"/>
  <c r="X62" i="8" s="1"/>
  <c r="U28" i="8"/>
  <c r="U62" i="8" s="1"/>
  <c r="T28" i="8"/>
  <c r="T62" i="8" s="1"/>
  <c r="S28" i="8"/>
  <c r="S62" i="8" s="1"/>
  <c r="R28" i="8"/>
  <c r="R62" i="8" s="1"/>
  <c r="Q28" i="8"/>
  <c r="P28" i="8"/>
  <c r="P62" i="8" s="1"/>
  <c r="O28" i="8"/>
  <c r="N28" i="8"/>
  <c r="M28" i="8"/>
  <c r="M62" i="8" s="1"/>
  <c r="L28" i="8"/>
  <c r="L62" i="8" s="1"/>
  <c r="K28" i="8"/>
  <c r="J28" i="8"/>
  <c r="I28" i="8"/>
  <c r="I62" i="8" s="1"/>
  <c r="H28" i="8"/>
  <c r="G28" i="8"/>
  <c r="F28" i="8"/>
  <c r="X27" i="8"/>
  <c r="X61" i="8" s="1"/>
  <c r="U27" i="8"/>
  <c r="U61" i="8" s="1"/>
  <c r="T27" i="8"/>
  <c r="T61" i="8" s="1"/>
  <c r="S27" i="8"/>
  <c r="S61" i="8" s="1"/>
  <c r="R27" i="8"/>
  <c r="R61" i="8" s="1"/>
  <c r="Q27" i="8"/>
  <c r="P27" i="8"/>
  <c r="P61" i="8" s="1"/>
  <c r="O27" i="8"/>
  <c r="N27" i="8"/>
  <c r="M27" i="8"/>
  <c r="M61" i="8" s="1"/>
  <c r="L27" i="8"/>
  <c r="L61" i="8" s="1"/>
  <c r="K27" i="8"/>
  <c r="J27" i="8"/>
  <c r="I27" i="8"/>
  <c r="I61" i="8" s="1"/>
  <c r="H27" i="8"/>
  <c r="G27" i="8"/>
  <c r="F27" i="8"/>
  <c r="X26" i="8"/>
  <c r="X60" i="8" s="1"/>
  <c r="U26" i="8"/>
  <c r="U60" i="8" s="1"/>
  <c r="T26" i="8"/>
  <c r="T60" i="8" s="1"/>
  <c r="S26" i="8"/>
  <c r="S60" i="8" s="1"/>
  <c r="R26" i="8"/>
  <c r="R60" i="8" s="1"/>
  <c r="Q26" i="8"/>
  <c r="P26" i="8"/>
  <c r="P60" i="8" s="1"/>
  <c r="O26" i="8"/>
  <c r="N26" i="8"/>
  <c r="M26" i="8"/>
  <c r="M60" i="8" s="1"/>
  <c r="L26" i="8"/>
  <c r="L60" i="8" s="1"/>
  <c r="K26" i="8"/>
  <c r="J26" i="8"/>
  <c r="I26" i="8"/>
  <c r="I60" i="8" s="1"/>
  <c r="H26" i="8"/>
  <c r="G26" i="8"/>
  <c r="F26" i="8"/>
  <c r="X25" i="8"/>
  <c r="X59" i="8" s="1"/>
  <c r="U25" i="8"/>
  <c r="U59" i="8" s="1"/>
  <c r="T25" i="8"/>
  <c r="T59" i="8" s="1"/>
  <c r="S25" i="8"/>
  <c r="S59" i="8" s="1"/>
  <c r="R25" i="8"/>
  <c r="R59" i="8" s="1"/>
  <c r="Q25" i="8"/>
  <c r="P25" i="8"/>
  <c r="P59" i="8" s="1"/>
  <c r="O25" i="8"/>
  <c r="N25" i="8"/>
  <c r="M25" i="8"/>
  <c r="M59" i="8" s="1"/>
  <c r="L25" i="8"/>
  <c r="L59" i="8" s="1"/>
  <c r="K25" i="8"/>
  <c r="J25" i="8"/>
  <c r="I25" i="8"/>
  <c r="I59" i="8" s="1"/>
  <c r="H25" i="8"/>
  <c r="G25" i="8"/>
  <c r="F25" i="8"/>
  <c r="X24" i="8"/>
  <c r="X58" i="8" s="1"/>
  <c r="U24" i="8"/>
  <c r="U58" i="8" s="1"/>
  <c r="T24" i="8"/>
  <c r="T58" i="8" s="1"/>
  <c r="S24" i="8"/>
  <c r="S58" i="8" s="1"/>
  <c r="R24" i="8"/>
  <c r="R58" i="8" s="1"/>
  <c r="Q24" i="8"/>
  <c r="P24" i="8"/>
  <c r="P58" i="8" s="1"/>
  <c r="O24" i="8"/>
  <c r="N24" i="8"/>
  <c r="M24" i="8"/>
  <c r="M58" i="8" s="1"/>
  <c r="L24" i="8"/>
  <c r="L58" i="8" s="1"/>
  <c r="K24" i="8"/>
  <c r="J24" i="8"/>
  <c r="I24" i="8"/>
  <c r="I58" i="8" s="1"/>
  <c r="H24" i="8"/>
  <c r="G24" i="8"/>
  <c r="F24" i="8"/>
  <c r="X23" i="8"/>
  <c r="X57" i="8" s="1"/>
  <c r="U23" i="8"/>
  <c r="U57" i="8" s="1"/>
  <c r="T23" i="8"/>
  <c r="T57" i="8" s="1"/>
  <c r="S23" i="8"/>
  <c r="S57" i="8" s="1"/>
  <c r="R23" i="8"/>
  <c r="R57" i="8" s="1"/>
  <c r="Q23" i="8"/>
  <c r="P23" i="8"/>
  <c r="P57" i="8" s="1"/>
  <c r="O23" i="8"/>
  <c r="N23" i="8"/>
  <c r="M23" i="8"/>
  <c r="M57" i="8" s="1"/>
  <c r="L23" i="8"/>
  <c r="L57" i="8" s="1"/>
  <c r="K23" i="8"/>
  <c r="J23" i="8"/>
  <c r="I23" i="8"/>
  <c r="I57" i="8" s="1"/>
  <c r="H23" i="8"/>
  <c r="G23" i="8"/>
  <c r="F23" i="8"/>
  <c r="X22" i="8"/>
  <c r="X56" i="8" s="1"/>
  <c r="U22" i="8"/>
  <c r="U56" i="8" s="1"/>
  <c r="T22" i="8"/>
  <c r="T56" i="8" s="1"/>
  <c r="S22" i="8"/>
  <c r="S56" i="8" s="1"/>
  <c r="R22" i="8"/>
  <c r="R56" i="8" s="1"/>
  <c r="Q22" i="8"/>
  <c r="P22" i="8"/>
  <c r="P56" i="8" s="1"/>
  <c r="O22" i="8"/>
  <c r="N22" i="8"/>
  <c r="M22" i="8"/>
  <c r="M56" i="8" s="1"/>
  <c r="L22" i="8"/>
  <c r="L56" i="8" s="1"/>
  <c r="J22" i="8"/>
  <c r="I22" i="8"/>
  <c r="I56" i="8" s="1"/>
  <c r="H22" i="8"/>
  <c r="G22" i="8"/>
  <c r="F22" i="8"/>
  <c r="X21" i="8"/>
  <c r="X55" i="8" s="1"/>
  <c r="U21" i="8"/>
  <c r="U55" i="8" s="1"/>
  <c r="T21" i="8"/>
  <c r="T55" i="8" s="1"/>
  <c r="S21" i="8"/>
  <c r="S55" i="8" s="1"/>
  <c r="R21" i="8"/>
  <c r="R55" i="8" s="1"/>
  <c r="Q21" i="8"/>
  <c r="P21" i="8"/>
  <c r="P55" i="8" s="1"/>
  <c r="O21" i="8"/>
  <c r="N21" i="8"/>
  <c r="M21" i="8"/>
  <c r="M55" i="8" s="1"/>
  <c r="L21" i="8"/>
  <c r="L55" i="8" s="1"/>
  <c r="K21" i="8"/>
  <c r="J21" i="8"/>
  <c r="I21" i="8"/>
  <c r="I55" i="8" s="1"/>
  <c r="H21" i="8"/>
  <c r="G21" i="8"/>
  <c r="F21" i="8"/>
  <c r="L53" i="7"/>
  <c r="K53" i="7"/>
  <c r="J53" i="7"/>
  <c r="I53" i="7"/>
  <c r="H53" i="7"/>
  <c r="G53" i="7"/>
  <c r="L52" i="7"/>
  <c r="K52" i="7"/>
  <c r="J52" i="7"/>
  <c r="I52" i="7"/>
  <c r="H52" i="7"/>
  <c r="G52" i="7"/>
  <c r="L51" i="7"/>
  <c r="K51" i="7"/>
  <c r="J51" i="7"/>
  <c r="I51" i="7"/>
  <c r="H51" i="7"/>
  <c r="G51" i="7"/>
  <c r="L50" i="7"/>
  <c r="K50" i="7"/>
  <c r="J50" i="7"/>
  <c r="I50" i="7"/>
  <c r="H50" i="7"/>
  <c r="G50" i="7"/>
  <c r="L49" i="7"/>
  <c r="K49" i="7"/>
  <c r="J49" i="7"/>
  <c r="I49" i="7"/>
  <c r="H49" i="7"/>
  <c r="G49" i="7"/>
  <c r="L48" i="7"/>
  <c r="K48" i="7"/>
  <c r="J48" i="7"/>
  <c r="I48" i="7"/>
  <c r="H48" i="7"/>
  <c r="G48" i="7"/>
  <c r="L47" i="7"/>
  <c r="K47" i="7"/>
  <c r="J47" i="7"/>
  <c r="I47" i="7"/>
  <c r="H47" i="7"/>
  <c r="G47" i="7"/>
  <c r="L46" i="7"/>
  <c r="K46" i="7"/>
  <c r="J46" i="7"/>
  <c r="I46" i="7"/>
  <c r="H46" i="7"/>
  <c r="G46" i="7"/>
  <c r="L45" i="7"/>
  <c r="K45" i="7"/>
  <c r="J45" i="7"/>
  <c r="I45" i="7"/>
  <c r="H45" i="7"/>
  <c r="G45" i="7"/>
  <c r="L44" i="7"/>
  <c r="K44" i="7"/>
  <c r="J44" i="7"/>
  <c r="I44" i="7"/>
  <c r="H44" i="7"/>
  <c r="G44" i="7"/>
  <c r="L43" i="7"/>
  <c r="K43" i="7"/>
  <c r="J43" i="7"/>
  <c r="I43" i="7"/>
  <c r="H43" i="7"/>
  <c r="G43" i="7"/>
  <c r="L42" i="7"/>
  <c r="K42" i="7"/>
  <c r="J42" i="7"/>
  <c r="I42" i="7"/>
  <c r="H42" i="7"/>
  <c r="G42" i="7"/>
  <c r="L41" i="7"/>
  <c r="K41" i="7"/>
  <c r="J41" i="7"/>
  <c r="I41" i="7"/>
  <c r="H41" i="7"/>
  <c r="G41" i="7"/>
  <c r="L40" i="7"/>
  <c r="K40" i="7"/>
  <c r="J40" i="7"/>
  <c r="I40" i="7"/>
  <c r="H40" i="7"/>
  <c r="G40" i="7"/>
  <c r="L39" i="7"/>
  <c r="K39" i="7"/>
  <c r="J39" i="7"/>
  <c r="I39" i="7"/>
  <c r="H39" i="7"/>
  <c r="G39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W53" i="7"/>
  <c r="V53" i="7"/>
  <c r="U53" i="7"/>
  <c r="T53" i="7"/>
  <c r="S53" i="7"/>
  <c r="R53" i="7"/>
  <c r="Q53" i="7"/>
  <c r="P53" i="7"/>
  <c r="W52" i="7"/>
  <c r="V52" i="7"/>
  <c r="U52" i="7"/>
  <c r="T52" i="7"/>
  <c r="S52" i="7"/>
  <c r="R52" i="7"/>
  <c r="Q52" i="7"/>
  <c r="P52" i="7"/>
  <c r="W51" i="7"/>
  <c r="V51" i="7"/>
  <c r="U51" i="7"/>
  <c r="T51" i="7"/>
  <c r="S51" i="7"/>
  <c r="R51" i="7"/>
  <c r="Q51" i="7"/>
  <c r="P51" i="7"/>
  <c r="W50" i="7"/>
  <c r="V50" i="7"/>
  <c r="U50" i="7"/>
  <c r="T50" i="7"/>
  <c r="S50" i="7"/>
  <c r="R50" i="7"/>
  <c r="Q50" i="7"/>
  <c r="P50" i="7"/>
  <c r="W49" i="7"/>
  <c r="V49" i="7"/>
  <c r="U49" i="7"/>
  <c r="T49" i="7"/>
  <c r="S49" i="7"/>
  <c r="R49" i="7"/>
  <c r="Q49" i="7"/>
  <c r="P49" i="7"/>
  <c r="W48" i="7"/>
  <c r="V48" i="7"/>
  <c r="U48" i="7"/>
  <c r="T48" i="7"/>
  <c r="S48" i="7"/>
  <c r="R48" i="7"/>
  <c r="Q48" i="7"/>
  <c r="P48" i="7"/>
  <c r="W47" i="7"/>
  <c r="V47" i="7"/>
  <c r="U47" i="7"/>
  <c r="T47" i="7"/>
  <c r="S47" i="7"/>
  <c r="R47" i="7"/>
  <c r="Q47" i="7"/>
  <c r="P47" i="7"/>
  <c r="W46" i="7"/>
  <c r="V46" i="7"/>
  <c r="U46" i="7"/>
  <c r="T46" i="7"/>
  <c r="S46" i="7"/>
  <c r="R46" i="7"/>
  <c r="Q46" i="7"/>
  <c r="P46" i="7"/>
  <c r="W45" i="7"/>
  <c r="V45" i="7"/>
  <c r="U45" i="7"/>
  <c r="T45" i="7"/>
  <c r="S45" i="7"/>
  <c r="R45" i="7"/>
  <c r="Q45" i="7"/>
  <c r="P45" i="7"/>
  <c r="W44" i="7"/>
  <c r="V44" i="7"/>
  <c r="U44" i="7"/>
  <c r="T44" i="7"/>
  <c r="S44" i="7"/>
  <c r="R44" i="7"/>
  <c r="Q44" i="7"/>
  <c r="P44" i="7"/>
  <c r="W43" i="7"/>
  <c r="V43" i="7"/>
  <c r="U43" i="7"/>
  <c r="T43" i="7"/>
  <c r="S43" i="7"/>
  <c r="R43" i="7"/>
  <c r="Q43" i="7"/>
  <c r="P43" i="7"/>
  <c r="W42" i="7"/>
  <c r="V42" i="7"/>
  <c r="U42" i="7"/>
  <c r="T42" i="7"/>
  <c r="S42" i="7"/>
  <c r="R42" i="7"/>
  <c r="Q42" i="7"/>
  <c r="P42" i="7"/>
  <c r="W41" i="7"/>
  <c r="V41" i="7"/>
  <c r="U41" i="7"/>
  <c r="T41" i="7"/>
  <c r="S41" i="7"/>
  <c r="R41" i="7"/>
  <c r="Q41" i="7"/>
  <c r="P41" i="7"/>
  <c r="W40" i="7"/>
  <c r="V40" i="7"/>
  <c r="U40" i="7"/>
  <c r="T40" i="7"/>
  <c r="S40" i="7"/>
  <c r="R40" i="7"/>
  <c r="Q40" i="7"/>
  <c r="P40" i="7"/>
  <c r="W39" i="7"/>
  <c r="V39" i="7"/>
  <c r="U39" i="7"/>
  <c r="T39" i="7"/>
  <c r="S39" i="7"/>
  <c r="R39" i="7"/>
  <c r="Q39" i="7"/>
  <c r="P39" i="7"/>
  <c r="X53" i="7"/>
  <c r="X52" i="7"/>
  <c r="X50" i="7"/>
  <c r="X49" i="7"/>
  <c r="X48" i="7"/>
  <c r="X47" i="7"/>
  <c r="X46" i="7"/>
  <c r="X45" i="7"/>
  <c r="X44" i="7"/>
  <c r="X43" i="7"/>
  <c r="X42" i="7"/>
  <c r="X41" i="7"/>
  <c r="X40" i="7"/>
  <c r="X39" i="7"/>
  <c r="X51" i="7"/>
  <c r="X36" i="7"/>
  <c r="X70" i="7" s="1"/>
  <c r="X34" i="7"/>
  <c r="X68" i="7" s="1"/>
  <c r="X33" i="7"/>
  <c r="X67" i="7" s="1"/>
  <c r="X32" i="7"/>
  <c r="X66" i="7" s="1"/>
  <c r="X31" i="7"/>
  <c r="X65" i="7" s="1"/>
  <c r="X30" i="7"/>
  <c r="X64" i="7" s="1"/>
  <c r="X29" i="7"/>
  <c r="X63" i="7" s="1"/>
  <c r="X28" i="7"/>
  <c r="X62" i="7" s="1"/>
  <c r="X27" i="7"/>
  <c r="X61" i="7" s="1"/>
  <c r="X26" i="7"/>
  <c r="X60" i="7" s="1"/>
  <c r="X25" i="7"/>
  <c r="X59" i="7" s="1"/>
  <c r="X24" i="7"/>
  <c r="X58" i="7" s="1"/>
  <c r="X23" i="7"/>
  <c r="X57" i="7" s="1"/>
  <c r="X22" i="7"/>
  <c r="X56" i="7" s="1"/>
  <c r="U36" i="7"/>
  <c r="U70" i="7" s="1"/>
  <c r="T36" i="7"/>
  <c r="T70" i="7" s="1"/>
  <c r="S36" i="7"/>
  <c r="S70" i="7" s="1"/>
  <c r="R36" i="7"/>
  <c r="R70" i="7" s="1"/>
  <c r="Q36" i="7"/>
  <c r="P36" i="7"/>
  <c r="P70" i="7" s="1"/>
  <c r="O36" i="7"/>
  <c r="N36" i="7"/>
  <c r="M36" i="7"/>
  <c r="M70" i="7" s="1"/>
  <c r="L36" i="7"/>
  <c r="L70" i="7" s="1"/>
  <c r="K36" i="7"/>
  <c r="J36" i="7"/>
  <c r="U35" i="7"/>
  <c r="U69" i="7" s="1"/>
  <c r="T35" i="7"/>
  <c r="T69" i="7" s="1"/>
  <c r="S35" i="7"/>
  <c r="S69" i="7" s="1"/>
  <c r="R35" i="7"/>
  <c r="R69" i="7" s="1"/>
  <c r="Q35" i="7"/>
  <c r="P35" i="7"/>
  <c r="P69" i="7" s="1"/>
  <c r="O35" i="7"/>
  <c r="N35" i="7"/>
  <c r="M35" i="7"/>
  <c r="M69" i="7" s="1"/>
  <c r="L35" i="7"/>
  <c r="L69" i="7" s="1"/>
  <c r="K35" i="7"/>
  <c r="J35" i="7"/>
  <c r="U34" i="7"/>
  <c r="U68" i="7" s="1"/>
  <c r="T34" i="7"/>
  <c r="T68" i="7" s="1"/>
  <c r="S34" i="7"/>
  <c r="S68" i="7" s="1"/>
  <c r="R34" i="7"/>
  <c r="R68" i="7" s="1"/>
  <c r="Q34" i="7"/>
  <c r="P34" i="7"/>
  <c r="P68" i="7" s="1"/>
  <c r="O34" i="7"/>
  <c r="N34" i="7"/>
  <c r="M34" i="7"/>
  <c r="M68" i="7" s="1"/>
  <c r="L34" i="7"/>
  <c r="L68" i="7" s="1"/>
  <c r="K34" i="7"/>
  <c r="J34" i="7"/>
  <c r="U33" i="7"/>
  <c r="U67" i="7" s="1"/>
  <c r="T33" i="7"/>
  <c r="T67" i="7" s="1"/>
  <c r="S33" i="7"/>
  <c r="S67" i="7" s="1"/>
  <c r="R33" i="7"/>
  <c r="R67" i="7" s="1"/>
  <c r="Q33" i="7"/>
  <c r="P33" i="7"/>
  <c r="P67" i="7" s="1"/>
  <c r="O33" i="7"/>
  <c r="N33" i="7"/>
  <c r="M33" i="7"/>
  <c r="M67" i="7" s="1"/>
  <c r="L33" i="7"/>
  <c r="L67" i="7" s="1"/>
  <c r="K33" i="7"/>
  <c r="J33" i="7"/>
  <c r="U32" i="7"/>
  <c r="U66" i="7" s="1"/>
  <c r="T32" i="7"/>
  <c r="T66" i="7" s="1"/>
  <c r="S32" i="7"/>
  <c r="S66" i="7" s="1"/>
  <c r="R32" i="7"/>
  <c r="R66" i="7" s="1"/>
  <c r="Q32" i="7"/>
  <c r="P32" i="7"/>
  <c r="P66" i="7" s="1"/>
  <c r="O32" i="7"/>
  <c r="N32" i="7"/>
  <c r="M32" i="7"/>
  <c r="M66" i="7" s="1"/>
  <c r="L32" i="7"/>
  <c r="L66" i="7" s="1"/>
  <c r="K32" i="7"/>
  <c r="J32" i="7"/>
  <c r="U31" i="7"/>
  <c r="U65" i="7" s="1"/>
  <c r="T31" i="7"/>
  <c r="T65" i="7" s="1"/>
  <c r="S31" i="7"/>
  <c r="S65" i="7" s="1"/>
  <c r="R31" i="7"/>
  <c r="R65" i="7" s="1"/>
  <c r="Q31" i="7"/>
  <c r="P31" i="7"/>
  <c r="P65" i="7" s="1"/>
  <c r="O31" i="7"/>
  <c r="N31" i="7"/>
  <c r="M31" i="7"/>
  <c r="M65" i="7" s="1"/>
  <c r="L31" i="7"/>
  <c r="L65" i="7" s="1"/>
  <c r="K31" i="7"/>
  <c r="J31" i="7"/>
  <c r="U30" i="7"/>
  <c r="U64" i="7" s="1"/>
  <c r="T30" i="7"/>
  <c r="T64" i="7" s="1"/>
  <c r="S30" i="7"/>
  <c r="S64" i="7" s="1"/>
  <c r="R30" i="7"/>
  <c r="R64" i="7" s="1"/>
  <c r="Q30" i="7"/>
  <c r="P30" i="7"/>
  <c r="P64" i="7" s="1"/>
  <c r="O30" i="7"/>
  <c r="N30" i="7"/>
  <c r="M30" i="7"/>
  <c r="M64" i="7" s="1"/>
  <c r="L30" i="7"/>
  <c r="L64" i="7" s="1"/>
  <c r="K30" i="7"/>
  <c r="J30" i="7"/>
  <c r="U29" i="7"/>
  <c r="U63" i="7" s="1"/>
  <c r="T29" i="7"/>
  <c r="T63" i="7" s="1"/>
  <c r="S29" i="7"/>
  <c r="S63" i="7" s="1"/>
  <c r="R29" i="7"/>
  <c r="R63" i="7" s="1"/>
  <c r="Q29" i="7"/>
  <c r="P29" i="7"/>
  <c r="P63" i="7" s="1"/>
  <c r="O29" i="7"/>
  <c r="N29" i="7"/>
  <c r="M29" i="7"/>
  <c r="M63" i="7" s="1"/>
  <c r="L29" i="7"/>
  <c r="L63" i="7" s="1"/>
  <c r="K29" i="7"/>
  <c r="J29" i="7"/>
  <c r="U28" i="7"/>
  <c r="U62" i="7" s="1"/>
  <c r="T28" i="7"/>
  <c r="T62" i="7" s="1"/>
  <c r="S28" i="7"/>
  <c r="S62" i="7" s="1"/>
  <c r="R28" i="7"/>
  <c r="R62" i="7" s="1"/>
  <c r="Q28" i="7"/>
  <c r="P28" i="7"/>
  <c r="P62" i="7" s="1"/>
  <c r="O28" i="7"/>
  <c r="N28" i="7"/>
  <c r="M28" i="7"/>
  <c r="M62" i="7" s="1"/>
  <c r="L28" i="7"/>
  <c r="L62" i="7" s="1"/>
  <c r="K28" i="7"/>
  <c r="J28" i="7"/>
  <c r="U27" i="7"/>
  <c r="U61" i="7" s="1"/>
  <c r="T27" i="7"/>
  <c r="T61" i="7" s="1"/>
  <c r="S27" i="7"/>
  <c r="S61" i="7" s="1"/>
  <c r="R27" i="7"/>
  <c r="R61" i="7" s="1"/>
  <c r="Q27" i="7"/>
  <c r="P27" i="7"/>
  <c r="P61" i="7" s="1"/>
  <c r="O27" i="7"/>
  <c r="N27" i="7"/>
  <c r="M27" i="7"/>
  <c r="M61" i="7" s="1"/>
  <c r="L27" i="7"/>
  <c r="L61" i="7" s="1"/>
  <c r="K27" i="7"/>
  <c r="J27" i="7"/>
  <c r="U26" i="7"/>
  <c r="U60" i="7" s="1"/>
  <c r="T26" i="7"/>
  <c r="T60" i="7" s="1"/>
  <c r="S26" i="7"/>
  <c r="S60" i="7" s="1"/>
  <c r="R26" i="7"/>
  <c r="R60" i="7" s="1"/>
  <c r="Q26" i="7"/>
  <c r="P26" i="7"/>
  <c r="P60" i="7" s="1"/>
  <c r="O26" i="7"/>
  <c r="N26" i="7"/>
  <c r="M26" i="7"/>
  <c r="M60" i="7" s="1"/>
  <c r="L26" i="7"/>
  <c r="L60" i="7" s="1"/>
  <c r="K26" i="7"/>
  <c r="J26" i="7"/>
  <c r="U25" i="7"/>
  <c r="U59" i="7" s="1"/>
  <c r="T25" i="7"/>
  <c r="T59" i="7" s="1"/>
  <c r="S25" i="7"/>
  <c r="S59" i="7" s="1"/>
  <c r="R25" i="7"/>
  <c r="R59" i="7" s="1"/>
  <c r="Q25" i="7"/>
  <c r="P25" i="7"/>
  <c r="P59" i="7" s="1"/>
  <c r="O25" i="7"/>
  <c r="N25" i="7"/>
  <c r="M25" i="7"/>
  <c r="M59" i="7" s="1"/>
  <c r="L25" i="7"/>
  <c r="L59" i="7" s="1"/>
  <c r="K25" i="7"/>
  <c r="J25" i="7"/>
  <c r="U24" i="7"/>
  <c r="U58" i="7" s="1"/>
  <c r="T24" i="7"/>
  <c r="T58" i="7" s="1"/>
  <c r="S24" i="7"/>
  <c r="S58" i="7" s="1"/>
  <c r="R24" i="7"/>
  <c r="R58" i="7" s="1"/>
  <c r="Q24" i="7"/>
  <c r="P24" i="7"/>
  <c r="P58" i="7" s="1"/>
  <c r="O24" i="7"/>
  <c r="N24" i="7"/>
  <c r="M24" i="7"/>
  <c r="M58" i="7" s="1"/>
  <c r="L24" i="7"/>
  <c r="L58" i="7" s="1"/>
  <c r="K24" i="7"/>
  <c r="J24" i="7"/>
  <c r="U23" i="7"/>
  <c r="U57" i="7" s="1"/>
  <c r="T23" i="7"/>
  <c r="T57" i="7" s="1"/>
  <c r="S23" i="7"/>
  <c r="S57" i="7" s="1"/>
  <c r="R23" i="7"/>
  <c r="R57" i="7" s="1"/>
  <c r="Q23" i="7"/>
  <c r="P23" i="7"/>
  <c r="P57" i="7" s="1"/>
  <c r="O23" i="7"/>
  <c r="N23" i="7"/>
  <c r="M23" i="7"/>
  <c r="M57" i="7" s="1"/>
  <c r="L23" i="7"/>
  <c r="L57" i="7" s="1"/>
  <c r="K23" i="7"/>
  <c r="J23" i="7"/>
  <c r="U22" i="7"/>
  <c r="U56" i="7" s="1"/>
  <c r="T22" i="7"/>
  <c r="T56" i="7" s="1"/>
  <c r="S22" i="7"/>
  <c r="S56" i="7" s="1"/>
  <c r="R22" i="7"/>
  <c r="R56" i="7" s="1"/>
  <c r="Q22" i="7"/>
  <c r="P22" i="7"/>
  <c r="P56" i="7" s="1"/>
  <c r="O22" i="7"/>
  <c r="N22" i="7"/>
  <c r="M22" i="7"/>
  <c r="M56" i="7" s="1"/>
  <c r="L22" i="7"/>
  <c r="L56" i="7" s="1"/>
  <c r="K22" i="7"/>
  <c r="J22" i="7"/>
  <c r="I28" i="7"/>
  <c r="I62" i="7" s="1"/>
  <c r="I36" i="7"/>
  <c r="I70" i="7" s="1"/>
  <c r="I35" i="7"/>
  <c r="I69" i="7" s="1"/>
  <c r="I34" i="7"/>
  <c r="I68" i="7" s="1"/>
  <c r="I33" i="7"/>
  <c r="I67" i="7" s="1"/>
  <c r="I32" i="7"/>
  <c r="I66" i="7" s="1"/>
  <c r="I31" i="7"/>
  <c r="I65" i="7" s="1"/>
  <c r="I30" i="7"/>
  <c r="I64" i="7" s="1"/>
  <c r="I29" i="7"/>
  <c r="I63" i="7" s="1"/>
  <c r="I27" i="7"/>
  <c r="I61" i="7" s="1"/>
  <c r="I26" i="7"/>
  <c r="I60" i="7" s="1"/>
  <c r="I25" i="7"/>
  <c r="I59" i="7" s="1"/>
  <c r="I24" i="7"/>
  <c r="I58" i="7" s="1"/>
  <c r="I23" i="7"/>
  <c r="I57" i="7" s="1"/>
  <c r="I22" i="7"/>
  <c r="I56" i="7" s="1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</calcChain>
</file>

<file path=xl/sharedStrings.xml><?xml version="1.0" encoding="utf-8"?>
<sst xmlns="http://schemas.openxmlformats.org/spreadsheetml/2006/main" count="2074" uniqueCount="528">
  <si>
    <t xml:space="preserve">JDO Males and Females </t>
  </si>
  <si>
    <t xml:space="preserve">All data was regated 07/20/2023, data in this excel sheet are from wsp with the date 07.20.23 or later </t>
  </si>
  <si>
    <t>Exclude</t>
  </si>
  <si>
    <t>Reason</t>
  </si>
  <si>
    <t>JDO M Day 8 #61</t>
  </si>
  <si>
    <t>NO CD45+ cells</t>
  </si>
  <si>
    <t xml:space="preserve">Cells gated in Lymphoid Panel </t>
  </si>
  <si>
    <t xml:space="preserve">Cells gated in Myeloid Panel </t>
  </si>
  <si>
    <t>All immune cells (CD45+)</t>
  </si>
  <si>
    <t>B cells</t>
  </si>
  <si>
    <t>CD11b+ CCR2+ (Monocytes)</t>
  </si>
  <si>
    <t xml:space="preserve">MFI (abundance) of Ly6C in this population </t>
  </si>
  <si>
    <t>T cells</t>
  </si>
  <si>
    <t>CD11b+ CCR2+ Ly6CHi (Monocytes)</t>
  </si>
  <si>
    <t>CD4 T cells</t>
  </si>
  <si>
    <t>CD11b+ CCR2+ Ly6CLo (Monocytes)</t>
  </si>
  <si>
    <t>CD8 T cells</t>
  </si>
  <si>
    <t>Neutrophils</t>
  </si>
  <si>
    <t>NK Cells</t>
  </si>
  <si>
    <t>Interstitial Macrophages</t>
  </si>
  <si>
    <t>Effector CD4 and CD8 T cells</t>
  </si>
  <si>
    <t>Alveolar Macrophages</t>
  </si>
  <si>
    <t xml:space="preserve">Th1 </t>
  </si>
  <si>
    <t xml:space="preserve">Dendritic Cells (DCs) </t>
  </si>
  <si>
    <t xml:space="preserve">Th17 </t>
  </si>
  <si>
    <t>Tregs</t>
  </si>
  <si>
    <t xml:space="preserve">***Each page has the data 4 ways </t>
  </si>
  <si>
    <t xml:space="preserve">1st level= raw counts, MFI data taken from this level, highlighted in grey (only myeloid panel) </t>
  </si>
  <si>
    <t>2nd level= Frequency of Live Data</t>
  </si>
  <si>
    <t xml:space="preserve">3rd level= Frequency of immune cells (CD45+ cells) </t>
  </si>
  <si>
    <t>4th level= Cell Numbers</t>
  </si>
  <si>
    <t>Sample:</t>
  </si>
  <si>
    <t>Count</t>
  </si>
  <si>
    <t>Lymphocytes | Count</t>
  </si>
  <si>
    <t>Lymphocytes/Single Cells | Count</t>
  </si>
  <si>
    <t>Lymphocytes/Single Cells/Live Cells | Count</t>
  </si>
  <si>
    <t>Lymphocytes/Single Cells/Live Cells/CD45+ | Count</t>
  </si>
  <si>
    <t>Lymphocytes/Single Cells/Live Cells/CD45+/B220- | Count</t>
  </si>
  <si>
    <t>Lymphocytes/Single Cells/Live Cells/CD45+/B220-/TCRb- | Count</t>
  </si>
  <si>
    <t>Lymphocytes/Single Cells/Live Cells/CD45+/B220-/TCRb-/NK Cells | Count</t>
  </si>
  <si>
    <t>Lymphocytes/Single Cells/Live Cells/CD45+/NK1.1-- | Count</t>
  </si>
  <si>
    <t>Lymphocytes/Single Cells/Live Cells/CD45+/NK1.1--/CD90.2+  | Count</t>
  </si>
  <si>
    <t>Lymphocytes/Single Cells/Live Cells/CD45+/NK1.1--/CD90.2+ /T Cells | Count</t>
  </si>
  <si>
    <t>Lymphocytes/Single Cells/Live Cells/CD45+/NK1.1--/CD90.2+ /T Cells/CD4+ T cells | Count</t>
  </si>
  <si>
    <t>Lymphocytes/Single Cells/Live Cells/CD45+/NK1.1--/CD90.2+ /T Cells/CD4+ T cells/CD62Llo | Count</t>
  </si>
  <si>
    <t>Lymphocytes/Single Cells/Live Cells/CD45+/NK1.1--/CD90.2+ /T Cells/CD4+ T cells/CD62Llo/CD44Hi | Count</t>
  </si>
  <si>
    <t>Lymphocytes/Single Cells/Live Cells/CD45+/NK1.1--/CD90.2+ /T Cells/CD4+ T cells/CD62Llo/CD44Hi/Effector CD4 T cells | Count</t>
  </si>
  <si>
    <t>Lymphocytes/Single Cells/Live Cells/CD45+/NK1.1--/CD90.2+ /T Cells/CD4+ T cells/Foxp3+ | Count</t>
  </si>
  <si>
    <t>Lymphocytes/Single Cells/Live Cells/CD45+/NK1.1--/CD90.2+ /T Cells/CD4+ T cells/Foxp3+/Treg | Count</t>
  </si>
  <si>
    <t>Lymphocytes/Single Cells/Live Cells/CD45+/NK1.1--/CD90.2+ /T Cells/CD4+ T cells/Th1 | Count</t>
  </si>
  <si>
    <t>Lymphocytes/Single Cells/Live Cells/CD45+/NK1.1--/CD90.2+ /T Cells/CD4+ T cells/Th17 | Count</t>
  </si>
  <si>
    <t>Lymphocytes/Single Cells/Live Cells/CD45+/NK1.1--/CD90.2+ /T Cells/CD8+ Cells | Count</t>
  </si>
  <si>
    <t>Lymphocytes/Single Cells/Live Cells/CD45+/NK1.1--/CD90.2+ /T Cells/CD8+ Cells/CD62Llo* | Count</t>
  </si>
  <si>
    <t>Lymphocytes/Single Cells/Live Cells/CD45+/NK1.1--/CD90.2+ /T Cells/CD8+ Cells/CD62Llo*/CD44Hi | Count</t>
  </si>
  <si>
    <t>Lymphocytes/Single Cells/Live Cells/CD45+/NK1.1--/CD90.2+ /T Cells/CD8+ Cells/CD62Llo*/CD44Hi/Effector CD8 T cells | Count</t>
  </si>
  <si>
    <t>4.24.22 exp 022 Day 8 Lymphoid panel-61_Unmixed.fcs</t>
  </si>
  <si>
    <t>4.24.22 exp 022 Day 8 Lymphoid panel-62_Unmixed.fcs</t>
  </si>
  <si>
    <t>4.24.22 exp 022 Day 8 Lymphoid panel-63_Unmixed.fcs</t>
  </si>
  <si>
    <t>4.24.22 exp 022 Day 8 Lymphoid panel-64_Unmixed.fcs</t>
  </si>
  <si>
    <t>4.24.22 exp 022 Day 8 Lymphoid panel-65_Unmixed.fcs</t>
  </si>
  <si>
    <t>4.24.22 exp 022 Day 8 Lymphoid panel-66_Unmixed.fcs</t>
  </si>
  <si>
    <t>4.24.22 exp 022 Day 8 Lymphoid panel-67_Unmixed.fcs</t>
  </si>
  <si>
    <t>4.24.22 exp 022 Day 8 Lymphoid panel-68_Unmixed.fcs</t>
  </si>
  <si>
    <t>4.24.22 exp 022 Day 8 Lymphoid panel-69_Unmixed.fcs</t>
  </si>
  <si>
    <t>4.24.22 exp 022 Day 8 Lymphoid panel-70_Unmixed.fcs</t>
  </si>
  <si>
    <t>4.24.22 exp 022 Day 8 Lymphoid panel-71_Unmixed.fcs</t>
  </si>
  <si>
    <t>4.24.22 exp 022 Day 8 Lymphoid panel-72_Unmixed.fcs</t>
  </si>
  <si>
    <t>4.24.22 exp 022 Day 8 Lymphoid panel-73_Unmixed.fcs</t>
  </si>
  <si>
    <t>4.24.22 exp 022 Day 8 Lymphoid panel-74_Unmixed.fcs</t>
  </si>
  <si>
    <t>4.24.22 exp 022 Day 8 Lymphoid panel-75_Unmixed.fcs</t>
  </si>
  <si>
    <t>ungated</t>
  </si>
  <si>
    <t>Lymphocytes</t>
  </si>
  <si>
    <t>Single Cells</t>
  </si>
  <si>
    <t>Live Cells</t>
  </si>
  <si>
    <t xml:space="preserve">CD45+ </t>
  </si>
  <si>
    <t>B220-</t>
  </si>
  <si>
    <t>TCRb-</t>
  </si>
  <si>
    <t>NK-</t>
  </si>
  <si>
    <t>CD90.2+</t>
  </si>
  <si>
    <t>CD4+ T cells</t>
  </si>
  <si>
    <t>Effector CD4 T cells</t>
  </si>
  <si>
    <t>Th1</t>
  </si>
  <si>
    <t>Th17</t>
  </si>
  <si>
    <t>CD8+ T cells</t>
  </si>
  <si>
    <t>Effector CD8+ T cells</t>
  </si>
  <si>
    <t xml:space="preserve">% Live </t>
  </si>
  <si>
    <t>%CD45</t>
  </si>
  <si>
    <t>Cell Number</t>
  </si>
  <si>
    <t xml:space="preserve">Live count </t>
  </si>
  <si>
    <t>cell count</t>
  </si>
  <si>
    <t>Number of live cells (live count/ungated count)*cell count</t>
  </si>
  <si>
    <t>4.21.22 exp 022 Day 5 Lymphoid Panel-Group_001-46_Unmixed.fcs</t>
  </si>
  <si>
    <t>4.21.22 exp 022 Day 5 Lymphoid Panel-Group_001-47_Unmixed.fcs</t>
  </si>
  <si>
    <t>4.21.22 exp 022 Day 5 Lymphoid Panel-Group_001-48_Unmixed.fcs</t>
  </si>
  <si>
    <t>4.21.22 exp 022 Day 5 Lymphoid Panel-Group_001-49_Unmixed.fcs</t>
  </si>
  <si>
    <t>4.21.22 exp 022 Day 5 Lymphoid Panel-Group_001-50_Unmixed.fcs</t>
  </si>
  <si>
    <t>4.21.22 exp 022 Day 5 Lymphoid Panel-Group_001-51_Unmixed.fcs</t>
  </si>
  <si>
    <t>4.21.22 exp 022 Day 5 Lymphoid Panel-Group_001-52_Unmixed.fcs</t>
  </si>
  <si>
    <t>4.21.22 exp 022 Day 5 Lymphoid Panel-Group_001-53_Unmixed.fcs</t>
  </si>
  <si>
    <t>4.21.22 exp 022 Day 5 Lymphoid Panel-Group_001-54_Unmixed.fcs</t>
  </si>
  <si>
    <t>4.21.22 exp 022 Day 5 Lymphoid Panel-Group_001-55_Unmixed.fcs</t>
  </si>
  <si>
    <t>4.21.22 exp 022 Day 5 Lymphoid Panel-Group_001-56_Unmixed.fcs</t>
  </si>
  <si>
    <t>4.21.22 exp 022 Day 5 Lymphoid Panel-Group_001-57_Unmixed.fcs</t>
  </si>
  <si>
    <t>4.21.22 exp 022 Day 5 Lymphoid Panel-Group_001-58_Unmixed.fcs</t>
  </si>
  <si>
    <t>4.21.22 exp 022 Day 5 Lymphoid Panel-Group_001-59_Unmixed.fcs</t>
  </si>
  <si>
    <t>4.21.22 exp 022 Day 5 Lymphoid Panel-Group_001-60_Unmixed.fcs</t>
  </si>
  <si>
    <t>4.21.22 exp 022 day 4 lymphoid panel-31_Unmixed.fcs</t>
  </si>
  <si>
    <t>4.21.22 exp 022 day 4 lymphoid panel-32_Unmixed.fcs</t>
  </si>
  <si>
    <t>4.21.22 exp 022 day 4 lymphoid panel-33_Unmixed.fcs</t>
  </si>
  <si>
    <t>4.21.22 exp 022 day 4 lymphoid panel-34_Unmixed.fcs</t>
  </si>
  <si>
    <t>4.21.22 exp 022 day 4 lymphoid panel-35_Unmixed.fcs</t>
  </si>
  <si>
    <t>4.21.22 exp 022 day 4 lymphoid panel-36_Unmixed.fcs</t>
  </si>
  <si>
    <t>4.21.22 exp 022 day 4 lymphoid panel-37_Unmixed.fcs</t>
  </si>
  <si>
    <t>4.21.22 exp 022 day 4 lymphoid panel-38_Unmixed.fcs</t>
  </si>
  <si>
    <t>4.21.22 exp 022 day 4 lymphoid panel-39_Unmixed.fcs</t>
  </si>
  <si>
    <t>4.21.22 exp 022 day 4 lymphoid panel-40_Unmixed.fcs</t>
  </si>
  <si>
    <t>4.21.22 exp 022 day 4 lymphoid panel-41_Unmixed.fcs</t>
  </si>
  <si>
    <t>4.21.22 exp 022 day 4 lymphoid panel-42_Unmixed.fcs</t>
  </si>
  <si>
    <t>4.21.22 exp 022 day 4 lymphoid panel-43_Unmixed.fcs</t>
  </si>
  <si>
    <t>4.21.22 exp 022 day 4 lymphoid panel-44_Unmixed.fcs</t>
  </si>
  <si>
    <t>4.21.22 exp 022 day 4 lymphoid panel-45_Unmixed.fcs</t>
  </si>
  <si>
    <t>c</t>
  </si>
  <si>
    <t>Lymphocytes/Single Cells/Live  | Count</t>
  </si>
  <si>
    <t>Lymphocytes/Single Cells/Live /CD45+ | Count</t>
  </si>
  <si>
    <t>Lymphocytes/Single Cells/Live /CD45+/B220- | Count</t>
  </si>
  <si>
    <t>Lymphocytes/Single Cells/Live /CD45+/B220-/TCRb- | Count</t>
  </si>
  <si>
    <t>Lymphocytes/Single Cells/Live /CD45+/B220-/TCRb-/NK Cells | Count</t>
  </si>
  <si>
    <t>Lymphocytes/Single Cells/Live /CD45+/NK1.1-- | Count</t>
  </si>
  <si>
    <t>Lymphocytes/Single Cells/Live /CD45+/NK1.1--/CD90.2+  | Count</t>
  </si>
  <si>
    <t>Lymphocytes/Single Cells/Live /CD45+/NK1.1--/CD90.2+ /T Cells | Count</t>
  </si>
  <si>
    <t>Lymphocytes/Single Cells/Live /CD45+/NK1.1--/CD90.2+ /T Cells/CD4+ T cells | Count</t>
  </si>
  <si>
    <t>Lymphocytes/Single Cells/Live /CD45+/NK1.1--/CD90.2+ /T Cells/CD4+ T cells/CD62Llo | Count</t>
  </si>
  <si>
    <t>Lymphocytes/Single Cells/Live /CD45+/NK1.1--/CD90.2+ /T Cells/CD4+ T cells/CD62Llo/CD44Hi | Count</t>
  </si>
  <si>
    <t>Lymphocytes/Single Cells/Live /CD45+/NK1.1--/CD90.2+ /T Cells/CD4+ T cells/CD62Llo/CD44Hi/Effector CD4 T cells | Count</t>
  </si>
  <si>
    <t>Lymphocytes/Single Cells/Live /CD45+/NK1.1--/CD90.2+ /T Cells/CD4+ T cells/Foxp3+ | Count</t>
  </si>
  <si>
    <t>Lymphocytes/Single Cells/Live /CD45+/NK1.1--/CD90.2+ /T Cells/CD4+ T cells/Foxp3+/Treg | Count</t>
  </si>
  <si>
    <t>Lymphocytes/Single Cells/Live /CD45+/NK1.1--/CD90.2+ /T Cells/CD4+ T cells/Th1 | Count</t>
  </si>
  <si>
    <t>Lymphocytes/Single Cells/Live /CD45+/NK1.1--/CD90.2+ /T Cells/CD4+ T cells/Th17 | Count</t>
  </si>
  <si>
    <t>Lymphocytes/Single Cells/Live /CD45+/NK1.1--/CD90.2+ /T Cells/CD8+ Cells | Count</t>
  </si>
  <si>
    <t>Lymphocytes/Single Cells/Live /CD45+/NK1.1--/CD90.2+ /T Cells/CD8+ Cells/CD62Llo* | Count</t>
  </si>
  <si>
    <t>Lymphocytes/Single Cells/Live /CD45+/NK1.1--/CD90.2+ /T Cells/CD8+ Cells/CD62Llo*/CD44Hi | Count</t>
  </si>
  <si>
    <t>Lymphocytes/Single Cells/Live /CD45+/NK1.1--/CD90.2+ /T Cells/CD8+ Cells/CD62Llo*/CD44Hi/Effector CD8 T cells | Count</t>
  </si>
  <si>
    <t>4.21.22 EXP 022 DAY 3 LYMPHOID PANEL-16_Unmixed.fcs</t>
  </si>
  <si>
    <t>4.21.22 EXP 022 DAY 3 LYMPHOID PANEL-17_Unmixed.fcs</t>
  </si>
  <si>
    <t>4.21.22 EXP 022 DAY 3 LYMPHOID PANEL-18_Unmixed.fcs</t>
  </si>
  <si>
    <t>4.21.22 EXP 022 DAY 3 LYMPHOID PANEL-19_Unmixed.fcs</t>
  </si>
  <si>
    <t>4.21.22 EXP 022 DAY 3 LYMPHOID PANEL-20_Unmixed.fcs</t>
  </si>
  <si>
    <t>4.21.22 EXP 022 DAY 3 LYMPHOID PANEL-21_Unmixed.fcs</t>
  </si>
  <si>
    <t>4.21.22 EXP 022 DAY 3 LYMPHOID PANEL-22_Unmixed.fcs</t>
  </si>
  <si>
    <t>4.21.22 EXP 022 DAY 3 LYMPHOID PANEL-23_Unmixed.fcs</t>
  </si>
  <si>
    <t>4.21.22 EXP 022 DAY 3 LYMPHOID PANEL-24_Unmixed.fcs</t>
  </si>
  <si>
    <t>4.21.22 EXP 022 DAY 3 LYMPHOID PANEL-25_Unmixed.fcs</t>
  </si>
  <si>
    <t>4.21.22 EXP 022 DAY 3 LYMPHOID PANEL-26_Unmixed.fcs</t>
  </si>
  <si>
    <t>4.21.22 EXP 022 DAY 3 LYMPHOID PANEL-27_Unmixed.fcs</t>
  </si>
  <si>
    <t>4.21.22 EXP 022 DAY 3 LYMPHOID PANEL-28_Unmixed.fcs</t>
  </si>
  <si>
    <t>4.21.22 EXP 022 DAY 3 LYMPHOID PANEL-29_Unmixed.fcs</t>
  </si>
  <si>
    <t>4.21.22 EXP 022 DAY 3 LYMPHOID PANEL-30_Unmixed.fcs</t>
  </si>
  <si>
    <t>Lymphocytes/Single Cells/Live | Count</t>
  </si>
  <si>
    <t>Lymphocytes/Single Cells/Live/CD45+ | Count</t>
  </si>
  <si>
    <t>Lymphocytes/Single Cells/Live/CD45+/B220- | Count</t>
  </si>
  <si>
    <t>Lymphocytes/Single Cells/Live/CD45+/B220-/TCRb- | Count</t>
  </si>
  <si>
    <t>Lymphocytes/Single Cells/Live/CD45+/B220-/TCRb-/NK Cells | Count</t>
  </si>
  <si>
    <t>Lymphocytes/Single Cells/Live/CD45+/NK1.1-- | Count</t>
  </si>
  <si>
    <t>Lymphocytes/Single Cells/Live/CD45+/NK1.1--/CD90.2+  | Count</t>
  </si>
  <si>
    <t>Lymphocytes/Single Cells/Live/CD45+/NK1.1--/CD90.2+ /T Cells | Count</t>
  </si>
  <si>
    <t>Lymphocytes/Single Cells/Live/CD45+/NK1.1--/CD90.2+ /T Cells/CD4+ T cells | Count</t>
  </si>
  <si>
    <t>Lymphocytes/Single Cells/Live/CD45+/NK1.1--/CD90.2+ /T Cells/CD4+ T cells/CD62Llo | Count</t>
  </si>
  <si>
    <t>Lymphocytes/Single Cells/Live/CD45+/NK1.1--/CD90.2+ /T Cells/CD4+ T cells/CD62Llo/CD44Hi | Count</t>
  </si>
  <si>
    <t>Lymphocytes/Single Cells/Live/CD45+/NK1.1--/CD90.2+ /T Cells/CD4+ T cells/CD62Llo/CD44Hi/Effector CD4 T cells | Count</t>
  </si>
  <si>
    <t>Lymphocytes/Single Cells/Live/CD45+/NK1.1--/CD90.2+ /T Cells/CD4+ T cells/Foxp3+ | Count</t>
  </si>
  <si>
    <t>Lymphocytes/Single Cells/Live/CD45+/NK1.1--/CD90.2+ /T Cells/CD4+ T cells/Foxp3+/Treg | Count</t>
  </si>
  <si>
    <t>Lymphocytes/Single Cells/Live/CD45+/NK1.1--/CD90.2+ /T Cells/CD4+ T cells/Th1 | Count</t>
  </si>
  <si>
    <t>Lymphocytes/Single Cells/Live/CD45+/NK1.1--/CD90.2+ /T Cells/CD4+ T cells/Th17 | Count</t>
  </si>
  <si>
    <t>Lymphocytes/Single Cells/Live/CD45+/NK1.1--/CD90.2+ /T Cells/CD8+ Cells | Count</t>
  </si>
  <si>
    <t>Lymphocytes/Single Cells/Live/CD45+/NK1.1--/CD90.2+ /T Cells/CD8+ Cells/CD62Llo* | Count</t>
  </si>
  <si>
    <t>Lymphocytes/Single Cells/Live/CD45+/NK1.1--/CD90.2+ /T Cells/CD8+ Cells/CD62Llo*/CD44Hi | Count</t>
  </si>
  <si>
    <t>Lymphocytes/Single Cells/Live/CD45+/NK1.1--/CD90.2+ /T Cells/CD8+ Cells/CD62Llo*/CD44Hi/Effector CD8 T cells | Count</t>
  </si>
  <si>
    <t>4.24.22 exp 022 day 0 lymphoid panel-Tube_001_Unmixed.fcs</t>
  </si>
  <si>
    <t>4.24.22 exp 022 day 0 lymphoid panel-Tube_002_Unmixed.fcs</t>
  </si>
  <si>
    <t>4.24.22 exp 022 day 0 lymphoid panel-Tube_003_Unmixed.fcs</t>
  </si>
  <si>
    <t>4.24.22 exp 022 day 0 lymphoid panel-Tube_004_Unmixed.fcs</t>
  </si>
  <si>
    <t>4.24.22 exp 022 day 0 lymphoid panel-Tube_006_Unmixed.fcs</t>
  </si>
  <si>
    <t>4.24.22 exp 022 day 0 lymphoid panel-Tube_007_Unmixed.fcs</t>
  </si>
  <si>
    <t>4.24.22 exp 022 day 0 lymphoid panel-Tube_008_Unmixed.fcs</t>
  </si>
  <si>
    <t>4.24.22 exp 022 day 0 lymphoid panel-Tube_009_Unmixed.fcs</t>
  </si>
  <si>
    <t>4.24.22 exp 022 day 0 lymphoid panel-Tube_010_Unmixed.fcs</t>
  </si>
  <si>
    <t>4.24.22 exp 022 day 0 lymphoid panel-Tube_011_Unmixed.fcs</t>
  </si>
  <si>
    <t>4.24.22 exp 022 day 0 lymphoid panel-Tube_012_Unmixed.fcs</t>
  </si>
  <si>
    <t>4.24.22 exp 022 day 0 lymphoid panel-Tube_013_Unmixed.fcs</t>
  </si>
  <si>
    <t>4.24.22 exp 022 day 0 lymphoid panel-Tube_014_Unmixed.fcs</t>
  </si>
  <si>
    <t>4.24.22 exp 022 day 0 lymphoid panel-Tube_015_Unmixed.fcs</t>
  </si>
  <si>
    <t>Lymphocytes/Single Cells/Live/CD45+/NK1.1- | Count</t>
  </si>
  <si>
    <t>Lymphocytes/Single Cells/Live/CD45+/NK1.1-/T cells  | Count</t>
  </si>
  <si>
    <t>Lymphocytes/Single Cells/Live/CD45+/NK1.1-/T cells /CD4+ T cells | Count</t>
  </si>
  <si>
    <t>Lymphocytes/Single Cells/Live/CD45+/NK1.1-/T cells /CD4+ T cells/CD62Llo | Count</t>
  </si>
  <si>
    <t>Lymphocytes/Single Cells/Live/CD45+/NK1.1-/T cells /CD4+ T cells/CD62Llo/CD44Hi | Count</t>
  </si>
  <si>
    <t>Lymphocytes/Single Cells/Live/CD45+/NK1.1-/T cells /CD4+ T cells/CD62Llo/CD44Hi/Effector CD4 T cells | Count</t>
  </si>
  <si>
    <t>Lymphocytes/Single Cells/Live/CD45+/NK1.1-/T cells /CD4+ T cells/Foxp3+ | Count</t>
  </si>
  <si>
    <t>Lymphocytes/Single Cells/Live/CD45+/NK1.1-/T cells /CD4+ T cells/Foxp3+/Treg | Count</t>
  </si>
  <si>
    <t>Lymphocytes/Single Cells/Live/CD45+/NK1.1-/T cells /CD4+ T cells/Th1 | Count</t>
  </si>
  <si>
    <t>Lymphocytes/Single Cells/Live/CD45+/NK1.1-/T cells /CD4+ T cells/th17 new | Count</t>
  </si>
  <si>
    <t>Lymphocytes/Single Cells/Live/CD45+/NK1.1-/T cells /CD8+ T cells | Count</t>
  </si>
  <si>
    <t>Lymphocytes/Single Cells/Live/CD45+/NK1.1-/T cells /CD8+ T cells/CD62Llo | Count</t>
  </si>
  <si>
    <t>Lymphocytes/Single Cells/Live/CD45+/NK1.1-/T cells /CD8+ T cells/CD62Llo/CD44Hi | Count</t>
  </si>
  <si>
    <t>Lymphocytes/Single Cells/Live/CD45+/NK1.1-/T cells /CD8+ T cells/CD62Llo/CD44Hi/Effector CD8 T cells | Count</t>
  </si>
  <si>
    <t>excluded</t>
  </si>
  <si>
    <t>Experiment_016 JDO MALES DAY 8 LYMPHOID PANEL-Reference Group-Unstained (Cells)_Unmixed.fcs</t>
  </si>
  <si>
    <t>Experiment_016 JDO MALES DAY 8 LYMPHOID PANEL-61_Unmixed.fcs</t>
  </si>
  <si>
    <t>Experiment_016 JDO MALES DAY 8 LYMPHOID PANEL-62_Unmixed.fcs</t>
  </si>
  <si>
    <t>Experiment_016 JDO MALES DAY 8 LYMPHOID PANEL-63_Unmixed.fcs</t>
  </si>
  <si>
    <t>Experiment_016 JDO MALES DAY 8 LYMPHOID PANEL-64_Unmixed.fcs</t>
  </si>
  <si>
    <t>Experiment_016 JDO MALES DAY 8 LYMPHOID PANEL-65_Unmixed.fcs</t>
  </si>
  <si>
    <t>Experiment_016 JDO MALES DAY 8 LYMPHOID PANEL-66_Unmixed.fcs</t>
  </si>
  <si>
    <t>Experiment_016 JDO MALES DAY 8 LYMPHOID PANEL-67_Unmixed.fcs</t>
  </si>
  <si>
    <t>Experiment_016 JDO MALES DAY 8 LYMPHOID PANEL-68_Unmixed.fcs</t>
  </si>
  <si>
    <t>Experiment_016 JDO MALES DAY 8 LYMPHOID PANEL-69_Unmixed.fcs</t>
  </si>
  <si>
    <t>Experiment_016 JDO MALES DAY 8 LYMPHOID PANEL-70_Unmixed.fcs</t>
  </si>
  <si>
    <t>Experiment_016 JDO MALES DAY 8 LYMPHOID PANEL-71_Unmixed.fcs</t>
  </si>
  <si>
    <t>Experiment_016 JDO MALES DAY 8 LYMPHOID PANEL-72_Unmixed.fcs</t>
  </si>
  <si>
    <t>Experiment_016 JDO MALES DAY 8 LYMPHOID PANEL-73_Unmixed.fcs</t>
  </si>
  <si>
    <t>Experiment_016 JDO MALES DAY 8 LYMPHOID PANEL-74_Unmixed.fcs</t>
  </si>
  <si>
    <t>Experiment_016 JDO MALES DAY 8 LYMPHOID PANEL-75_Unmixed.fcs</t>
  </si>
  <si>
    <t>Live count</t>
  </si>
  <si>
    <t>Cell count</t>
  </si>
  <si>
    <t>Live cell Number (live count/ungated count)*cell number</t>
  </si>
  <si>
    <t>Lymphocytes/Single Cells/Live/CD45+/NK1.1-/T cells /CD4+ T cells/Th17 | Count</t>
  </si>
  <si>
    <t>Experiment_016 JDO MALES DAY 5 Lymphoid-46_Unmixed.fcs</t>
  </si>
  <si>
    <t>Experiment_016 JDO MALES DAY 5 Lymphoid-47_Unmixed.fcs</t>
  </si>
  <si>
    <t>Experiment_016 JDO MALES DAY 5 Lymphoid-Reference Group-Unstained (Cells)_Unmixed.fcs</t>
  </si>
  <si>
    <t>Experiment_016 JDO MALES DAY 5 Lymphoid-48_Unmixed.fcs</t>
  </si>
  <si>
    <t>Experiment_016 JDO MALES DAY 5 Lymphoid-49_Unmixed.fcs</t>
  </si>
  <si>
    <t>Experiment_016 JDO MALES DAY 5 Lymphoid-50_Unmixed.fcs</t>
  </si>
  <si>
    <t>Experiment_016 JDO MALES DAY 5 Lymphoid-51_Unmixed.fcs</t>
  </si>
  <si>
    <t>Experiment_016 JDO MALES DAY 5 Lymphoid-52_Unmixed.fcs</t>
  </si>
  <si>
    <t>Experiment_016 JDO MALES DAY 5 Lymphoid-53_Unmixed.fcs</t>
  </si>
  <si>
    <t>Experiment_016 JDO MALES DAY 5 Lymphoid-54_Unmixed.fcs</t>
  </si>
  <si>
    <t>Experiment_016 JDO MALES DAY 5 Lymphoid-55_Unmixed.fcs</t>
  </si>
  <si>
    <t>Experiment_016 JDO MALES DAY 5 Lymphoid-56_Unmixed.fcs</t>
  </si>
  <si>
    <t>Experiment_016 JDO MALES DAY 5 Lymphoid-57_Unmixed.fcs</t>
  </si>
  <si>
    <t>Experiment_016 JDO MALES DAY 5 Lymphoid-58_Unmixed.fcs</t>
  </si>
  <si>
    <t>Experiment_016 JDO MALES DAY 5 Lymphoid-59_Unmixed.fcs</t>
  </si>
  <si>
    <t>Experiment_016 JDO MALES DAY 5 Lymphoid-60_Unmixed.fcs</t>
  </si>
  <si>
    <t>Mean</t>
  </si>
  <si>
    <t>SD</t>
  </si>
  <si>
    <t>Lymphocytes/Single Cells/Live/CD45+/NK1.1-/T cells /CD8+ Cells | Count</t>
  </si>
  <si>
    <t>Lymphocytes/Single Cells/Live/CD45+/NK1.1-/T cells /CD8+ Cells/CD62Llo* | Count</t>
  </si>
  <si>
    <t>Lymphocytes/Single Cells/Live/CD45+/NK1.1-/T cells /CD8+ Cells/CD62Llo*/CD44Hi | Count</t>
  </si>
  <si>
    <t>Lymphocytes/Single Cells/Live/CD45+/NK1.1-/T cells /CD8+ Cells/CD62Llo*/CD44Hi/Effector CD8 T cells | Count</t>
  </si>
  <si>
    <t>Experiment_016 JDO MALES DAY 3 LYMPHOID-16_Unmixed.fcs</t>
  </si>
  <si>
    <t>Experiment_016 JDO MALES DAY 3 LYMPHOID-17_Unmixed.fcs</t>
  </si>
  <si>
    <t>Experiment_016 JDO MALES DAY 3 LYMPHOID-18_Unmixed.fcs</t>
  </si>
  <si>
    <t>Experiment_016 JDO MALES DAY 3 LYMPHOID-19_Unmixed.fcs</t>
  </si>
  <si>
    <t>Experiment_016 JDO MALES DAY 3 LYMPHOID-20_Unmixed.fcs</t>
  </si>
  <si>
    <t>Experiment_016 JDO MALES DAY 3 LYMPHOID-21_Unmixed.fcs</t>
  </si>
  <si>
    <t>Experiment_016 JDO MALES DAY 3 LYMPHOID-22_Unmixed.fcs</t>
  </si>
  <si>
    <t>Experiment_016 JDO MALES DAY 3 LYMPHOID-23_Unmixed.fcs</t>
  </si>
  <si>
    <t>Experiment_016 JDO MALES DAY 3 LYMPHOID-24_Unmixed.fcs</t>
  </si>
  <si>
    <t>Experiment_016 JDO MALES DAY 3 LYMPHOID-25_Unmixed.fcs</t>
  </si>
  <si>
    <t>Experiment_016 JDO MALES DAY 3 LYMPHOID-26_Unmixed.fcs</t>
  </si>
  <si>
    <t>Experiment_016 JDO MALES DAY 3 LYMPHOID-27_Unmixed.fcs</t>
  </si>
  <si>
    <t>Experiment_016 JDO MALES DAY 3 LYMPHOID-28_Unmixed.fcs</t>
  </si>
  <si>
    <t>Experiment_016 JDO MALES DAY 3 LYMPHOID-29_Unmixed.fcs</t>
  </si>
  <si>
    <t>02.20.21 JDO Males Day 0 Lymphoid Panel-Day 0-Tube_001_Unmixed.fcs</t>
  </si>
  <si>
    <t>02.20.21 JDO Males Day 0 Lymphoid Panel-Day 0-Tube_002_Unmixed.fcs</t>
  </si>
  <si>
    <t>02.20.21 JDO Males Day 0 Lymphoid Panel-Day 0-Tube_003_Unmixed.fcs</t>
  </si>
  <si>
    <t>02.20.21 JDO Males Day 0 Lymphoid Panel-Day 0-Tube_004_Unmixed.fcs</t>
  </si>
  <si>
    <t>02.20.21 JDO Males Day 0 Lymphoid Panel-Day 0-Tube_005_Unmixed.fcs</t>
  </si>
  <si>
    <t>02.20.21 JDO Males Day 0 Lymphoid Panel-Day 0-Tube_006_Unmixed.fcs</t>
  </si>
  <si>
    <t>02.20.21 JDO Males Day 0 Lymphoid Panel-Day 0-Tube_007_Unmixed.fcs</t>
  </si>
  <si>
    <t>02.20.21 JDO Males Day 0 Lymphoid Panel-Day 0-Tube_008_Unmixed.fcs</t>
  </si>
  <si>
    <t>02.20.21 JDO Males Day 0 Lymphoid Panel-Day 0-Tube_009_Unmixed.fcs</t>
  </si>
  <si>
    <t>02.20.21 JDO Males Day 0 Lymphoid Panel-Day 0-Tube_010_Unmixed.fcs</t>
  </si>
  <si>
    <t>02.20.21 JDO Males Day 0 Lymphoid Panel-Day 0-Tube_011_Unmixed.fcs</t>
  </si>
  <si>
    <t>02.20.21 JDO Males Day 0 Lymphoid Panel-Day 0-Tube_012_Unmixed.fcs</t>
  </si>
  <si>
    <t>02.20.21 JDO Males Day 0 Lymphoid Panel-Day 0-Tube_013_Unmixed.fcs</t>
  </si>
  <si>
    <t>02.20.21 JDO Males Day 0 Lymphoid Panel-Day 0-Tube_014_Unmixed.fcs</t>
  </si>
  <si>
    <t>02.20.21 JDO Males Day 0 Lymphoid Panel-Day 0-Tube_015_Unmixed.fcs</t>
  </si>
  <si>
    <t>Lymphocytes/Single Cells/Live/CD45+/NK1.1-/T cells /CD8+ T cells/CD62Llo* | Count</t>
  </si>
  <si>
    <t>Lymphocytes/Single Cells/Live/CD45+/NK1.1-/T cells /CD8+ T cells/CD62Llo*/CD44Hi | Count</t>
  </si>
  <si>
    <t>Lymphocytes/Single Cells/Live/CD45+/NK1.1-/T cells /CD8+ T cells/CD62Llo*/CD44Hi/Effector CD8 T cells | Count</t>
  </si>
  <si>
    <t>Experiment_016 JDO Males Day 4 Lymphoid-31_Unmixed.fcs</t>
  </si>
  <si>
    <t>Experiment_016 JDO Males Day 4 Lymphoid-32_Unmixed.fcs</t>
  </si>
  <si>
    <t>Experiment_016 JDO Males Day 4 Lymphoid-33_Unmixed.fcs</t>
  </si>
  <si>
    <t>Experiment_016 JDO Males Day 4 Lymphoid-34_Unmixed.fcs</t>
  </si>
  <si>
    <t>Experiment_016 JDO Males Day 4 Lymphoid-35_Unmixed.fcs</t>
  </si>
  <si>
    <t>Experiment_016 JDO Males Day 4 Lymphoid-36_Unmixed.fcs</t>
  </si>
  <si>
    <t>Experiment_016 JDO Males Day 4 Lymphoid-37_Unmixed.fcs</t>
  </si>
  <si>
    <t>Experiment_016 JDO Males Day 4 Lymphoid-38_Unmixed.fcs</t>
  </si>
  <si>
    <t>Experiment_016 JDO Males Day 4 Lymphoid-39_Unmixed.fcs</t>
  </si>
  <si>
    <t>Experiment_016 JDO Males Day 4 Lymphoid-40_Unmixed.fcs</t>
  </si>
  <si>
    <t>Experiment_016 JDO Males Day 4 Lymphoid-41_Unmixed.fcs</t>
  </si>
  <si>
    <t>Experiment_016 JDO Males Day 4 Lymphoid-42_Unmixed.fcs</t>
  </si>
  <si>
    <t>Experiment_016 JDO Males Day 4 Lymphoid-43_Unmixed.fcs</t>
  </si>
  <si>
    <t>Experiment_016 JDO Males Day 4 Lymphoid-44_Unmixed.fcs</t>
  </si>
  <si>
    <t>Experiment_016 JDO Males Day 4 Lymphoid-45_Unmixed.fcs</t>
  </si>
  <si>
    <t>Lymphocytes/Single Cells/Live Cells/CD45+/CD11b+  | Count</t>
  </si>
  <si>
    <t>Lymphocytes/Single Cells/Live Cells/CD45+/CD11b+ /CCR2+ | Count</t>
  </si>
  <si>
    <t>Lymphocytes/Single Cells/Live Cells/CD45+/CD11b+ /CCR2+ | Median (Comp-BV785-A :: null)</t>
  </si>
  <si>
    <t>Lymphocytes/Single Cells/Live Cells/CD45+/CD11b+ /CCR2+/Ly6cHi | Count</t>
  </si>
  <si>
    <t>Lymphocytes/Single Cells/Live Cells/CD45+/CD11b+ /CCR2+/Ly6cLo | Count</t>
  </si>
  <si>
    <t>Lymphocytes/Single Cells/Live Cells/CD45+/CD11b+ /CD24+ | Count</t>
  </si>
  <si>
    <t>Lymphocytes/Single Cells/Live Cells/CD45+/CD11b+ /CD24+/Ly6G+ Neutrophil | Count</t>
  </si>
  <si>
    <t>Lymphocytes/Single Cells/Live Cells/CD45+/CD11b+ /Cx3Cr1 | Count</t>
  </si>
  <si>
    <t>Lymphocytes/Single Cells/Live Cells/CD45+/CD11b+ /Cx3Cr1/CD11cLo_-Interstitial Macs | Count</t>
  </si>
  <si>
    <t>Lymphocytes/Single Cells/Live Cells/CD45+/CD11b- | Count</t>
  </si>
  <si>
    <t>Lymphocytes/Single Cells/Live Cells/CD45+/CD11b-/CD11c+ | Count</t>
  </si>
  <si>
    <t>Lymphocytes/Single Cells/Live Cells/CD45+/CD11b-/CD11c+/Siglec F+ Alveolar Macs | Count</t>
  </si>
  <si>
    <t>Lymphocytes/Single Cells/Live Cells/CD45+/CD64- | Count</t>
  </si>
  <si>
    <t>Lymphocytes/Single Cells/Live Cells/CD45+/CD64-/CD11c+ | Count</t>
  </si>
  <si>
    <t>Lymphocytes/Single Cells/Live Cells/CD45+/CD64-/CD11c+/MHC II+ DCs | Count</t>
  </si>
  <si>
    <t>Experiment_016 JDO MALES DAY 3 MYELOID-16_Unmixed.fcs</t>
  </si>
  <si>
    <t>Experiment_016 JDO MALES DAY 3 MYELOID-17_Unmixed.fcs</t>
  </si>
  <si>
    <t>Experiment_016 JDO MALES DAY 3 MYELOID-18_Unmixed.fcs</t>
  </si>
  <si>
    <t>Experiment_016 JDO MALES DAY 3 MYELOID-19_Unmixed.fcs</t>
  </si>
  <si>
    <t>Experiment_016 JDO MALES DAY 3 MYELOID-20_Unmixed.fcs</t>
  </si>
  <si>
    <t>Experiment_016 JDO MALES DAY 3 MYELOID-21_Unmixed.fcs</t>
  </si>
  <si>
    <t>Experiment_016 JDO MALES DAY 3 MYELOID-22_Unmixed.fcs</t>
  </si>
  <si>
    <t>Experiment_016 JDO MALES DAY 3 MYELOID-23_Unmixed.fcs</t>
  </si>
  <si>
    <t>Experiment_016 JDO MALES DAY 3 MYELOID-24_Unmixed.fcs</t>
  </si>
  <si>
    <t>Experiment_016 JDO MALES DAY 3 MYELOID-25_Unmixed.fcs</t>
  </si>
  <si>
    <t>Experiment_016 JDO MALES DAY 3 MYELOID-26_Unmixed.fcs</t>
  </si>
  <si>
    <t>Experiment_016 JDO MALES DAY 3 MYELOID-27_Unmixed.fcs</t>
  </si>
  <si>
    <t>Experiment_016 JDO MALES DAY 3 MYELOID-28_Unmixed.fcs</t>
  </si>
  <si>
    <t>Experiment_016 JDO MALES DAY 3 MYELOID-29_Unmixed.fcs</t>
  </si>
  <si>
    <t>single cells</t>
  </si>
  <si>
    <t>live</t>
  </si>
  <si>
    <t>cd45</t>
  </si>
  <si>
    <t>cd11b</t>
  </si>
  <si>
    <t>CD11b+ ccr2+</t>
  </si>
  <si>
    <t>MFI Ly6C of CD11b+ ccr2+</t>
  </si>
  <si>
    <t>CCR2+ Ly6cHi</t>
  </si>
  <si>
    <t>CCR2+ Ly6cLo</t>
  </si>
  <si>
    <t>Interstitial Macs</t>
  </si>
  <si>
    <t>Avleolar Mac</t>
  </si>
  <si>
    <t>DCs</t>
  </si>
  <si>
    <t>live count</t>
  </si>
  <si>
    <t>live CN</t>
  </si>
  <si>
    <t>Lymphocytes/Single Cells/Live Cells/CD45+/CD11b+ /CD24+/Neutrophils Ly6G+ | Count</t>
  </si>
  <si>
    <t>Experiment_016 JDO Males Day 5 Myeloid-46_Unmixed.fcs</t>
  </si>
  <si>
    <t>Experiment_016 JDO Males Day 5 Myeloid-47_Unmixed.fcs</t>
  </si>
  <si>
    <t>Experiment_016 JDO Males Day 5 Myeloid-48_Unmixed.fcs</t>
  </si>
  <si>
    <t>Experiment_016 JDO Males Day 5 Myeloid-49_Unmixed.fcs</t>
  </si>
  <si>
    <t>Experiment_016 JDO Males Day 5 Myeloid-50_Unmixed.fcs</t>
  </si>
  <si>
    <t>Experiment_016 JDO Males Day 5 Myeloid-51_Unmixed.fcs</t>
  </si>
  <si>
    <t>Experiment_016 JDO Males Day 5 Myeloid-52_Unmixed.fcs</t>
  </si>
  <si>
    <t>Experiment_016 JDO Males Day 5 Myeloid-53_Unmixed.fcs</t>
  </si>
  <si>
    <t>Experiment_016 JDO Males Day 5 Myeloid-54_Unmixed.fcs</t>
  </si>
  <si>
    <t>Experiment_016 JDO Males Day 5 Myeloid-55_Unmixed.fcs</t>
  </si>
  <si>
    <t>Experiment_016 JDO Males Day 5 Myeloid-56_Unmixed.fcs</t>
  </si>
  <si>
    <t>Experiment_016 JDO Males Day 5 Myeloid-57_Unmixed.fcs</t>
  </si>
  <si>
    <t>Experiment_016 JDO Males Day 5 Myeloid-58_Unmixed.fcs</t>
  </si>
  <si>
    <t>Experiment_016 JDO Males Day 5 Myeloid-59_Unmixed.fcs</t>
  </si>
  <si>
    <t>Experiment_016 JDO Males Day 5 Myeloid-60_Unmixed.fcs</t>
  </si>
  <si>
    <t>Experiment_016 JDO MALES DAY8 MYELOID PANEL-62_Unmixed.fcs</t>
  </si>
  <si>
    <t>Experiment_016 JDO MALES DAY8 MYELOID PANEL-63_Unmixed.fcs</t>
  </si>
  <si>
    <t>Experiment_016 JDO MALES DAY8 MYELOID PANEL-64_Unmixed.fcs</t>
  </si>
  <si>
    <t>Experiment_016 JDO MALES DAY8 MYELOID PANEL-65_Unmixed.fcs</t>
  </si>
  <si>
    <t>Experiment_016 JDO MALES DAY8 MYELOID PANEL-66_Unmixed.fcs</t>
  </si>
  <si>
    <t>Experiment_016 JDO MALES DAY8 MYELOID PANEL-67_Unmixed.fcs</t>
  </si>
  <si>
    <t>Experiment_016 JDO MALES DAY8 MYELOID PANEL-68_Unmixed.fcs</t>
  </si>
  <si>
    <t>Experiment_016 JDO MALES DAY8 MYELOID PANEL-69_Unmixed.fcs</t>
  </si>
  <si>
    <t>Experiment_016 JDO MALES DAY8 MYELOID PANEL-70_Unmixed.fcs</t>
  </si>
  <si>
    <t>Experiment_016 JDO MALES DAY8 MYELOID PANEL-71_Unmixed.fcs</t>
  </si>
  <si>
    <t>Experiment_016 JDO MALES DAY8 MYELOID PANEL-72_Unmixed.fcs</t>
  </si>
  <si>
    <t>Experiment_016 JDO MALES DAY8 MYELOID PANEL-73_Unmixed.fcs</t>
  </si>
  <si>
    <t>Experiment_016 JDO MALES DAY8 MYELOID PANEL-74_Unmixed.fcs</t>
  </si>
  <si>
    <t>Experiment_016 JDO MALES DAY8 MYELOID PANEL-75_Unmixed.fcs</t>
  </si>
  <si>
    <t>Lymphocytes/Single Cells/Live cell  | Count</t>
  </si>
  <si>
    <t>Lymphocytes/Single Cells/Live cell /CD45+ | Count</t>
  </si>
  <si>
    <t>Lymphocytes/Single Cells/Live cell /CD45+/CD11b+  | Count</t>
  </si>
  <si>
    <t>Lymphocytes/Single Cells/Live cell /CD45+/CD11b+ /CCR2+ | Count</t>
  </si>
  <si>
    <t>Lymphocytes/Single Cells/Live cell /CD45+/CD11b+ /CCR2+ | Median (Comp-BV785-A :: null)</t>
  </si>
  <si>
    <t>Lymphocytes/Single Cells/Live cell /CD45+/CD11b+ /CCR2+/Ly6cHi | Count</t>
  </si>
  <si>
    <t>Lymphocytes/Single Cells/Live cell /CD45+/CD11b+ /CCR2+/Ly6cLo | Count</t>
  </si>
  <si>
    <t>Lymphocytes/Single Cells/Live cell /CD45+/CD11b+ /CD24+ | Count</t>
  </si>
  <si>
    <t>Lymphocytes/Single Cells/Live cell /CD45+/CD11b+ /CD24+/Neutrophils Ly6G+ | Count</t>
  </si>
  <si>
    <t>Lymphocytes/Single Cells/Live cell /CD45+/CD11b+ /Cx3Cr1 | Count</t>
  </si>
  <si>
    <t>Lymphocytes/Single Cells/Live cell /CD45+/CD11b+ /Cx3Cr1/CD11cLo_-Interstitial Macs | Count</t>
  </si>
  <si>
    <t>Lymphocytes/Single Cells/Live cell /CD45+/CD11b- | Count</t>
  </si>
  <si>
    <t>Lymphocytes/Single Cells/Live cell /CD45+/CD11b-/CD11c+ | Count</t>
  </si>
  <si>
    <t>Lymphocytes/Single Cells/Live cell /CD45+/CD11b-/CD11c+/Siglec F+ Alveolar Macs | Count</t>
  </si>
  <si>
    <t>Lymphocytes/Single Cells/Live cell /CD45+/CD64- | Count</t>
  </si>
  <si>
    <t>Lymphocytes/Single Cells/Live cell /CD45+/CD64-/CD11c+ | Count</t>
  </si>
  <si>
    <t>Lymphocytes/Single Cells/Live cell /CD45+/CD64-/CD11c+/MHC II+ DCs | Count</t>
  </si>
  <si>
    <t>02.20.21 JDO Males Day 0 Myeloid Panel-Day 0-Myeloid-Tube_001_Unmixed.fcs</t>
  </si>
  <si>
    <t>02.20.21 JDO Males Day 0 Myeloid Panel-Day 0-Myeloid-Tube_002_Unmixed.fcs</t>
  </si>
  <si>
    <t>02.20.21 JDO Males Day 0 Myeloid Panel-Day 0-Myeloid-Tube_003_Unmixed.fcs</t>
  </si>
  <si>
    <t>02.20.21 JDO Males Day 0 Myeloid Panel-Day 0-Myeloid-Tube_004_Unmixed.fcs</t>
  </si>
  <si>
    <t>02.20.21 JDO Males Day 0 Myeloid Panel-Day 0-Myeloid-Tube_005_Unmixed.fcs</t>
  </si>
  <si>
    <t>02.20.21 JDO Males Day 0 Myeloid Panel-Day 0-Myeloid-Tube_006_Unmixed.fcs</t>
  </si>
  <si>
    <t>02.20.21 JDO Males Day 0 Myeloid Panel-Day 0-Myeloid-Tube_007_Unmixed.fcs</t>
  </si>
  <si>
    <t>02.20.21 JDO Males Day 0 Myeloid Panel-Day 0-Myeloid-Tube_008_Unmixed.fcs</t>
  </si>
  <si>
    <t>02.20.21 JDO Males Day 0 Myeloid Panel-Day 0-Myeloid-Tube_009_Unmixed.fcs</t>
  </si>
  <si>
    <t>02.20.21 JDO Males Day 0 Myeloid Panel-Day 0-Myeloid-Tube_010_Unmixed.fcs</t>
  </si>
  <si>
    <t>02.20.21 JDO Males Day 0 Myeloid Panel-Day 0-Myeloid-Tube_011_Unmixed.fcs</t>
  </si>
  <si>
    <t>02.20.21 JDO Males Day 0 Myeloid Panel-Day 0-Myeloid-Tube_012_Unmixed.fcs</t>
  </si>
  <si>
    <t>02.20.21 JDO Males Day 0 Myeloid Panel-Day 0-Myeloid-Tube_013_Unmixed.fcs</t>
  </si>
  <si>
    <t>02.20.21 JDO Males Day 0 Myeloid Panel-Day 0-Myeloid-Tube_014_Unmixed.fcs</t>
  </si>
  <si>
    <t>02.20.21 JDO Males Day 0 Myeloid Panel-Day 0-Myeloid-Tube_015_Unmixed.fcs</t>
  </si>
  <si>
    <t>Experiment_016 JDO Males Day 4 Myeloid-31_Unmixed.fcs</t>
  </si>
  <si>
    <t>Experiment_016 JDO Males Day 4 Myeloid-32_Unmixed.fcs</t>
  </si>
  <si>
    <t>Experiment_016 JDO Males Day 4 Myeloid-33_Unmixed.fcs</t>
  </si>
  <si>
    <t>Experiment_016 JDO Males Day 4 Myeloid-34_Unmixed.fcs</t>
  </si>
  <si>
    <t>Experiment_016 JDO Males Day 4 Myeloid-35_Unmixed.fcs</t>
  </si>
  <si>
    <t>Experiment_016 JDO Males Day 4 Myeloid-36_Unmixed.fcs</t>
  </si>
  <si>
    <t>Experiment_016 JDO Males Day 4 Myeloid-37_Unmixed.fcs</t>
  </si>
  <si>
    <t>Experiment_016 JDO Males Day 4 Myeloid-38_Unmixed.fcs</t>
  </si>
  <si>
    <t>Experiment_016 JDO Males Day 4 Myeloid-39_Unmixed.fcs</t>
  </si>
  <si>
    <t>Experiment_016 JDO Males Day 4 Myeloid-40_Unmixed.fcs</t>
  </si>
  <si>
    <t>Experiment_016 JDO Males Day 4 Myeloid-41_Unmixed.fcs</t>
  </si>
  <si>
    <t>Experiment_016 JDO Males Day 4 Myeloid-42_Unmixed.fcs</t>
  </si>
  <si>
    <t>Experiment_016 JDO Males Day 4 Myeloid-43_Unmixed.fcs</t>
  </si>
  <si>
    <t>Experiment_016 JDO Males Day 4 Myeloid-44_Unmixed.fcs</t>
  </si>
  <si>
    <t>Experiment_016 JDO Males Day 4 Myeloid-45_Unmixed.fcs</t>
  </si>
  <si>
    <t>Lymphocytes/Single Cells/Live/CD45+/CD11b+  | Count</t>
  </si>
  <si>
    <t>Lymphocytes/Single Cells/Live/CD45+/CD11b+ /CCR2+ | Count</t>
  </si>
  <si>
    <t>Lymphocytes/Single Cells/Live/CD45+/CD11b+ /CCR2+ | Median (Comp-BV785-A :: null)</t>
  </si>
  <si>
    <t>Lymphocytes/Single Cells/Live/CD45+/CD11b+ /CCR2+/Ly6cHi | Count</t>
  </si>
  <si>
    <t>Lymphocytes/Single Cells/Live/CD45+/CD11b+ /CCR2+/Ly6cLo | Count</t>
  </si>
  <si>
    <t>Lymphocytes/Single Cells/Live/CD45+/CD11b+ /CD24+ | Count</t>
  </si>
  <si>
    <t>Lymphocytes/Single Cells/Live/CD45+/CD11b+ /CD24+/Ly6G+ Neutrophils | Count</t>
  </si>
  <si>
    <t>Lymphocytes/Single Cells/Live/CD45+/CD11b+ /Cx3Cr1 | Count</t>
  </si>
  <si>
    <t>Lymphocytes/Single Cells/Live/CD45+/CD11b+ /Cx3Cr1/CD11cLo_-Interstitial Macs | Count</t>
  </si>
  <si>
    <t>Lymphocytes/Single Cells/Live/CD45+/CD11b- | Count</t>
  </si>
  <si>
    <t>Lymphocytes/Single Cells/Live/CD45+/CD11b-/CD11c+ | Count</t>
  </si>
  <si>
    <t>Lymphocytes/Single Cells/Live/CD45+/CD11b-/CD11c+/Siglec F+ Alveolar Macs | Count</t>
  </si>
  <si>
    <t>Lymphocytes/Single Cells/Live/CD45+/CD64- | Count</t>
  </si>
  <si>
    <t>Lymphocytes/Single Cells/Live/CD45+/CD64-/CD11c+ | Count</t>
  </si>
  <si>
    <t>Lymphocytes/Single Cells/Live/CD45+/CD64-/CD11c+/MHC II+ DCs | Count</t>
  </si>
  <si>
    <t>4.24.22 exp 022 day 0 myeloid panel-Tube_001_Unmixed.fcs</t>
  </si>
  <si>
    <t>4.24.22 exp 022 day 0 myeloid panel-Tube_002_Unmixed.fcs</t>
  </si>
  <si>
    <t>4.24.22 exp 022 day 0 myeloid panel-Tube_003_Unmixed.fcs</t>
  </si>
  <si>
    <t>4.24.22 exp 022 day 0 myeloid panel-Tube_004_Unmixed.fcs</t>
  </si>
  <si>
    <t>4.24.22 exp 022 day 0 myeloid panel-Tube_006_Unmixed.fcs</t>
  </si>
  <si>
    <t>4.24.22 exp 022 day 0 myeloid panel-Tube_007_Unmixed.fcs</t>
  </si>
  <si>
    <t>4.24.22 exp 022 day 0 myeloid panel-Tube_008_Unmixed.fcs</t>
  </si>
  <si>
    <t>4.24.22 exp 022 day 0 myeloid panel-Tube_009_Unmixed.fcs</t>
  </si>
  <si>
    <t>4.24.22 exp 022 day 0 myeloid panel-Tube_010_Unmixed.fcs</t>
  </si>
  <si>
    <t>4.24.22 exp 022 day 0 myeloid panel-Tube_011_Unmixed.fcs</t>
  </si>
  <si>
    <t>4.24.22 exp 022 day 0 myeloid panel-Tube_012_Unmixed.fcs</t>
  </si>
  <si>
    <t>4.24.22 exp 022 day 0 myeloid panel-Tube_013_Unmixed.fcs</t>
  </si>
  <si>
    <t>4.24.22 exp 022 day 0 myeloid panel-Tube_014_Unmixed.fcs</t>
  </si>
  <si>
    <t>4.24.22 exp 022 day 0 myeloid panel-Tube_015_Unmixed.fcs</t>
  </si>
  <si>
    <t>Cells | Count</t>
  </si>
  <si>
    <t>Cells/Single Cells | Count</t>
  </si>
  <si>
    <t>Cells/Single Cells/Live | Count</t>
  </si>
  <si>
    <t>Cells/Single Cells/Live/CD45+ | Count</t>
  </si>
  <si>
    <t>Cells/Single Cells/Live/CD45+/CD11b+  | Count</t>
  </si>
  <si>
    <t>Cells/Single Cells/Live/CD45+/CD11b+ /CCR2+ | Count</t>
  </si>
  <si>
    <t>Cells/Single Cells/Live/CD45+/CD11b+ /CCR2+ | Median (Comp-BV785-A :: null)</t>
  </si>
  <si>
    <t>Cells/Single Cells/Live/CD45+/CD11b+ /CCR2+/Ly6cHi | Count</t>
  </si>
  <si>
    <t>Cells/Single Cells/Live/CD45+/CD11b+ /CCR2+/Ly6cLo | Count</t>
  </si>
  <si>
    <t>Cells/Single Cells/Live/CD45+/CD11b+ /CD24+ | Count</t>
  </si>
  <si>
    <t>Cells/Single Cells/Live/CD45+/CD11b+ /CD24+/Ly6G+ Neutrophils | Count</t>
  </si>
  <si>
    <t>Cells/Single Cells/Live/CD45+/CD11b+ /Cx3Cr1 | Count</t>
  </si>
  <si>
    <t>Cells/Single Cells/Live/CD45+/CD11b+ /Cx3Cr1/CD11cLo_-Interstitial Macs | Count</t>
  </si>
  <si>
    <t>Cells/Single Cells/Live/CD45+/CD11b- | Count</t>
  </si>
  <si>
    <t>Cells/Single Cells/Live/CD45+/CD11b-/CD11c+ | Count</t>
  </si>
  <si>
    <t>Cells/Single Cells/Live/CD45+/CD11b-/CD11c+/Siglec F+ Alveolar Macs | Count</t>
  </si>
  <si>
    <t>Cells/Single Cells/Live/CD45+/CD64- | Count</t>
  </si>
  <si>
    <t>Cells/Single Cells/Live/CD45+/CD64-/CD11c+ | Count</t>
  </si>
  <si>
    <t>Cells/Single Cells/Live/CD45+/CD64-/CD11c+/MHC II+ DCs | Count</t>
  </si>
  <si>
    <t>4.21.22 exp 022 day 3 myeloid panel-16_Unmixed.fcs</t>
  </si>
  <si>
    <t>4.21.22 exp 022 day 3 myeloid panel-17_Unmixed.fcs</t>
  </si>
  <si>
    <t>4.21.22 exp 022 day 3 myeloid panel-18_Unmixed.fcs</t>
  </si>
  <si>
    <t>4.21.22 exp 022 day 3 myeloid panel-19_Unmixed.fcs</t>
  </si>
  <si>
    <t>4.21.22 exp 022 day 3 myeloid panel-20_Unmixed.fcs</t>
  </si>
  <si>
    <t>4.21.22 exp 022 day 3 myeloid panel-21_Unmixed.fcs</t>
  </si>
  <si>
    <t>4.21.22 exp 022 day 3 myeloid panel-22_Unmixed.fcs</t>
  </si>
  <si>
    <t>4.21.22 exp 022 day 3 myeloid panel-23_Unmixed.fcs</t>
  </si>
  <si>
    <t>4.21.22 exp 022 day 3 myeloid panel-24_Unmixed.fcs</t>
  </si>
  <si>
    <t>4.21.22 exp 022 day 3 myeloid panel-25_Unmixed.fcs</t>
  </si>
  <si>
    <t>4.21.22 exp 022 day 3 myeloid panel-26_Unmixed.fcs</t>
  </si>
  <si>
    <t>4.21.22 exp 022 day 3 myeloid panel-27_Unmixed.fcs</t>
  </si>
  <si>
    <t>4.21.22 exp 022 day 3 myeloid panel-28_Unmixed.fcs</t>
  </si>
  <si>
    <t>4.21.22 exp 022 day 3 myeloid panel-29_Unmixed.fcs</t>
  </si>
  <si>
    <t>4.21.22 exp 022 day 3 myeloid panel-30_Unmixed.fcs</t>
  </si>
  <si>
    <t>4.21.22 exp 022 day 4 myeloid panel-31_Unmixed.fcs</t>
  </si>
  <si>
    <t>4.21.22 exp 022 day 4 myeloid panel-32_Unmixed.fcs</t>
  </si>
  <si>
    <t>4.21.22 exp 022 day 4 myeloid panel-33_Unmixed.fcs</t>
  </si>
  <si>
    <t>4.21.22 exp 022 day 4 myeloid panel-34_Unmixed.fcs</t>
  </si>
  <si>
    <t>4.21.22 exp 022 day 4 myeloid panel-35_Unmixed.fcs</t>
  </si>
  <si>
    <t>4.21.22 exp 022 day 4 myeloid panel-36_Unmixed.fcs</t>
  </si>
  <si>
    <t>4.21.22 exp 022 day 4 myeloid panel-37_Unmixed.fcs</t>
  </si>
  <si>
    <t>4.21.22 exp 022 day 4 myeloid panel-38_Unmixed.fcs</t>
  </si>
  <si>
    <t>4.21.22 exp 022 day 4 myeloid panel-39_Unmixed.fcs</t>
  </si>
  <si>
    <t>4.21.22 exp 022 day 4 myeloid panel-40_Unmixed.fcs</t>
  </si>
  <si>
    <t>4.21.22 exp 022 day 4 myeloid panel-41_Unmixed.fcs</t>
  </si>
  <si>
    <t>4.21.22 exp 022 day 4 myeloid panel-42_Unmixed.fcs</t>
  </si>
  <si>
    <t>4.21.22 exp 022 day 4 myeloid panel-43_Unmixed.fcs</t>
  </si>
  <si>
    <t>4.21.22 exp 022 day 4 myeloid panel-44_Unmixed.fcs</t>
  </si>
  <si>
    <t>4.21.22 exp 022 day 4 myeloid panel-45_Unmixed.fcs</t>
  </si>
  <si>
    <t>4.21.22 exp 022 day 5 myeloid-46_Unmixed.fcs</t>
  </si>
  <si>
    <t>4.21.22 exp 022 day 5 myeloid-47_Unmixed.fcs</t>
  </si>
  <si>
    <t>4.21.22 exp 022 day 5 myeloid-48_Unmixed.fcs</t>
  </si>
  <si>
    <t>4.21.22 exp 022 day 5 myeloid-49_Unmixed.fcs</t>
  </si>
  <si>
    <t>4.21.22 exp 022 day 5 myeloid-50_Unmixed.fcs</t>
  </si>
  <si>
    <t>4.21.22 exp 022 day 5 myeloid-51_Unmixed.fcs</t>
  </si>
  <si>
    <t>4.21.22 exp 022 day 5 myeloid-52_Unmixed.fcs</t>
  </si>
  <si>
    <t>4.21.22 exp 022 day 5 myeloid-53_Unmixed.fcs</t>
  </si>
  <si>
    <t>4.21.22 exp 022 day 5 myeloid-54_Unmixed.fcs</t>
  </si>
  <si>
    <t>4.21.22 exp 022 day 5 myeloid-55_Unmixed.fcs</t>
  </si>
  <si>
    <t>4.21.22 exp 022 day 5 myeloid-56_Unmixed.fcs</t>
  </si>
  <si>
    <t>4.21.22 exp 022 day 5 myeloid-57_Unmixed.fcs</t>
  </si>
  <si>
    <t>4.21.22 exp 022 day 5 myeloid-58_Unmixed.fcs</t>
  </si>
  <si>
    <t>4.21.22 exp 022 day 5 myeloid-59_Unmixed.fcs</t>
  </si>
  <si>
    <t>4.21.22 exp 022 day 5 myeloid-60_Unmixed.fcs</t>
  </si>
  <si>
    <t>4.24.22 Exp 022 Day 8 Myeloid-61_Unmixed.fcs</t>
  </si>
  <si>
    <t>4.24.22 Exp 022 Day 8 Myeloid-62_Unmixed.fcs</t>
  </si>
  <si>
    <t>4.24.22 Exp 022 Day 8 Myeloid-63_Unmixed.fcs</t>
  </si>
  <si>
    <t>4.24.22 Exp 022 Day 8 Myeloid-64_Unmixed.fcs</t>
  </si>
  <si>
    <t>4.24.22 Exp 022 Day 8 Myeloid-65_Unmixed.fcs</t>
  </si>
  <si>
    <t>4.24.22 Exp 022 Day 8 Myeloid-66_Unmixed.fcs</t>
  </si>
  <si>
    <t>4.24.22 Exp 022 Day 8 Myeloid-67_Unmixed.fcs</t>
  </si>
  <si>
    <t>4.24.22 Exp 022 Day 8 Myeloid-68_Unmixed.fcs</t>
  </si>
  <si>
    <t>4.24.22 Exp 022 Day 8 Myeloid-69_Unmixed.fcs</t>
  </si>
  <si>
    <t>4.24.22 Exp 022 Day 8 Myeloid-70_Unmixed.fcs</t>
  </si>
  <si>
    <t>4.24.22 Exp 022 Day 8 Myeloid-71_Unmixed.fcs</t>
  </si>
  <si>
    <t>4.24.22 Exp 022 Day 8 Myeloid-72_Unmixed.fcs</t>
  </si>
  <si>
    <t>4.24.22 Exp 022 Day 8 Myeloid-73_Unmixed.fcs</t>
  </si>
  <si>
    <t>4.24.22 Exp 022 Day 8 Myeloid-74_Unmixed.fcs</t>
  </si>
  <si>
    <t>4.24.22 Exp 022 Day 8 Myeloid-75_Unmixed.fcs</t>
  </si>
  <si>
    <t>ID</t>
  </si>
  <si>
    <t>Cell counts</t>
  </si>
  <si>
    <t>Average</t>
  </si>
  <si>
    <t>*10^5</t>
  </si>
  <si>
    <t>divided by 2 (RESUSPENDED IN 500 UL)</t>
  </si>
  <si>
    <t>divided by 2 (500 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</si>
</sst>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1" fontId="0" fillId="0" borderId="0" xfId="0" applyNumberFormat="1"/>
    <xf numFmtId="0" fontId="1" fillId="0" borderId="0" xfId="0" applyFont="1"/>
    <xf numFmtId="11" fontId="0" fillId="2" borderId="0" xfId="0" applyNumberFormat="1" applyFill="1"/>
    <xf numFmtId="0" fontId="0" fillId="2" borderId="0" xfId="0" applyFill="1"/>
    <xf numFmtId="2" fontId="0" fillId="0" borderId="0" xfId="0" applyNumberFormat="1"/>
    <xf numFmtId="1" fontId="0" fillId="0" borderId="0" xfId="0" applyNumberFormat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1" fontId="2" fillId="0" borderId="0" xfId="0" applyNumberFormat="1" applyFont="1" applyAlignment="1">
      <alignment wrapText="1"/>
    </xf>
    <xf numFmtId="1" fontId="0" fillId="5" borderId="0" xfId="0" applyNumberFormat="1" applyFill="1"/>
    <xf numFmtId="11" fontId="0" fillId="5" borderId="0" xfId="0" applyNumberFormat="1" applyFill="1"/>
    <xf numFmtId="1" fontId="3" fillId="0" borderId="0" xfId="0" applyNumberFormat="1" applyFont="1"/>
    <xf numFmtId="0" fontId="3" fillId="6" borderId="0" xfId="0" applyFont="1" applyFill="1"/>
    <xf numFmtId="11" fontId="3" fillId="6" borderId="0" xfId="0" applyNumberFormat="1" applyFont="1" applyFill="1"/>
    <xf numFmtId="11" fontId="3" fillId="7" borderId="0" xfId="0" applyNumberFormat="1" applyFont="1" applyFill="1"/>
    <xf numFmtId="0" fontId="3" fillId="7" borderId="0" xfId="0" applyFont="1" applyFill="1"/>
    <xf numFmtId="11" fontId="0" fillId="3" borderId="0" xfId="0" applyNumberFormat="1" applyFill="1"/>
    <xf numFmtId="1" fontId="0" fillId="2" borderId="0" xfId="0" applyNumberFormat="1" applyFill="1"/>
    <xf numFmtId="0" fontId="3" fillId="5" borderId="0" xfId="0" applyFont="1" applyFill="1"/>
    <xf numFmtId="11" fontId="3" fillId="5" borderId="0" xfId="0" applyNumberFormat="1" applyFont="1" applyFill="1"/>
    <xf numFmtId="0" fontId="0" fillId="8" borderId="0" xfId="0" applyFill="1"/>
    <xf numFmtId="11" fontId="0" fillId="8" borderId="0" xfId="0" applyNumberFormat="1" applyFill="1"/>
    <xf numFmtId="11" fontId="3" fillId="8" borderId="0" xfId="0" applyNumberFormat="1" applyFont="1" applyFill="1"/>
    <xf numFmtId="1" fontId="0" fillId="8" borderId="0" xfId="0" applyNumberFormat="1" applyFill="1"/>
    <xf numFmtId="0" fontId="0" fillId="9" borderId="0" xfId="0" applyFill="1"/>
    <xf numFmtId="11" fontId="0" fillId="9" borderId="0" xfId="0" applyNumberFormat="1" applyFill="1"/>
    <xf numFmtId="0" fontId="0" fillId="10" borderId="0" xfId="0" applyFill="1"/>
    <xf numFmtId="11" fontId="0" fillId="10" borderId="0" xfId="0" applyNumberFormat="1" applyFill="1"/>
    <xf numFmtId="0" fontId="0" fillId="11" borderId="0" xfId="0" applyFill="1"/>
    <xf numFmtId="11" fontId="0" fillId="11" borderId="0" xfId="0" applyNumberFormat="1" applyFill="1"/>
    <xf numFmtId="0" fontId="0" fillId="12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0B06-35D2-A24C-82E6-ED0FDA1DABFC}">
  <dimension ref="A1:C29"/>
  <sheetViews>
    <sheetView topLeftCell="A19" workbookViewId="0">
      <selection activeCell="A23" sqref="A23"/>
    </sheetView>
  </sheetViews>
  <sheetFormatPr defaultColWidth="11" defaultRowHeight="15.75" x14ac:dyDescent="0.25"/>
  <cols>
    <col min="1" max="1" width="26.125" customWidth="1"/>
    <col min="2" max="2" width="25" bestFit="1" customWidth="1"/>
    <col min="3" max="3" width="37.375" bestFit="1" customWidth="1"/>
  </cols>
  <sheetData>
    <row r="1" spans="1:3" x14ac:dyDescent="0.25">
      <c r="A1" t="s">
        <v>0</v>
      </c>
    </row>
    <row r="3" spans="1:3" x14ac:dyDescent="0.25">
      <c r="A3" t="s">
        <v>1</v>
      </c>
    </row>
    <row r="6" spans="1:3" x14ac:dyDescent="0.25">
      <c r="A6" t="s">
        <v>2</v>
      </c>
      <c r="B6" t="s">
        <v>3</v>
      </c>
    </row>
    <row r="7" spans="1:3" x14ac:dyDescent="0.25">
      <c r="A7" t="s">
        <v>4</v>
      </c>
      <c r="B7" t="s">
        <v>5</v>
      </c>
    </row>
    <row r="13" spans="1:3" x14ac:dyDescent="0.25">
      <c r="A13" s="4" t="s">
        <v>6</v>
      </c>
      <c r="B13" s="4" t="s">
        <v>7</v>
      </c>
    </row>
    <row r="14" spans="1:3" x14ac:dyDescent="0.25">
      <c r="A14" t="s">
        <v>8</v>
      </c>
      <c r="B14" t="s">
        <v>8</v>
      </c>
    </row>
    <row r="15" spans="1:3" x14ac:dyDescent="0.25">
      <c r="A15" s="4" t="s">
        <v>9</v>
      </c>
      <c r="B15" s="4" t="s">
        <v>10</v>
      </c>
      <c r="C15" s="29" t="s">
        <v>11</v>
      </c>
    </row>
    <row r="16" spans="1:3" x14ac:dyDescent="0.25">
      <c r="A16" s="4" t="s">
        <v>12</v>
      </c>
      <c r="B16" s="4" t="s">
        <v>13</v>
      </c>
    </row>
    <row r="17" spans="1:2" x14ac:dyDescent="0.25">
      <c r="A17" s="4" t="s">
        <v>14</v>
      </c>
      <c r="B17" s="4" t="s">
        <v>15</v>
      </c>
    </row>
    <row r="18" spans="1:2" x14ac:dyDescent="0.25">
      <c r="A18" s="4" t="s">
        <v>16</v>
      </c>
      <c r="B18" s="4" t="s">
        <v>17</v>
      </c>
    </row>
    <row r="19" spans="1:2" x14ac:dyDescent="0.25">
      <c r="A19" s="4" t="s">
        <v>18</v>
      </c>
      <c r="B19" s="4" t="s">
        <v>19</v>
      </c>
    </row>
    <row r="20" spans="1:2" x14ac:dyDescent="0.25">
      <c r="A20" s="4" t="s">
        <v>20</v>
      </c>
      <c r="B20" s="4" t="s">
        <v>21</v>
      </c>
    </row>
    <row r="21" spans="1:2" x14ac:dyDescent="0.25">
      <c r="A21" s="4" t="s">
        <v>22</v>
      </c>
      <c r="B21" s="4" t="s">
        <v>23</v>
      </c>
    </row>
    <row r="22" spans="1:2" x14ac:dyDescent="0.25">
      <c r="A22" s="4" t="s">
        <v>24</v>
      </c>
    </row>
    <row r="23" spans="1:2" x14ac:dyDescent="0.25">
      <c r="A23" s="4" t="s">
        <v>25</v>
      </c>
    </row>
    <row r="25" spans="1:2" ht="21" x14ac:dyDescent="0.35">
      <c r="A25" s="34" t="s">
        <v>26</v>
      </c>
    </row>
    <row r="26" spans="1:2" x14ac:dyDescent="0.25">
      <c r="A26" s="33" t="s">
        <v>27</v>
      </c>
    </row>
    <row r="27" spans="1:2" x14ac:dyDescent="0.25">
      <c r="A27" s="7" t="s">
        <v>28</v>
      </c>
    </row>
    <row r="28" spans="1:2" x14ac:dyDescent="0.25">
      <c r="A28" s="8" t="s">
        <v>29</v>
      </c>
    </row>
    <row r="29" spans="1:2" x14ac:dyDescent="0.25">
      <c r="A29" s="1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F36F-36A6-844E-BA6B-B8460F841E73}">
  <dimension ref="A1:X71"/>
  <sheetViews>
    <sheetView topLeftCell="A29" zoomScale="75" workbookViewId="0">
      <selection activeCell="R55" sqref="R55"/>
    </sheetView>
  </sheetViews>
  <sheetFormatPr defaultColWidth="11" defaultRowHeight="15.75" x14ac:dyDescent="0.25"/>
  <cols>
    <col min="1" max="1" width="51" bestFit="1" customWidth="1"/>
    <col min="9" max="9" width="10.875" style="4"/>
    <col min="12" max="12" width="10.875" style="4"/>
    <col min="13" max="13" width="10.875" style="4" customWidth="1"/>
    <col min="16" max="16" width="10.875" style="4" customWidth="1"/>
    <col min="18" max="21" width="10.875" style="4"/>
    <col min="24" max="24" width="10.875" style="4"/>
  </cols>
  <sheetData>
    <row r="1" spans="1:24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s="4" t="s">
        <v>39</v>
      </c>
      <c r="J1" t="s">
        <v>40</v>
      </c>
      <c r="K1" t="s">
        <v>41</v>
      </c>
      <c r="L1" s="4" t="s">
        <v>42</v>
      </c>
      <c r="M1" s="4" t="s">
        <v>43</v>
      </c>
      <c r="N1" t="s">
        <v>44</v>
      </c>
      <c r="O1" t="s">
        <v>45</v>
      </c>
      <c r="P1" s="4" t="s">
        <v>46</v>
      </c>
      <c r="Q1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t="s">
        <v>52</v>
      </c>
      <c r="W1" t="s">
        <v>53</v>
      </c>
      <c r="X1" s="4" t="s">
        <v>54</v>
      </c>
    </row>
    <row r="3" spans="1:24" x14ac:dyDescent="0.25">
      <c r="A3" t="s">
        <v>55</v>
      </c>
      <c r="B3" s="1">
        <v>1500000</v>
      </c>
      <c r="C3" s="1">
        <v>924000</v>
      </c>
      <c r="D3" s="1">
        <v>802000</v>
      </c>
      <c r="E3">
        <v>387095</v>
      </c>
      <c r="F3">
        <v>369164</v>
      </c>
      <c r="G3">
        <v>279970</v>
      </c>
      <c r="H3">
        <v>238624</v>
      </c>
      <c r="I3" s="4">
        <v>31440</v>
      </c>
      <c r="J3">
        <v>342654</v>
      </c>
      <c r="K3">
        <v>97847</v>
      </c>
      <c r="L3" s="4">
        <v>37793</v>
      </c>
      <c r="M3" s="4">
        <v>24447</v>
      </c>
      <c r="N3">
        <v>14337</v>
      </c>
      <c r="O3">
        <v>5769</v>
      </c>
      <c r="P3" s="4">
        <v>494</v>
      </c>
      <c r="Q3">
        <v>2321</v>
      </c>
      <c r="R3" s="4">
        <v>1046</v>
      </c>
      <c r="S3" s="4">
        <v>5173</v>
      </c>
      <c r="T3" s="4">
        <v>13733</v>
      </c>
      <c r="U3" s="4">
        <v>10207</v>
      </c>
      <c r="V3">
        <v>6756</v>
      </c>
      <c r="W3">
        <v>2763</v>
      </c>
      <c r="X3" s="4">
        <v>278</v>
      </c>
    </row>
    <row r="4" spans="1:24" x14ac:dyDescent="0.25">
      <c r="A4" t="s">
        <v>56</v>
      </c>
      <c r="B4" s="1">
        <v>1320000</v>
      </c>
      <c r="C4" s="1">
        <v>875000</v>
      </c>
      <c r="D4" s="1">
        <v>791000</v>
      </c>
      <c r="E4">
        <v>325207</v>
      </c>
      <c r="F4">
        <v>306285</v>
      </c>
      <c r="G4">
        <v>264485</v>
      </c>
      <c r="H4">
        <v>211800</v>
      </c>
      <c r="I4" s="4">
        <v>12617</v>
      </c>
      <c r="J4">
        <v>298082</v>
      </c>
      <c r="K4">
        <v>107769</v>
      </c>
      <c r="L4" s="4">
        <v>50382</v>
      </c>
      <c r="M4" s="4">
        <v>18668</v>
      </c>
      <c r="N4">
        <v>13494</v>
      </c>
      <c r="O4">
        <v>6367</v>
      </c>
      <c r="P4" s="4">
        <v>1343</v>
      </c>
      <c r="Q4">
        <v>902</v>
      </c>
      <c r="R4" s="4">
        <v>639</v>
      </c>
      <c r="S4" s="4">
        <v>8064</v>
      </c>
      <c r="T4" s="4">
        <v>11245</v>
      </c>
      <c r="U4" s="4">
        <v>24182</v>
      </c>
      <c r="V4">
        <v>17697</v>
      </c>
      <c r="W4">
        <v>4833</v>
      </c>
      <c r="X4" s="4">
        <v>1323</v>
      </c>
    </row>
    <row r="5" spans="1:24" x14ac:dyDescent="0.25">
      <c r="A5" t="s">
        <v>57</v>
      </c>
      <c r="B5" s="1">
        <v>1500000</v>
      </c>
      <c r="C5" s="1">
        <v>944000</v>
      </c>
      <c r="D5" s="1">
        <v>823000</v>
      </c>
      <c r="E5" s="1">
        <v>419000</v>
      </c>
      <c r="F5" s="1">
        <v>401000</v>
      </c>
      <c r="G5">
        <v>334823</v>
      </c>
      <c r="H5">
        <v>234663</v>
      </c>
      <c r="I5" s="4">
        <v>50642</v>
      </c>
      <c r="J5">
        <v>350574</v>
      </c>
      <c r="K5">
        <v>163439</v>
      </c>
      <c r="L5" s="4">
        <v>95163</v>
      </c>
      <c r="M5" s="4">
        <v>37535</v>
      </c>
      <c r="N5">
        <v>24692</v>
      </c>
      <c r="O5">
        <v>10985</v>
      </c>
      <c r="P5" s="4">
        <v>955</v>
      </c>
      <c r="Q5">
        <v>3164</v>
      </c>
      <c r="R5" s="4">
        <v>1568</v>
      </c>
      <c r="S5" s="4">
        <v>14185</v>
      </c>
      <c r="T5" s="4">
        <v>32286</v>
      </c>
      <c r="U5" s="4">
        <v>41776</v>
      </c>
      <c r="V5">
        <v>34062</v>
      </c>
      <c r="W5">
        <v>14376</v>
      </c>
      <c r="X5" s="4">
        <v>1295</v>
      </c>
    </row>
    <row r="6" spans="1:24" x14ac:dyDescent="0.25">
      <c r="A6" t="s">
        <v>58</v>
      </c>
      <c r="B6" s="1">
        <v>871000</v>
      </c>
      <c r="C6" s="1">
        <v>601000</v>
      </c>
      <c r="D6" s="1">
        <v>556000</v>
      </c>
      <c r="E6">
        <v>306228</v>
      </c>
      <c r="F6">
        <v>295678</v>
      </c>
      <c r="G6">
        <v>252066</v>
      </c>
      <c r="H6">
        <v>157157</v>
      </c>
      <c r="I6" s="4">
        <v>21325</v>
      </c>
      <c r="J6">
        <v>283499</v>
      </c>
      <c r="K6">
        <v>155541</v>
      </c>
      <c r="L6" s="4">
        <v>91657</v>
      </c>
      <c r="M6" s="4">
        <v>27145</v>
      </c>
      <c r="N6">
        <v>14291</v>
      </c>
      <c r="O6">
        <v>8849</v>
      </c>
      <c r="P6" s="4">
        <v>1270</v>
      </c>
      <c r="Q6">
        <v>955</v>
      </c>
      <c r="R6" s="4">
        <v>726</v>
      </c>
      <c r="S6" s="4">
        <v>10118</v>
      </c>
      <c r="T6" s="4">
        <v>11013</v>
      </c>
      <c r="U6" s="4">
        <v>42478</v>
      </c>
      <c r="V6">
        <v>34078</v>
      </c>
      <c r="W6">
        <v>21868</v>
      </c>
      <c r="X6" s="4">
        <v>3656</v>
      </c>
    </row>
    <row r="7" spans="1:24" x14ac:dyDescent="0.25">
      <c r="A7" t="s">
        <v>59</v>
      </c>
      <c r="B7" s="1">
        <v>1150000</v>
      </c>
      <c r="C7" s="1">
        <v>516000</v>
      </c>
      <c r="D7" s="1">
        <v>453000</v>
      </c>
      <c r="E7">
        <v>108467</v>
      </c>
      <c r="F7">
        <v>98624</v>
      </c>
      <c r="G7">
        <v>82125</v>
      </c>
      <c r="H7">
        <v>63801</v>
      </c>
      <c r="I7" s="4">
        <v>15150</v>
      </c>
      <c r="J7">
        <v>83647</v>
      </c>
      <c r="K7">
        <v>27646</v>
      </c>
      <c r="L7" s="4">
        <v>15301</v>
      </c>
      <c r="M7" s="4">
        <v>10378</v>
      </c>
      <c r="N7">
        <v>2767</v>
      </c>
      <c r="O7">
        <v>1791</v>
      </c>
      <c r="P7" s="4">
        <v>296</v>
      </c>
      <c r="Q7">
        <v>1613</v>
      </c>
      <c r="R7" s="4">
        <v>818</v>
      </c>
      <c r="S7" s="4">
        <v>412</v>
      </c>
      <c r="T7" s="4">
        <v>3054</v>
      </c>
      <c r="U7" s="4">
        <v>3897</v>
      </c>
      <c r="V7">
        <v>594</v>
      </c>
      <c r="W7">
        <v>213</v>
      </c>
      <c r="X7" s="4">
        <v>2</v>
      </c>
    </row>
    <row r="8" spans="1:24" x14ac:dyDescent="0.25">
      <c r="A8" t="s">
        <v>60</v>
      </c>
      <c r="B8" s="1">
        <v>1500000</v>
      </c>
      <c r="C8" s="1">
        <v>765000</v>
      </c>
      <c r="D8" s="1">
        <v>654000</v>
      </c>
      <c r="E8">
        <v>270437</v>
      </c>
      <c r="F8">
        <v>245446</v>
      </c>
      <c r="G8">
        <v>195240</v>
      </c>
      <c r="H8">
        <v>144883</v>
      </c>
      <c r="I8" s="4">
        <v>17421</v>
      </c>
      <c r="J8">
        <v>228499</v>
      </c>
      <c r="K8">
        <v>75001</v>
      </c>
      <c r="L8" s="4">
        <v>44467</v>
      </c>
      <c r="M8" s="4">
        <v>20627</v>
      </c>
      <c r="N8">
        <v>13530</v>
      </c>
      <c r="O8">
        <v>7389</v>
      </c>
      <c r="P8" s="4">
        <v>1375</v>
      </c>
      <c r="Q8">
        <v>1542</v>
      </c>
      <c r="R8" s="4">
        <v>840</v>
      </c>
      <c r="S8" s="4">
        <v>7512</v>
      </c>
      <c r="T8" s="4">
        <v>10881</v>
      </c>
      <c r="U8" s="4">
        <v>10552</v>
      </c>
      <c r="V8">
        <v>5892</v>
      </c>
      <c r="W8">
        <v>2401</v>
      </c>
      <c r="X8" s="4">
        <v>709</v>
      </c>
    </row>
    <row r="9" spans="1:24" x14ac:dyDescent="0.25">
      <c r="A9" t="s">
        <v>61</v>
      </c>
      <c r="B9" s="1">
        <v>1010000</v>
      </c>
      <c r="C9" s="1">
        <v>540000</v>
      </c>
      <c r="D9" s="1">
        <v>471000</v>
      </c>
      <c r="E9">
        <v>149775</v>
      </c>
      <c r="F9">
        <v>141996</v>
      </c>
      <c r="G9">
        <v>112726</v>
      </c>
      <c r="H9">
        <v>86208</v>
      </c>
      <c r="I9" s="4">
        <v>38571</v>
      </c>
      <c r="J9">
        <v>103222</v>
      </c>
      <c r="K9">
        <v>41380</v>
      </c>
      <c r="L9" s="4">
        <v>24559</v>
      </c>
      <c r="M9" s="4">
        <v>17606</v>
      </c>
      <c r="N9">
        <v>5921</v>
      </c>
      <c r="O9">
        <v>3219</v>
      </c>
      <c r="P9" s="4">
        <v>355</v>
      </c>
      <c r="Q9">
        <v>1778</v>
      </c>
      <c r="R9" s="4">
        <v>1002</v>
      </c>
      <c r="S9" s="4">
        <v>2789</v>
      </c>
      <c r="T9" s="4">
        <v>8369</v>
      </c>
      <c r="U9" s="4">
        <v>4665</v>
      </c>
      <c r="V9">
        <v>1557</v>
      </c>
      <c r="W9">
        <v>764</v>
      </c>
      <c r="X9" s="4">
        <v>189</v>
      </c>
    </row>
    <row r="10" spans="1:24" x14ac:dyDescent="0.25">
      <c r="A10" t="s">
        <v>62</v>
      </c>
      <c r="B10" s="1">
        <v>1340000</v>
      </c>
      <c r="C10" s="1">
        <v>783000</v>
      </c>
      <c r="D10" s="1">
        <v>673000</v>
      </c>
      <c r="E10">
        <v>231723</v>
      </c>
      <c r="F10">
        <v>221094</v>
      </c>
      <c r="G10">
        <v>181934</v>
      </c>
      <c r="H10">
        <v>144818</v>
      </c>
      <c r="I10" s="4">
        <v>20657</v>
      </c>
      <c r="J10">
        <v>204291</v>
      </c>
      <c r="K10">
        <v>87923</v>
      </c>
      <c r="L10" s="4">
        <v>40580</v>
      </c>
      <c r="M10" s="4">
        <v>23857</v>
      </c>
      <c r="N10">
        <v>13372</v>
      </c>
      <c r="O10">
        <v>8172</v>
      </c>
      <c r="P10" s="4">
        <v>1395</v>
      </c>
      <c r="Q10">
        <v>1553</v>
      </c>
      <c r="R10" s="4">
        <v>966</v>
      </c>
      <c r="S10" s="4">
        <v>4934</v>
      </c>
      <c r="T10" s="4">
        <v>11285</v>
      </c>
      <c r="U10" s="4">
        <v>12827</v>
      </c>
      <c r="V10">
        <v>9284</v>
      </c>
      <c r="W10">
        <v>4018</v>
      </c>
      <c r="X10" s="4">
        <v>423</v>
      </c>
    </row>
    <row r="11" spans="1:24" x14ac:dyDescent="0.25">
      <c r="A11" t="s">
        <v>63</v>
      </c>
      <c r="B11" s="1">
        <v>1500000</v>
      </c>
      <c r="C11" s="1">
        <v>817000</v>
      </c>
      <c r="D11" s="1">
        <v>702000</v>
      </c>
      <c r="E11">
        <v>241800</v>
      </c>
      <c r="F11">
        <v>223046</v>
      </c>
      <c r="G11">
        <v>184189</v>
      </c>
      <c r="H11">
        <v>132158</v>
      </c>
      <c r="I11" s="4">
        <v>29533</v>
      </c>
      <c r="J11">
        <v>190975</v>
      </c>
      <c r="K11">
        <v>74549</v>
      </c>
      <c r="L11" s="4">
        <v>45373</v>
      </c>
      <c r="M11" s="4">
        <v>21472</v>
      </c>
      <c r="N11">
        <v>10776</v>
      </c>
      <c r="O11">
        <v>4338</v>
      </c>
      <c r="P11" s="4">
        <v>291</v>
      </c>
      <c r="Q11">
        <v>1604</v>
      </c>
      <c r="R11" s="4">
        <v>1079</v>
      </c>
      <c r="S11" s="4">
        <v>3241</v>
      </c>
      <c r="T11" s="4">
        <v>11450</v>
      </c>
      <c r="U11" s="4">
        <v>17840</v>
      </c>
      <c r="V11">
        <v>12445</v>
      </c>
      <c r="W11">
        <v>4621</v>
      </c>
      <c r="X11" s="4">
        <v>512</v>
      </c>
    </row>
    <row r="12" spans="1:24" x14ac:dyDescent="0.25">
      <c r="A12" t="s">
        <v>64</v>
      </c>
      <c r="B12" s="1">
        <v>1500000</v>
      </c>
      <c r="C12" s="1">
        <v>924000</v>
      </c>
      <c r="D12" s="1">
        <v>833000</v>
      </c>
      <c r="E12" s="1">
        <v>445000</v>
      </c>
      <c r="F12" s="1">
        <v>423000</v>
      </c>
      <c r="G12">
        <v>317302</v>
      </c>
      <c r="H12">
        <v>249664</v>
      </c>
      <c r="I12" s="4">
        <v>30828</v>
      </c>
      <c r="J12" s="1">
        <v>401000</v>
      </c>
      <c r="K12">
        <v>138438</v>
      </c>
      <c r="L12" s="4">
        <v>69017</v>
      </c>
      <c r="M12" s="4">
        <v>27410</v>
      </c>
      <c r="N12">
        <v>9228</v>
      </c>
      <c r="O12">
        <v>6789</v>
      </c>
      <c r="P12" s="4">
        <v>2065</v>
      </c>
      <c r="Q12">
        <v>2314</v>
      </c>
      <c r="R12" s="4">
        <v>1762</v>
      </c>
      <c r="S12" s="4">
        <v>6382</v>
      </c>
      <c r="T12" s="4">
        <v>13133</v>
      </c>
      <c r="U12" s="4">
        <v>29699</v>
      </c>
      <c r="V12">
        <v>21692</v>
      </c>
      <c r="W12">
        <v>14712</v>
      </c>
      <c r="X12" s="4">
        <v>3378</v>
      </c>
    </row>
    <row r="13" spans="1:24" x14ac:dyDescent="0.25">
      <c r="A13" t="s">
        <v>65</v>
      </c>
      <c r="B13" s="1">
        <v>1100000</v>
      </c>
      <c r="C13" s="1">
        <v>767000</v>
      </c>
      <c r="D13" s="1">
        <v>696000</v>
      </c>
      <c r="E13" s="1">
        <v>447000</v>
      </c>
      <c r="F13" s="1">
        <v>435000</v>
      </c>
      <c r="G13">
        <v>314249</v>
      </c>
      <c r="H13">
        <v>257054</v>
      </c>
      <c r="I13" s="4">
        <v>27647</v>
      </c>
      <c r="J13" s="1">
        <v>414000</v>
      </c>
      <c r="K13">
        <v>94218</v>
      </c>
      <c r="L13" s="4">
        <v>50444</v>
      </c>
      <c r="M13" s="4">
        <v>32409</v>
      </c>
      <c r="N13">
        <v>5332</v>
      </c>
      <c r="O13">
        <v>2269</v>
      </c>
      <c r="P13" s="4">
        <v>140</v>
      </c>
      <c r="Q13">
        <v>2126</v>
      </c>
      <c r="R13" s="4">
        <v>1386</v>
      </c>
      <c r="S13" s="4">
        <v>2133</v>
      </c>
      <c r="T13" s="4">
        <v>12474</v>
      </c>
      <c r="U13" s="4">
        <v>13263</v>
      </c>
      <c r="V13">
        <v>2081</v>
      </c>
      <c r="W13">
        <v>654</v>
      </c>
      <c r="X13" s="4">
        <v>18</v>
      </c>
    </row>
    <row r="14" spans="1:24" x14ac:dyDescent="0.25">
      <c r="A14" t="s">
        <v>66</v>
      </c>
      <c r="B14" s="1">
        <v>1500000</v>
      </c>
      <c r="C14" s="1">
        <v>974000</v>
      </c>
      <c r="D14" s="1">
        <v>843000</v>
      </c>
      <c r="E14" s="1">
        <v>438000</v>
      </c>
      <c r="F14" s="1">
        <v>421000</v>
      </c>
      <c r="G14">
        <v>341198</v>
      </c>
      <c r="H14">
        <v>257798</v>
      </c>
      <c r="I14" s="4">
        <v>25999</v>
      </c>
      <c r="J14" s="1">
        <v>400000</v>
      </c>
      <c r="K14">
        <v>77524</v>
      </c>
      <c r="L14" s="4">
        <v>45114</v>
      </c>
      <c r="M14" s="4">
        <v>31591</v>
      </c>
      <c r="N14">
        <v>17402</v>
      </c>
      <c r="O14">
        <v>7917</v>
      </c>
      <c r="P14" s="4">
        <v>310</v>
      </c>
      <c r="Q14">
        <v>2320</v>
      </c>
      <c r="R14" s="4">
        <v>1334</v>
      </c>
      <c r="S14" s="4">
        <v>1325</v>
      </c>
      <c r="T14" s="4">
        <v>19881</v>
      </c>
      <c r="U14" s="4">
        <v>12638</v>
      </c>
      <c r="V14">
        <v>7811</v>
      </c>
      <c r="W14">
        <v>2179</v>
      </c>
      <c r="X14" s="4">
        <v>135</v>
      </c>
    </row>
    <row r="15" spans="1:24" x14ac:dyDescent="0.25">
      <c r="A15" t="s">
        <v>67</v>
      </c>
      <c r="B15" s="1">
        <v>596000</v>
      </c>
      <c r="C15">
        <v>332069</v>
      </c>
      <c r="D15">
        <v>299384</v>
      </c>
      <c r="E15">
        <v>110231</v>
      </c>
      <c r="F15">
        <v>102430</v>
      </c>
      <c r="G15">
        <v>85768</v>
      </c>
      <c r="H15">
        <v>62857</v>
      </c>
      <c r="I15" s="4">
        <v>16130</v>
      </c>
      <c r="J15">
        <v>83571</v>
      </c>
      <c r="K15">
        <v>22603</v>
      </c>
      <c r="L15" s="4">
        <v>13335</v>
      </c>
      <c r="M15" s="4">
        <v>8195</v>
      </c>
      <c r="N15">
        <v>4082</v>
      </c>
      <c r="O15">
        <v>1161</v>
      </c>
      <c r="P15" s="4">
        <v>12</v>
      </c>
      <c r="Q15">
        <v>527</v>
      </c>
      <c r="R15" s="4">
        <v>295</v>
      </c>
      <c r="S15" s="4">
        <v>480</v>
      </c>
      <c r="T15" s="4">
        <v>1578</v>
      </c>
      <c r="U15" s="4">
        <v>3523</v>
      </c>
      <c r="V15">
        <v>1255</v>
      </c>
      <c r="W15">
        <v>149</v>
      </c>
      <c r="X15" s="4">
        <v>3</v>
      </c>
    </row>
    <row r="16" spans="1:24" x14ac:dyDescent="0.25">
      <c r="A16" t="s">
        <v>68</v>
      </c>
      <c r="B16" s="1">
        <v>1500000</v>
      </c>
      <c r="C16" s="1">
        <v>989000</v>
      </c>
      <c r="D16" s="1">
        <v>843000</v>
      </c>
      <c r="E16" s="1">
        <v>448000</v>
      </c>
      <c r="F16" s="1">
        <v>421000</v>
      </c>
      <c r="G16">
        <v>364072</v>
      </c>
      <c r="H16">
        <v>255351</v>
      </c>
      <c r="I16" s="4">
        <v>68644</v>
      </c>
      <c r="J16">
        <v>355178</v>
      </c>
      <c r="K16">
        <v>145904</v>
      </c>
      <c r="L16" s="4">
        <v>94182</v>
      </c>
      <c r="M16" s="4">
        <v>38234</v>
      </c>
      <c r="N16">
        <v>22614</v>
      </c>
      <c r="O16">
        <v>13932</v>
      </c>
      <c r="P16" s="4">
        <v>1940</v>
      </c>
      <c r="Q16">
        <v>3427</v>
      </c>
      <c r="R16" s="4">
        <v>2331</v>
      </c>
      <c r="S16" s="4">
        <v>11548</v>
      </c>
      <c r="T16" s="4">
        <v>23963</v>
      </c>
      <c r="U16" s="4">
        <v>42081</v>
      </c>
      <c r="V16">
        <v>32763</v>
      </c>
      <c r="W16">
        <v>14945</v>
      </c>
      <c r="X16" s="4">
        <v>2878</v>
      </c>
    </row>
    <row r="17" spans="1:24" x14ac:dyDescent="0.25">
      <c r="A17" t="s">
        <v>69</v>
      </c>
      <c r="B17" s="1">
        <v>1500000</v>
      </c>
      <c r="C17" s="1">
        <v>981000</v>
      </c>
      <c r="D17" s="1">
        <v>819000</v>
      </c>
      <c r="E17" s="1">
        <v>428000</v>
      </c>
      <c r="F17">
        <v>393121</v>
      </c>
      <c r="G17">
        <v>317838</v>
      </c>
      <c r="H17">
        <v>246714</v>
      </c>
      <c r="I17" s="4">
        <v>30536</v>
      </c>
      <c r="J17">
        <v>365581</v>
      </c>
      <c r="K17">
        <v>125588</v>
      </c>
      <c r="L17" s="4">
        <v>65967</v>
      </c>
      <c r="M17" s="4">
        <v>29006</v>
      </c>
      <c r="N17">
        <v>13198</v>
      </c>
      <c r="O17">
        <v>6809</v>
      </c>
      <c r="P17" s="4">
        <v>555</v>
      </c>
      <c r="Q17">
        <v>2689</v>
      </c>
      <c r="R17" s="4">
        <v>1496</v>
      </c>
      <c r="S17" s="4">
        <v>2023</v>
      </c>
      <c r="T17" s="4">
        <v>10902</v>
      </c>
      <c r="U17" s="4">
        <v>30350</v>
      </c>
      <c r="V17">
        <v>17385</v>
      </c>
      <c r="W17">
        <v>6282</v>
      </c>
      <c r="X17" s="4">
        <v>797</v>
      </c>
    </row>
    <row r="18" spans="1:24" ht="27" customHeight="1" x14ac:dyDescent="0.25">
      <c r="B18" s="1" t="s">
        <v>70</v>
      </c>
      <c r="C18" s="1" t="s">
        <v>71</v>
      </c>
      <c r="D18" s="1" t="s">
        <v>72</v>
      </c>
      <c r="E18" s="1" t="s">
        <v>73</v>
      </c>
      <c r="F18" s="1" t="s">
        <v>74</v>
      </c>
      <c r="G18" s="1" t="s">
        <v>75</v>
      </c>
      <c r="H18" s="1" t="s">
        <v>76</v>
      </c>
      <c r="I18" s="3" t="s">
        <v>18</v>
      </c>
      <c r="J18" s="1" t="s">
        <v>77</v>
      </c>
      <c r="K18" s="1" t="s">
        <v>78</v>
      </c>
      <c r="L18" s="3" t="s">
        <v>12</v>
      </c>
      <c r="M18" s="3" t="s">
        <v>79</v>
      </c>
      <c r="P18" s="4" t="s">
        <v>80</v>
      </c>
      <c r="R18" s="4" t="s">
        <v>25</v>
      </c>
      <c r="S18" s="4" t="s">
        <v>81</v>
      </c>
      <c r="T18" s="4" t="s">
        <v>82</v>
      </c>
      <c r="U18" s="4" t="s">
        <v>83</v>
      </c>
      <c r="X18" s="4" t="s">
        <v>84</v>
      </c>
    </row>
    <row r="19" spans="1:24" x14ac:dyDescent="0.25">
      <c r="B19" s="1"/>
    </row>
    <row r="20" spans="1:24" s="7" customFormat="1" x14ac:dyDescent="0.25">
      <c r="A20" s="7" t="s">
        <v>85</v>
      </c>
    </row>
    <row r="21" spans="1:24" ht="27" customHeight="1" x14ac:dyDescent="0.25">
      <c r="A21" s="7"/>
      <c r="B21" s="1" t="s">
        <v>70</v>
      </c>
      <c r="C21" s="1" t="s">
        <v>71</v>
      </c>
      <c r="D21" s="1" t="s">
        <v>72</v>
      </c>
      <c r="E21" s="1" t="s">
        <v>73</v>
      </c>
      <c r="F21" s="1" t="s">
        <v>74</v>
      </c>
      <c r="G21" s="1" t="s">
        <v>75</v>
      </c>
      <c r="H21" s="1" t="s">
        <v>76</v>
      </c>
      <c r="I21" s="3" t="s">
        <v>18</v>
      </c>
      <c r="J21" s="1" t="s">
        <v>77</v>
      </c>
      <c r="K21" s="1" t="s">
        <v>78</v>
      </c>
      <c r="L21" s="3" t="s">
        <v>12</v>
      </c>
      <c r="M21" s="3" t="s">
        <v>79</v>
      </c>
      <c r="P21" s="4" t="s">
        <v>80</v>
      </c>
      <c r="R21" s="4" t="s">
        <v>25</v>
      </c>
      <c r="S21" s="4" t="s">
        <v>81</v>
      </c>
      <c r="T21" s="4" t="s">
        <v>82</v>
      </c>
      <c r="U21" s="4" t="s">
        <v>83</v>
      </c>
      <c r="X21" s="4" t="s">
        <v>84</v>
      </c>
    </row>
    <row r="22" spans="1:24" x14ac:dyDescent="0.25">
      <c r="A22" s="7">
        <v>61</v>
      </c>
      <c r="F22">
        <f>100*F3/$E3</f>
        <v>95.367803769100604</v>
      </c>
      <c r="G22">
        <f>100*G3/$E3</f>
        <v>72.325914827109628</v>
      </c>
      <c r="H22">
        <f>100*H3/$E3</f>
        <v>61.644815872072748</v>
      </c>
      <c r="I22" s="4">
        <f>100*I3/$E3</f>
        <v>8.1220372260039522</v>
      </c>
      <c r="J22">
        <f t="shared" ref="J22:U22" si="0">100*J3/$E3</f>
        <v>88.519355713713693</v>
      </c>
      <c r="K22">
        <f t="shared" si="0"/>
        <v>25.277257520763637</v>
      </c>
      <c r="L22" s="4">
        <f t="shared" si="0"/>
        <v>9.7632364148335675</v>
      </c>
      <c r="M22" s="4">
        <f t="shared" si="0"/>
        <v>6.3155039460597528</v>
      </c>
      <c r="N22">
        <f t="shared" si="0"/>
        <v>3.7037419754840544</v>
      </c>
      <c r="O22">
        <f t="shared" si="0"/>
        <v>1.4903318306875573</v>
      </c>
      <c r="P22" s="4">
        <f t="shared" si="0"/>
        <v>0.12761725157906972</v>
      </c>
      <c r="Q22">
        <f t="shared" si="0"/>
        <v>0.59959441480773457</v>
      </c>
      <c r="R22" s="4">
        <f t="shared" si="0"/>
        <v>0.27021790516539868</v>
      </c>
      <c r="S22" s="4">
        <f t="shared" si="0"/>
        <v>1.3363644583371006</v>
      </c>
      <c r="T22" s="4">
        <f t="shared" si="0"/>
        <v>3.5477079269946654</v>
      </c>
      <c r="U22" s="4">
        <f t="shared" si="0"/>
        <v>2.6368204187602529</v>
      </c>
      <c r="X22" s="4">
        <f>100*X3/$E3</f>
        <v>7.1816995827897551E-2</v>
      </c>
    </row>
    <row r="23" spans="1:24" x14ac:dyDescent="0.25">
      <c r="A23" s="7">
        <v>62</v>
      </c>
      <c r="F23">
        <f t="shared" ref="F23:G36" si="1">100*F4/$E4</f>
        <v>94.181552057612535</v>
      </c>
      <c r="G23">
        <f t="shared" si="1"/>
        <v>81.328200192492787</v>
      </c>
      <c r="H23">
        <f t="shared" ref="H23:I23" si="2">100*H4/$E4</f>
        <v>65.127749402688139</v>
      </c>
      <c r="I23" s="4">
        <f t="shared" si="2"/>
        <v>3.8796827866558838</v>
      </c>
      <c r="J23">
        <f t="shared" ref="J23:U23" si="3">100*J4/$E4</f>
        <v>91.659158628196806</v>
      </c>
      <c r="K23">
        <f t="shared" si="3"/>
        <v>33.138585577801216</v>
      </c>
      <c r="L23" s="4">
        <f t="shared" si="3"/>
        <v>15.492286451398648</v>
      </c>
      <c r="M23" s="4">
        <f t="shared" si="3"/>
        <v>5.7403438425372144</v>
      </c>
      <c r="N23">
        <f t="shared" si="3"/>
        <v>4.1493571786585157</v>
      </c>
      <c r="O23">
        <f t="shared" si="3"/>
        <v>1.9578299360099876</v>
      </c>
      <c r="P23" s="4">
        <f t="shared" si="3"/>
        <v>0.4129677405467902</v>
      </c>
      <c r="Q23">
        <f t="shared" si="3"/>
        <v>0.27736180340521577</v>
      </c>
      <c r="R23" s="4">
        <f t="shared" si="3"/>
        <v>0.19649023545003644</v>
      </c>
      <c r="S23" s="4">
        <f t="shared" si="3"/>
        <v>2.4796514220173611</v>
      </c>
      <c r="T23" s="4">
        <f t="shared" si="3"/>
        <v>3.4577976488820967</v>
      </c>
      <c r="U23" s="4">
        <f t="shared" si="3"/>
        <v>7.4358793014910507</v>
      </c>
      <c r="X23" s="4">
        <f t="shared" ref="X23" si="4">100*X4/$E4</f>
        <v>0.40681781142472334</v>
      </c>
    </row>
    <row r="24" spans="1:24" x14ac:dyDescent="0.25">
      <c r="A24" s="7">
        <v>63</v>
      </c>
      <c r="F24">
        <f t="shared" si="1"/>
        <v>95.704057279236281</v>
      </c>
      <c r="G24">
        <f t="shared" si="1"/>
        <v>79.910023866348453</v>
      </c>
      <c r="H24">
        <f t="shared" ref="H24:I24" si="5">100*H5/$E5</f>
        <v>56.0054892601432</v>
      </c>
      <c r="I24" s="4">
        <f t="shared" si="5"/>
        <v>12.086396181384249</v>
      </c>
      <c r="J24">
        <f t="shared" ref="J24:U24" si="6">100*J5/$E5</f>
        <v>83.669212410501189</v>
      </c>
      <c r="K24">
        <f t="shared" si="6"/>
        <v>39.006921241050122</v>
      </c>
      <c r="L24" s="4">
        <f t="shared" si="6"/>
        <v>22.711933174224345</v>
      </c>
      <c r="M24" s="4">
        <f t="shared" si="6"/>
        <v>8.9582338902147978</v>
      </c>
      <c r="N24">
        <f t="shared" si="6"/>
        <v>5.8930787589498808</v>
      </c>
      <c r="O24">
        <f t="shared" si="6"/>
        <v>2.6217183770883055</v>
      </c>
      <c r="P24" s="4">
        <f t="shared" si="6"/>
        <v>0.22792362768496421</v>
      </c>
      <c r="Q24">
        <f t="shared" si="6"/>
        <v>0.75513126491646776</v>
      </c>
      <c r="R24" s="4">
        <f t="shared" si="6"/>
        <v>0.37422434367541768</v>
      </c>
      <c r="S24" s="4">
        <f t="shared" si="6"/>
        <v>3.3854415274463006</v>
      </c>
      <c r="T24" s="4">
        <f t="shared" si="6"/>
        <v>7.7054892601431977</v>
      </c>
      <c r="U24" s="4">
        <f t="shared" si="6"/>
        <v>9.9704057279236284</v>
      </c>
      <c r="X24" s="4">
        <f t="shared" ref="X24" si="7">100*X5/$E5</f>
        <v>0.30906921241050117</v>
      </c>
    </row>
    <row r="25" spans="1:24" x14ac:dyDescent="0.25">
      <c r="A25" s="7">
        <v>64</v>
      </c>
      <c r="F25">
        <f t="shared" si="1"/>
        <v>96.554854552816849</v>
      </c>
      <c r="G25">
        <f t="shared" si="1"/>
        <v>82.313178416082138</v>
      </c>
      <c r="H25">
        <f t="shared" ref="H25:I25" si="8">100*H6/$E6</f>
        <v>51.320258108337576</v>
      </c>
      <c r="I25" s="4">
        <f t="shared" si="8"/>
        <v>6.963765560301475</v>
      </c>
      <c r="J25">
        <f t="shared" ref="J25:U25" si="9">100*J6/$E6</f>
        <v>92.577752524262962</v>
      </c>
      <c r="K25">
        <f t="shared" si="9"/>
        <v>50.792546729887533</v>
      </c>
      <c r="L25" s="4">
        <f t="shared" si="9"/>
        <v>29.930966469428007</v>
      </c>
      <c r="M25" s="4">
        <f t="shared" si="9"/>
        <v>8.8643102524916078</v>
      </c>
      <c r="N25">
        <f t="shared" si="9"/>
        <v>4.6667842261321626</v>
      </c>
      <c r="O25">
        <f t="shared" si="9"/>
        <v>2.8896769727131417</v>
      </c>
      <c r="P25" s="4">
        <f t="shared" si="9"/>
        <v>0.41472366994526955</v>
      </c>
      <c r="Q25">
        <f t="shared" si="9"/>
        <v>0.31185913763600975</v>
      </c>
      <c r="R25" s="4">
        <f t="shared" si="9"/>
        <v>0.23707825541753202</v>
      </c>
      <c r="S25" s="4">
        <f t="shared" si="9"/>
        <v>3.3040740885875883</v>
      </c>
      <c r="T25" s="4">
        <f t="shared" si="9"/>
        <v>3.5963399819742152</v>
      </c>
      <c r="U25" s="4">
        <f t="shared" si="9"/>
        <v>13.871363820421385</v>
      </c>
      <c r="X25" s="4">
        <f t="shared" ref="X25" si="10">100*X6/$E6</f>
        <v>1.1938816829290595</v>
      </c>
    </row>
    <row r="26" spans="1:24" x14ac:dyDescent="0.25">
      <c r="A26" s="7">
        <v>65</v>
      </c>
      <c r="F26">
        <f t="shared" si="1"/>
        <v>90.925350567453691</v>
      </c>
      <c r="G26">
        <f t="shared" si="1"/>
        <v>75.71427254372297</v>
      </c>
      <c r="H26">
        <f t="shared" ref="H26:I26" si="11">100*H7/$E7</f>
        <v>58.820655130131748</v>
      </c>
      <c r="I26" s="4">
        <f t="shared" si="11"/>
        <v>13.967381784321498</v>
      </c>
      <c r="J26">
        <f t="shared" ref="J26:U26" si="12">100*J7/$E7</f>
        <v>77.117464297897058</v>
      </c>
      <c r="K26">
        <f t="shared" si="12"/>
        <v>25.487936423059548</v>
      </c>
      <c r="L26" s="4">
        <f t="shared" si="12"/>
        <v>14.106594632468861</v>
      </c>
      <c r="M26" s="4">
        <f t="shared" si="12"/>
        <v>9.567887007108153</v>
      </c>
      <c r="N26">
        <f t="shared" si="12"/>
        <v>2.5510062968460452</v>
      </c>
      <c r="O26">
        <f t="shared" si="12"/>
        <v>1.6511934505425614</v>
      </c>
      <c r="P26" s="4">
        <f t="shared" si="12"/>
        <v>0.27289405994449922</v>
      </c>
      <c r="Q26">
        <f t="shared" si="12"/>
        <v>1.48708823881918</v>
      </c>
      <c r="R26" s="4">
        <f t="shared" si="12"/>
        <v>0.7541464224141905</v>
      </c>
      <c r="S26" s="4">
        <f t="shared" si="12"/>
        <v>0.37983902938220843</v>
      </c>
      <c r="T26" s="4">
        <f t="shared" si="12"/>
        <v>2.8156029022652049</v>
      </c>
      <c r="U26" s="4">
        <f t="shared" si="12"/>
        <v>3.5927978094720054</v>
      </c>
      <c r="X26" s="4">
        <f t="shared" ref="X26" si="13">100*X7/$E7</f>
        <v>1.8438787834087788E-3</v>
      </c>
    </row>
    <row r="27" spans="1:24" x14ac:dyDescent="0.25">
      <c r="A27" s="7">
        <v>66</v>
      </c>
      <c r="F27">
        <f t="shared" si="1"/>
        <v>90.759030753927902</v>
      </c>
      <c r="G27">
        <f t="shared" si="1"/>
        <v>72.194263358933867</v>
      </c>
      <c r="H27">
        <f t="shared" ref="H27:I27" si="14">100*H8/$E8</f>
        <v>53.573660408893751</v>
      </c>
      <c r="I27" s="4">
        <f t="shared" si="14"/>
        <v>6.4417960560130458</v>
      </c>
      <c r="J27">
        <f t="shared" ref="J27:U27" si="15">100*J8/$E8</f>
        <v>84.492506572695305</v>
      </c>
      <c r="K27">
        <f t="shared" si="15"/>
        <v>27.733261351072525</v>
      </c>
      <c r="L27" s="4">
        <f t="shared" si="15"/>
        <v>16.442646531354807</v>
      </c>
      <c r="M27" s="4">
        <f t="shared" si="15"/>
        <v>7.627284728051265</v>
      </c>
      <c r="N27">
        <f t="shared" si="15"/>
        <v>5.0030136408849382</v>
      </c>
      <c r="O27">
        <f t="shared" si="15"/>
        <v>2.7322444783812867</v>
      </c>
      <c r="P27" s="4">
        <f t="shared" si="15"/>
        <v>0.50843634561838802</v>
      </c>
      <c r="Q27">
        <f t="shared" si="15"/>
        <v>0.57018825086803948</v>
      </c>
      <c r="R27" s="4">
        <f t="shared" si="15"/>
        <v>0.31060838568686977</v>
      </c>
      <c r="S27" s="4">
        <f t="shared" si="15"/>
        <v>2.7777264205711498</v>
      </c>
      <c r="T27" s="4">
        <f t="shared" si="15"/>
        <v>4.0234879103081314</v>
      </c>
      <c r="U27" s="4">
        <f t="shared" si="15"/>
        <v>3.9018329592474403</v>
      </c>
      <c r="X27" s="4">
        <f t="shared" ref="X27" si="16">100*X8/$E8</f>
        <v>0.262168268395227</v>
      </c>
    </row>
    <row r="28" spans="1:24" x14ac:dyDescent="0.25">
      <c r="A28" s="7">
        <v>67</v>
      </c>
      <c r="F28">
        <f t="shared" si="1"/>
        <v>94.806209313970953</v>
      </c>
      <c r="G28">
        <f t="shared" si="1"/>
        <v>75.263562009681195</v>
      </c>
      <c r="H28">
        <f t="shared" ref="H28" si="17">100*H9/$E9</f>
        <v>57.558337506259392</v>
      </c>
      <c r="I28" s="4">
        <f>100*I9/$E9</f>
        <v>25.752628943415122</v>
      </c>
      <c r="J28">
        <f t="shared" ref="J28:U28" si="18">100*J9/$E9</f>
        <v>68.918043732265062</v>
      </c>
      <c r="K28">
        <f t="shared" si="18"/>
        <v>27.628108829911532</v>
      </c>
      <c r="L28" s="4">
        <f t="shared" si="18"/>
        <v>16.397262560507428</v>
      </c>
      <c r="M28" s="4">
        <f t="shared" si="18"/>
        <v>11.754965782006343</v>
      </c>
      <c r="N28">
        <f t="shared" si="18"/>
        <v>3.9532632281755968</v>
      </c>
      <c r="O28">
        <f t="shared" si="18"/>
        <v>2.1492238357536304</v>
      </c>
      <c r="P28" s="4">
        <f t="shared" si="18"/>
        <v>0.23702219996661658</v>
      </c>
      <c r="Q28">
        <f t="shared" si="18"/>
        <v>1.1871140043398432</v>
      </c>
      <c r="R28" s="4">
        <f t="shared" si="18"/>
        <v>0.66900350525788688</v>
      </c>
      <c r="S28" s="4">
        <f t="shared" si="18"/>
        <v>1.8621265231180104</v>
      </c>
      <c r="T28" s="4">
        <f t="shared" si="18"/>
        <v>5.5877149056918709</v>
      </c>
      <c r="U28" s="4">
        <f t="shared" si="18"/>
        <v>3.1146720080120178</v>
      </c>
      <c r="X28" s="4">
        <f>100*X9/$E9</f>
        <v>0.12618928392588882</v>
      </c>
    </row>
    <row r="29" spans="1:24" x14ac:dyDescent="0.25">
      <c r="A29" s="7">
        <v>68</v>
      </c>
      <c r="F29">
        <f t="shared" si="1"/>
        <v>95.413057831980424</v>
      </c>
      <c r="G29">
        <f t="shared" si="1"/>
        <v>78.513570081519745</v>
      </c>
      <c r="H29">
        <f t="shared" ref="H29:I29" si="19">100*H10/$E10</f>
        <v>62.496169996072901</v>
      </c>
      <c r="I29" s="4">
        <f t="shared" si="19"/>
        <v>8.9145229433418347</v>
      </c>
      <c r="J29">
        <f t="shared" ref="J29:U29" si="20">100*J10/$E10</f>
        <v>88.161727579912224</v>
      </c>
      <c r="K29">
        <f t="shared" si="20"/>
        <v>37.943147637480955</v>
      </c>
      <c r="L29" s="4">
        <f t="shared" si="20"/>
        <v>17.512288378797098</v>
      </c>
      <c r="M29" s="4">
        <f t="shared" si="20"/>
        <v>10.295482105790104</v>
      </c>
      <c r="N29">
        <f t="shared" si="20"/>
        <v>5.7706831000807002</v>
      </c>
      <c r="O29">
        <f t="shared" si="20"/>
        <v>3.5266244611022644</v>
      </c>
      <c r="P29" s="4">
        <f t="shared" si="20"/>
        <v>0.60201188487979185</v>
      </c>
      <c r="Q29">
        <f t="shared" si="20"/>
        <v>0.67019674352567504</v>
      </c>
      <c r="R29" s="4">
        <f t="shared" si="20"/>
        <v>0.41687704716407087</v>
      </c>
      <c r="S29" s="4">
        <f t="shared" si="20"/>
        <v>2.1292664085999231</v>
      </c>
      <c r="T29" s="4">
        <f t="shared" si="20"/>
        <v>4.8700387963214702</v>
      </c>
      <c r="U29" s="4">
        <f t="shared" si="20"/>
        <v>5.5354884927262296</v>
      </c>
      <c r="X29" s="4">
        <f t="shared" ref="X29" si="21">100*X10/$E10</f>
        <v>0.18254553928613043</v>
      </c>
    </row>
    <row r="30" spans="1:24" x14ac:dyDescent="0.25">
      <c r="A30" s="7">
        <v>69</v>
      </c>
      <c r="F30">
        <f t="shared" si="1"/>
        <v>92.244003308519439</v>
      </c>
      <c r="G30">
        <f t="shared" si="1"/>
        <v>76.174110835401152</v>
      </c>
      <c r="H30">
        <f t="shared" ref="H30:I30" si="22">100*H11/$E11</f>
        <v>54.655913978494624</v>
      </c>
      <c r="I30" s="4">
        <f t="shared" si="22"/>
        <v>12.213813068651778</v>
      </c>
      <c r="J30">
        <f t="shared" ref="J30:U30" si="23">100*J11/$E11</f>
        <v>78.980562448304383</v>
      </c>
      <c r="K30">
        <f t="shared" si="23"/>
        <v>30.830851943755171</v>
      </c>
      <c r="L30" s="4">
        <f t="shared" si="23"/>
        <v>18.764681555004135</v>
      </c>
      <c r="M30" s="4">
        <f t="shared" si="23"/>
        <v>8.8800661703887513</v>
      </c>
      <c r="N30">
        <f t="shared" si="23"/>
        <v>4.4565756823821339</v>
      </c>
      <c r="O30">
        <f t="shared" si="23"/>
        <v>1.7940446650124069</v>
      </c>
      <c r="P30" s="4">
        <f t="shared" si="23"/>
        <v>0.12034739454094293</v>
      </c>
      <c r="Q30">
        <f t="shared" si="23"/>
        <v>0.66335814722911501</v>
      </c>
      <c r="R30" s="4">
        <f t="shared" si="23"/>
        <v>0.44623655913978494</v>
      </c>
      <c r="S30" s="4">
        <f t="shared" si="23"/>
        <v>1.3403639371381306</v>
      </c>
      <c r="T30" s="4">
        <f t="shared" si="23"/>
        <v>4.7353184449958645</v>
      </c>
      <c r="U30" s="4">
        <f t="shared" si="23"/>
        <v>7.3779983457402816</v>
      </c>
      <c r="X30" s="4">
        <f t="shared" ref="X30" si="24">100*X11/$E11</f>
        <v>0.21174524400330852</v>
      </c>
    </row>
    <row r="31" spans="1:24" x14ac:dyDescent="0.25">
      <c r="A31" s="7">
        <v>70</v>
      </c>
      <c r="F31">
        <f t="shared" si="1"/>
        <v>95.056179775280896</v>
      </c>
      <c r="G31">
        <f t="shared" si="1"/>
        <v>71.303820224719104</v>
      </c>
      <c r="H31">
        <f t="shared" ref="H31:I31" si="25">100*H12/$E12</f>
        <v>56.104269662921347</v>
      </c>
      <c r="I31" s="4">
        <f t="shared" si="25"/>
        <v>6.9276404494382025</v>
      </c>
      <c r="J31">
        <f t="shared" ref="J31:U31" si="26">100*J12/$E12</f>
        <v>90.112359550561791</v>
      </c>
      <c r="K31">
        <f t="shared" si="26"/>
        <v>31.109662921348313</v>
      </c>
      <c r="L31" s="4">
        <f t="shared" si="26"/>
        <v>15.509438202247191</v>
      </c>
      <c r="M31" s="4">
        <f t="shared" si="26"/>
        <v>6.1595505617977526</v>
      </c>
      <c r="N31">
        <f t="shared" si="26"/>
        <v>2.0737078651685392</v>
      </c>
      <c r="O31">
        <f t="shared" si="26"/>
        <v>1.5256179775280898</v>
      </c>
      <c r="P31" s="4">
        <f t="shared" si="26"/>
        <v>0.46404494382022471</v>
      </c>
      <c r="Q31">
        <f t="shared" si="26"/>
        <v>0.52</v>
      </c>
      <c r="R31" s="4">
        <f t="shared" si="26"/>
        <v>0.39595505617977528</v>
      </c>
      <c r="S31" s="4">
        <f t="shared" si="26"/>
        <v>1.4341573033707866</v>
      </c>
      <c r="T31" s="4">
        <f t="shared" si="26"/>
        <v>2.95123595505618</v>
      </c>
      <c r="U31" s="4">
        <f t="shared" si="26"/>
        <v>6.6739325842696626</v>
      </c>
      <c r="X31" s="4">
        <f t="shared" ref="X31" si="27">100*X12/$E12</f>
        <v>0.75910112359550563</v>
      </c>
    </row>
    <row r="32" spans="1:24" x14ac:dyDescent="0.25">
      <c r="A32" s="7">
        <v>71</v>
      </c>
      <c r="F32">
        <f t="shared" si="1"/>
        <v>97.31543624161074</v>
      </c>
      <c r="G32">
        <f t="shared" si="1"/>
        <v>70.301789709172255</v>
      </c>
      <c r="H32">
        <f t="shared" ref="H32:I32" si="28">100*H13/$E13</f>
        <v>57.506487695749442</v>
      </c>
      <c r="I32" s="4">
        <f t="shared" si="28"/>
        <v>6.1850111856823267</v>
      </c>
      <c r="J32">
        <f t="shared" ref="J32:U32" si="29">100*J13/$E13</f>
        <v>92.617449664429529</v>
      </c>
      <c r="K32">
        <f t="shared" si="29"/>
        <v>21.077852348993289</v>
      </c>
      <c r="L32" s="4">
        <f t="shared" si="29"/>
        <v>11.285011185682327</v>
      </c>
      <c r="M32" s="4">
        <f t="shared" si="29"/>
        <v>7.2503355704697983</v>
      </c>
      <c r="N32">
        <f t="shared" si="29"/>
        <v>1.1928411633109619</v>
      </c>
      <c r="O32">
        <f t="shared" si="29"/>
        <v>0.50760626398210296</v>
      </c>
      <c r="P32" s="4">
        <f t="shared" si="29"/>
        <v>3.1319910514541388E-2</v>
      </c>
      <c r="Q32">
        <f t="shared" si="29"/>
        <v>0.47561521252796418</v>
      </c>
      <c r="R32" s="4">
        <f t="shared" si="29"/>
        <v>0.31006711409395971</v>
      </c>
      <c r="S32" s="4">
        <f t="shared" si="29"/>
        <v>0.4771812080536913</v>
      </c>
      <c r="T32" s="4">
        <f t="shared" si="29"/>
        <v>2.7906040268456378</v>
      </c>
      <c r="U32" s="4">
        <f t="shared" si="29"/>
        <v>2.9671140939597316</v>
      </c>
      <c r="X32" s="4">
        <f t="shared" ref="X32" si="30">100*X13/$E13</f>
        <v>4.0268456375838931E-3</v>
      </c>
    </row>
    <row r="33" spans="1:24" x14ac:dyDescent="0.25">
      <c r="A33" s="7">
        <v>72</v>
      </c>
      <c r="F33">
        <f t="shared" si="1"/>
        <v>96.118721461187221</v>
      </c>
      <c r="G33">
        <f t="shared" si="1"/>
        <v>77.899086757990872</v>
      </c>
      <c r="H33">
        <f t="shared" ref="H33:I33" si="31">100*H14/$E14</f>
        <v>58.857990867579908</v>
      </c>
      <c r="I33" s="4">
        <f t="shared" si="31"/>
        <v>5.9358447488584476</v>
      </c>
      <c r="J33">
        <f t="shared" ref="J33:U33" si="32">100*J14/$E14</f>
        <v>91.324200913242009</v>
      </c>
      <c r="K33">
        <f t="shared" si="32"/>
        <v>17.699543378995433</v>
      </c>
      <c r="L33" s="4">
        <f t="shared" si="32"/>
        <v>10.3</v>
      </c>
      <c r="M33" s="4">
        <f t="shared" si="32"/>
        <v>7.2125570776255712</v>
      </c>
      <c r="N33">
        <f t="shared" si="32"/>
        <v>3.9730593607305935</v>
      </c>
      <c r="O33">
        <f t="shared" si="32"/>
        <v>1.8075342465753426</v>
      </c>
      <c r="P33" s="4">
        <f t="shared" si="32"/>
        <v>7.0776255707762553E-2</v>
      </c>
      <c r="Q33">
        <f t="shared" si="32"/>
        <v>0.52968036529680362</v>
      </c>
      <c r="R33" s="4">
        <f t="shared" si="32"/>
        <v>0.30456621004566209</v>
      </c>
      <c r="S33" s="4">
        <f t="shared" si="32"/>
        <v>0.30251141552511418</v>
      </c>
      <c r="T33" s="4">
        <f t="shared" si="32"/>
        <v>4.5390410958904113</v>
      </c>
      <c r="U33" s="4">
        <f t="shared" si="32"/>
        <v>2.8853881278538811</v>
      </c>
      <c r="X33" s="4">
        <f t="shared" ref="X33" si="33">100*X14/$E14</f>
        <v>3.0821917808219176E-2</v>
      </c>
    </row>
    <row r="34" spans="1:24" x14ac:dyDescent="0.25">
      <c r="A34" s="7">
        <v>73</v>
      </c>
      <c r="F34">
        <f t="shared" si="1"/>
        <v>92.923043426985146</v>
      </c>
      <c r="G34">
        <f t="shared" si="1"/>
        <v>77.807513312951897</v>
      </c>
      <c r="H34">
        <f t="shared" ref="H34:I34" si="34">100*H15/$E15</f>
        <v>57.022979016792007</v>
      </c>
      <c r="I34" s="4">
        <f t="shared" si="34"/>
        <v>14.632907258393736</v>
      </c>
      <c r="J34">
        <f t="shared" ref="J34:U34" si="35">100*J15/$E15</f>
        <v>75.814426068891692</v>
      </c>
      <c r="K34">
        <f t="shared" si="35"/>
        <v>20.505121063947527</v>
      </c>
      <c r="L34" s="4">
        <f t="shared" si="35"/>
        <v>12.09732289464851</v>
      </c>
      <c r="M34" s="4">
        <f t="shared" si="35"/>
        <v>7.4343877856501344</v>
      </c>
      <c r="N34">
        <f t="shared" si="35"/>
        <v>3.7031325126325627</v>
      </c>
      <c r="O34">
        <f t="shared" si="35"/>
        <v>1.0532427357095553</v>
      </c>
      <c r="P34" s="4">
        <f t="shared" si="35"/>
        <v>1.0886229826455353E-2</v>
      </c>
      <c r="Q34">
        <f t="shared" si="35"/>
        <v>0.47808692654516427</v>
      </c>
      <c r="R34" s="4">
        <f t="shared" si="35"/>
        <v>0.26761981656702744</v>
      </c>
      <c r="S34" s="4">
        <f t="shared" si="35"/>
        <v>0.43544919305821411</v>
      </c>
      <c r="T34" s="4">
        <f t="shared" si="35"/>
        <v>1.431539222178879</v>
      </c>
      <c r="U34" s="4">
        <f t="shared" si="35"/>
        <v>3.1960156398835173</v>
      </c>
      <c r="X34" s="4">
        <f t="shared" ref="X34" si="36">100*X15/$E15</f>
        <v>2.7215574566138382E-3</v>
      </c>
    </row>
    <row r="35" spans="1:24" x14ac:dyDescent="0.25">
      <c r="A35" s="7">
        <v>74</v>
      </c>
      <c r="F35">
        <f t="shared" si="1"/>
        <v>93.973214285714292</v>
      </c>
      <c r="G35">
        <f t="shared" si="1"/>
        <v>81.266071428571422</v>
      </c>
      <c r="H35">
        <f t="shared" ref="H35:I35" si="37">100*H16/$E16</f>
        <v>56.997991071428572</v>
      </c>
      <c r="I35" s="4">
        <f t="shared" si="37"/>
        <v>15.322321428571428</v>
      </c>
      <c r="J35">
        <f t="shared" ref="J35:U35" si="38">100*J16/$E16</f>
        <v>79.280803571428578</v>
      </c>
      <c r="K35">
        <f t="shared" si="38"/>
        <v>32.567857142857143</v>
      </c>
      <c r="L35" s="4">
        <f t="shared" si="38"/>
        <v>21.022767857142856</v>
      </c>
      <c r="M35" s="4">
        <f t="shared" si="38"/>
        <v>8.5343750000000007</v>
      </c>
      <c r="N35">
        <f t="shared" si="38"/>
        <v>5.0477678571428575</v>
      </c>
      <c r="O35">
        <f t="shared" si="38"/>
        <v>3.1098214285714287</v>
      </c>
      <c r="P35" s="4">
        <f t="shared" si="38"/>
        <v>0.4330357142857143</v>
      </c>
      <c r="Q35">
        <f t="shared" si="38"/>
        <v>0.76495535714285712</v>
      </c>
      <c r="R35" s="4">
        <f t="shared" si="38"/>
        <v>0.52031249999999996</v>
      </c>
      <c r="S35" s="4">
        <f t="shared" si="38"/>
        <v>2.5776785714285713</v>
      </c>
      <c r="T35" s="4">
        <f t="shared" si="38"/>
        <v>5.3488839285714285</v>
      </c>
      <c r="U35" s="4">
        <f t="shared" si="38"/>
        <v>9.3930803571428569</v>
      </c>
      <c r="X35" s="3">
        <f>100*X16/$E16</f>
        <v>0.64241071428571428</v>
      </c>
    </row>
    <row r="36" spans="1:24" x14ac:dyDescent="0.25">
      <c r="A36" s="7">
        <v>75</v>
      </c>
      <c r="F36">
        <f t="shared" si="1"/>
        <v>91.850700934579436</v>
      </c>
      <c r="G36">
        <f t="shared" si="1"/>
        <v>74.261214953271022</v>
      </c>
      <c r="H36">
        <f t="shared" ref="H36:I36" si="39">100*H17/$E17</f>
        <v>57.643457943925235</v>
      </c>
      <c r="I36" s="4">
        <f t="shared" si="39"/>
        <v>7.1345794392523363</v>
      </c>
      <c r="J36">
        <f t="shared" ref="J36:U36" si="40">100*J17/$E17</f>
        <v>85.416121495327104</v>
      </c>
      <c r="K36">
        <f t="shared" si="40"/>
        <v>29.342990654205607</v>
      </c>
      <c r="L36" s="4">
        <f t="shared" si="40"/>
        <v>15.41285046728972</v>
      </c>
      <c r="M36" s="4">
        <f t="shared" si="40"/>
        <v>6.7771028037383179</v>
      </c>
      <c r="N36">
        <f t="shared" si="40"/>
        <v>3.0836448598130839</v>
      </c>
      <c r="O36">
        <f t="shared" si="40"/>
        <v>1.5908878504672896</v>
      </c>
      <c r="P36" s="4">
        <f t="shared" si="40"/>
        <v>0.12967289719626168</v>
      </c>
      <c r="Q36">
        <f t="shared" si="40"/>
        <v>0.62827102803738322</v>
      </c>
      <c r="R36" s="4">
        <f t="shared" si="40"/>
        <v>0.34953271028037386</v>
      </c>
      <c r="S36" s="4">
        <f t="shared" si="40"/>
        <v>0.47266355140186916</v>
      </c>
      <c r="T36" s="4">
        <f t="shared" si="40"/>
        <v>2.547196261682243</v>
      </c>
      <c r="U36" s="4">
        <f t="shared" si="40"/>
        <v>7.0911214953271031</v>
      </c>
      <c r="X36" s="4">
        <f t="shared" ref="X36" si="41">100*X17/$E17</f>
        <v>0.18621495327102805</v>
      </c>
    </row>
    <row r="38" spans="1:24" s="8" customFormat="1" ht="27" customHeight="1" x14ac:dyDescent="0.25">
      <c r="A38" s="8" t="s">
        <v>86</v>
      </c>
      <c r="B38" s="9" t="s">
        <v>70</v>
      </c>
      <c r="C38" s="9" t="s">
        <v>71</v>
      </c>
      <c r="D38" s="9" t="s">
        <v>72</v>
      </c>
      <c r="E38" s="9" t="s">
        <v>73</v>
      </c>
      <c r="F38" s="9" t="s">
        <v>74</v>
      </c>
      <c r="G38" s="9" t="s">
        <v>75</v>
      </c>
      <c r="H38" s="9" t="s">
        <v>76</v>
      </c>
      <c r="I38" s="3" t="s">
        <v>18</v>
      </c>
      <c r="J38" s="9" t="s">
        <v>77</v>
      </c>
      <c r="K38" s="9" t="s">
        <v>78</v>
      </c>
      <c r="L38" s="3" t="s">
        <v>12</v>
      </c>
      <c r="M38" s="3" t="s">
        <v>79</v>
      </c>
      <c r="P38" s="4" t="s">
        <v>80</v>
      </c>
      <c r="R38" s="4" t="s">
        <v>25</v>
      </c>
      <c r="S38" s="4" t="s">
        <v>81</v>
      </c>
      <c r="T38" s="4" t="s">
        <v>82</v>
      </c>
      <c r="U38" s="4" t="s">
        <v>83</v>
      </c>
      <c r="X38" s="4" t="s">
        <v>84</v>
      </c>
    </row>
    <row r="39" spans="1:24" x14ac:dyDescent="0.25">
      <c r="A39" s="8">
        <v>61</v>
      </c>
      <c r="G39">
        <f t="shared" ref="G39:L39" si="42">100*(G3/$F3)</f>
        <v>75.838922538492383</v>
      </c>
      <c r="H39">
        <f t="shared" si="42"/>
        <v>64.639022223185364</v>
      </c>
      <c r="I39" s="4">
        <f t="shared" si="42"/>
        <v>8.5165400743301074</v>
      </c>
      <c r="J39">
        <f t="shared" si="42"/>
        <v>92.818909752846977</v>
      </c>
      <c r="K39">
        <f t="shared" si="42"/>
        <v>26.505022158173603</v>
      </c>
      <c r="L39" s="4">
        <f t="shared" si="42"/>
        <v>10.237455439858707</v>
      </c>
      <c r="M39" s="4">
        <f>100*(M3/$F3)</f>
        <v>6.622260025354584</v>
      </c>
      <c r="N39">
        <f t="shared" ref="N39:O39" si="43">100*(N3/$F3)</f>
        <v>3.8836397915289678</v>
      </c>
      <c r="O39">
        <f t="shared" si="43"/>
        <v>1.5627200918832824</v>
      </c>
      <c r="P39" s="4">
        <f t="shared" ref="P39:W39" si="44">100*(P3/$F3)</f>
        <v>0.13381586503559392</v>
      </c>
      <c r="Q39">
        <f t="shared" si="44"/>
        <v>0.62871785981298289</v>
      </c>
      <c r="R39" s="4">
        <f t="shared" si="44"/>
        <v>0.28334290450856531</v>
      </c>
      <c r="S39" s="4">
        <f t="shared" si="44"/>
        <v>1.4012742304233348</v>
      </c>
      <c r="T39" s="4">
        <f t="shared" si="44"/>
        <v>3.7200268715259339</v>
      </c>
      <c r="U39" s="4">
        <f t="shared" si="44"/>
        <v>2.7648958186605408</v>
      </c>
      <c r="V39">
        <f t="shared" si="44"/>
        <v>1.8300809396365845</v>
      </c>
      <c r="W39">
        <f t="shared" si="44"/>
        <v>0.74844784431851419</v>
      </c>
      <c r="X39" s="4">
        <f t="shared" ref="X39:X50" si="45">100*(X3/$F3)</f>
        <v>7.5305284372257322E-2</v>
      </c>
    </row>
    <row r="40" spans="1:24" x14ac:dyDescent="0.25">
      <c r="A40" s="8">
        <v>62</v>
      </c>
      <c r="G40">
        <f t="shared" ref="G40:L40" si="46">100*(G4/$F4)</f>
        <v>86.352580113293172</v>
      </c>
      <c r="H40">
        <f t="shared" si="46"/>
        <v>69.151280669964237</v>
      </c>
      <c r="I40" s="4">
        <f t="shared" si="46"/>
        <v>4.1193659500138757</v>
      </c>
      <c r="J40">
        <f t="shared" si="46"/>
        <v>97.321775470558464</v>
      </c>
      <c r="K40">
        <f t="shared" si="46"/>
        <v>35.185856310299229</v>
      </c>
      <c r="L40" s="4">
        <f t="shared" si="46"/>
        <v>16.44938537636515</v>
      </c>
      <c r="M40" s="4">
        <f t="shared" ref="M40:O53" si="47">100*(M4/$F4)</f>
        <v>6.0949769005991152</v>
      </c>
      <c r="N40">
        <f t="shared" si="47"/>
        <v>4.4057005729957393</v>
      </c>
      <c r="O40">
        <f t="shared" si="47"/>
        <v>2.0787828329823532</v>
      </c>
      <c r="P40" s="4">
        <f t="shared" ref="P40:W40" si="48">100*(P4/$F4)</f>
        <v>0.4384805001877336</v>
      </c>
      <c r="Q40">
        <f t="shared" si="48"/>
        <v>0.29449695544998938</v>
      </c>
      <c r="R40" s="4">
        <f t="shared" si="48"/>
        <v>0.20862921788530292</v>
      </c>
      <c r="S40" s="4">
        <f t="shared" si="48"/>
        <v>2.6328419609187521</v>
      </c>
      <c r="T40" s="4">
        <f t="shared" si="48"/>
        <v>3.671417144163116</v>
      </c>
      <c r="U40" s="4">
        <f t="shared" si="48"/>
        <v>7.8952609497690061</v>
      </c>
      <c r="V40">
        <f t="shared" si="48"/>
        <v>5.7779519075370978</v>
      </c>
      <c r="W40">
        <f t="shared" si="48"/>
        <v>1.5779421127381361</v>
      </c>
      <c r="X40" s="4">
        <f t="shared" si="45"/>
        <v>0.43195063421323276</v>
      </c>
    </row>
    <row r="41" spans="1:24" x14ac:dyDescent="0.25">
      <c r="A41" s="8">
        <v>63</v>
      </c>
      <c r="G41">
        <f t="shared" ref="G41:L41" si="49">100*(G5/$F5)</f>
        <v>83.497007481296762</v>
      </c>
      <c r="H41">
        <f t="shared" si="49"/>
        <v>58.519451371571073</v>
      </c>
      <c r="I41" s="4">
        <f t="shared" si="49"/>
        <v>12.628927680798006</v>
      </c>
      <c r="J41">
        <f t="shared" si="49"/>
        <v>87.424937655860347</v>
      </c>
      <c r="K41">
        <f t="shared" si="49"/>
        <v>40.757855361596015</v>
      </c>
      <c r="L41" s="4">
        <f t="shared" si="49"/>
        <v>23.73142144638404</v>
      </c>
      <c r="M41" s="4">
        <f t="shared" si="47"/>
        <v>9.3603491271820456</v>
      </c>
      <c r="N41">
        <f t="shared" si="47"/>
        <v>6.1576059850374065</v>
      </c>
      <c r="O41">
        <f t="shared" si="47"/>
        <v>2.7394014962593518</v>
      </c>
      <c r="P41" s="4">
        <f t="shared" ref="P41:W41" si="50">100*(P5/$F5)</f>
        <v>0.23815461346633418</v>
      </c>
      <c r="Q41">
        <f t="shared" si="50"/>
        <v>0.78902743142144649</v>
      </c>
      <c r="R41" s="4">
        <f t="shared" si="50"/>
        <v>0.39102244389027435</v>
      </c>
      <c r="S41" s="4">
        <f t="shared" si="50"/>
        <v>3.5374064837905235</v>
      </c>
      <c r="T41" s="4">
        <f t="shared" si="50"/>
        <v>8.0513715710723197</v>
      </c>
      <c r="U41" s="4">
        <f t="shared" si="50"/>
        <v>10.417955112219451</v>
      </c>
      <c r="V41">
        <f t="shared" si="50"/>
        <v>8.4942643391521209</v>
      </c>
      <c r="W41">
        <f t="shared" si="50"/>
        <v>3.5850374064837904</v>
      </c>
      <c r="X41" s="4">
        <f t="shared" si="45"/>
        <v>0.32294264339152118</v>
      </c>
    </row>
    <row r="42" spans="1:24" x14ac:dyDescent="0.25">
      <c r="A42" s="8">
        <v>64</v>
      </c>
      <c r="G42">
        <f t="shared" ref="G42:L42" si="51">100*(G6/$F6)</f>
        <v>85.250170793904175</v>
      </c>
      <c r="H42">
        <f t="shared" si="51"/>
        <v>53.151401186425772</v>
      </c>
      <c r="I42" s="4">
        <f t="shared" si="51"/>
        <v>7.2122376368887782</v>
      </c>
      <c r="J42">
        <f t="shared" si="51"/>
        <v>95.880992160390704</v>
      </c>
      <c r="K42">
        <f t="shared" si="51"/>
        <v>52.604860693051222</v>
      </c>
      <c r="L42" s="4">
        <f t="shared" si="51"/>
        <v>30.998924505712296</v>
      </c>
      <c r="M42" s="4">
        <f t="shared" si="47"/>
        <v>9.1805951068391973</v>
      </c>
      <c r="N42">
        <f t="shared" si="47"/>
        <v>4.8332983854057456</v>
      </c>
      <c r="O42">
        <f t="shared" si="47"/>
        <v>2.9927826892768485</v>
      </c>
      <c r="P42" s="4">
        <f t="shared" ref="P42:W42" si="52">100*(P6/$F6)</f>
        <v>0.42952130358024609</v>
      </c>
      <c r="Q42">
        <f t="shared" si="52"/>
        <v>0.322986492062311</v>
      </c>
      <c r="R42" s="4">
        <f t="shared" si="52"/>
        <v>0.24553737511752652</v>
      </c>
      <c r="S42" s="4">
        <f t="shared" si="52"/>
        <v>3.4219657871062439</v>
      </c>
      <c r="T42" s="4">
        <f t="shared" si="52"/>
        <v>3.7246599341175197</v>
      </c>
      <c r="U42" s="4">
        <f t="shared" si="52"/>
        <v>14.366303884631254</v>
      </c>
      <c r="V42">
        <f t="shared" si="52"/>
        <v>11.52537557748632</v>
      </c>
      <c r="W42">
        <f t="shared" si="52"/>
        <v>7.3958833596006466</v>
      </c>
      <c r="X42" s="4">
        <f t="shared" si="45"/>
        <v>1.2364802251097478</v>
      </c>
    </row>
    <row r="43" spans="1:24" x14ac:dyDescent="0.25">
      <c r="A43" s="8">
        <v>65</v>
      </c>
      <c r="G43">
        <f t="shared" ref="G43:L43" si="53">100*(G7/$F7)</f>
        <v>83.270806294613891</v>
      </c>
      <c r="H43">
        <f t="shared" si="53"/>
        <v>64.691150227125235</v>
      </c>
      <c r="I43" s="4">
        <f t="shared" si="53"/>
        <v>15.361372485399091</v>
      </c>
      <c r="J43">
        <f t="shared" si="53"/>
        <v>84.814041207008444</v>
      </c>
      <c r="K43">
        <f t="shared" si="53"/>
        <v>28.031716417910445</v>
      </c>
      <c r="L43" s="4">
        <f t="shared" si="53"/>
        <v>15.514479234263465</v>
      </c>
      <c r="M43" s="4">
        <f t="shared" si="47"/>
        <v>10.522793640493186</v>
      </c>
      <c r="N43">
        <f t="shared" si="47"/>
        <v>2.8056051265412068</v>
      </c>
      <c r="O43">
        <f t="shared" si="47"/>
        <v>1.815987994808566</v>
      </c>
      <c r="P43" s="4">
        <f t="shared" ref="P43:W43" si="54">100*(P7/$F7)</f>
        <v>0.30012978585334199</v>
      </c>
      <c r="Q43">
        <f t="shared" si="54"/>
        <v>1.6355045425048669</v>
      </c>
      <c r="R43" s="4">
        <f t="shared" si="54"/>
        <v>0.82941271901362745</v>
      </c>
      <c r="S43" s="4">
        <f t="shared" si="54"/>
        <v>0.41774821544451657</v>
      </c>
      <c r="T43" s="4">
        <f t="shared" si="54"/>
        <v>3.0966093445814407</v>
      </c>
      <c r="U43" s="4">
        <f t="shared" si="54"/>
        <v>3.9513708630759243</v>
      </c>
      <c r="V43">
        <f t="shared" si="54"/>
        <v>0.60228747566515251</v>
      </c>
      <c r="W43">
        <f t="shared" si="54"/>
        <v>0.21597177157689812</v>
      </c>
      <c r="X43" s="4">
        <f t="shared" si="45"/>
        <v>2.0279039584685269E-3</v>
      </c>
    </row>
    <row r="44" spans="1:24" x14ac:dyDescent="0.25">
      <c r="A44" s="8">
        <v>66</v>
      </c>
      <c r="G44">
        <f t="shared" ref="G44:L44" si="55">100*(G8/$F8)</f>
        <v>79.544991566373042</v>
      </c>
      <c r="H44">
        <f t="shared" si="55"/>
        <v>59.028462472397194</v>
      </c>
      <c r="I44" s="4">
        <f t="shared" si="55"/>
        <v>7.097691549261345</v>
      </c>
      <c r="J44">
        <f t="shared" si="55"/>
        <v>93.095426285211417</v>
      </c>
      <c r="K44">
        <f t="shared" si="55"/>
        <v>30.557026800192304</v>
      </c>
      <c r="L44" s="4">
        <f t="shared" si="55"/>
        <v>18.116815918776432</v>
      </c>
      <c r="M44" s="4">
        <f t="shared" si="47"/>
        <v>8.4038851722985903</v>
      </c>
      <c r="N44">
        <f t="shared" si="47"/>
        <v>5.5124141358995455</v>
      </c>
      <c r="O44">
        <f t="shared" si="47"/>
        <v>3.0104381411797299</v>
      </c>
      <c r="P44" s="4">
        <f t="shared" ref="P44:W44" si="56">100*(P8/$F8)</f>
        <v>0.56020468860767747</v>
      </c>
      <c r="Q44">
        <f t="shared" si="56"/>
        <v>0.62824409442402807</v>
      </c>
      <c r="R44" s="4">
        <f t="shared" si="56"/>
        <v>0.34223413704032657</v>
      </c>
      <c r="S44" s="4">
        <f t="shared" si="56"/>
        <v>3.060550996960635</v>
      </c>
      <c r="T44" s="4">
        <f t="shared" si="56"/>
        <v>4.4331543394473734</v>
      </c>
      <c r="U44" s="4">
        <f t="shared" si="56"/>
        <v>4.2991126357732456</v>
      </c>
      <c r="V44">
        <f t="shared" si="56"/>
        <v>2.4005280183828623</v>
      </c>
      <c r="W44">
        <f t="shared" si="56"/>
        <v>0.97821924170693342</v>
      </c>
      <c r="X44" s="4">
        <f t="shared" si="45"/>
        <v>0.2888619085257042</v>
      </c>
    </row>
    <row r="45" spans="1:24" x14ac:dyDescent="0.25">
      <c r="A45" s="8">
        <v>67</v>
      </c>
      <c r="G45">
        <f t="shared" ref="G45:L45" si="57">100*(G9/$F9)</f>
        <v>79.386743288543343</v>
      </c>
      <c r="H45">
        <f t="shared" si="57"/>
        <v>60.711569339981409</v>
      </c>
      <c r="I45" s="4">
        <f t="shared" si="57"/>
        <v>27.163441223696445</v>
      </c>
      <c r="J45">
        <f t="shared" si="57"/>
        <v>72.693597002732474</v>
      </c>
      <c r="K45">
        <f t="shared" si="57"/>
        <v>29.141665962421477</v>
      </c>
      <c r="L45" s="4">
        <f t="shared" si="57"/>
        <v>17.295557621341445</v>
      </c>
      <c r="M45" s="4">
        <f t="shared" si="47"/>
        <v>12.398940815234232</v>
      </c>
      <c r="N45">
        <f t="shared" si="47"/>
        <v>4.1698357700216908</v>
      </c>
      <c r="O45">
        <f t="shared" si="47"/>
        <v>2.2669652666272291</v>
      </c>
      <c r="P45" s="4">
        <f t="shared" ref="P45:W45" si="58">100*(P9/$F9)</f>
        <v>0.25000704245190009</v>
      </c>
      <c r="Q45">
        <f t="shared" si="58"/>
        <v>1.2521479478295163</v>
      </c>
      <c r="R45" s="4">
        <f t="shared" si="58"/>
        <v>0.70565368038536302</v>
      </c>
      <c r="S45" s="4">
        <f t="shared" si="58"/>
        <v>1.9641398349249277</v>
      </c>
      <c r="T45" s="4">
        <f t="shared" si="58"/>
        <v>5.8938279951547932</v>
      </c>
      <c r="U45" s="4">
        <f t="shared" si="58"/>
        <v>3.2853038113749684</v>
      </c>
      <c r="V45">
        <f t="shared" si="58"/>
        <v>1.0965097608383334</v>
      </c>
      <c r="W45">
        <f t="shared" si="58"/>
        <v>0.53804332516408915</v>
      </c>
      <c r="X45" s="4">
        <f t="shared" si="45"/>
        <v>0.13310234091101159</v>
      </c>
    </row>
    <row r="46" spans="1:24" x14ac:dyDescent="0.25">
      <c r="A46" s="8">
        <v>68</v>
      </c>
      <c r="G46">
        <f t="shared" ref="G46:L46" si="59">100*(G10/$F10)</f>
        <v>82.288076564719077</v>
      </c>
      <c r="H46">
        <f t="shared" si="59"/>
        <v>65.500646783720953</v>
      </c>
      <c r="I46" s="4">
        <f t="shared" si="59"/>
        <v>9.3430848417415202</v>
      </c>
      <c r="J46">
        <f t="shared" si="59"/>
        <v>92.400065130668409</v>
      </c>
      <c r="K46">
        <f t="shared" si="59"/>
        <v>39.767248319719215</v>
      </c>
      <c r="L46" s="4">
        <f t="shared" si="59"/>
        <v>18.354184193148615</v>
      </c>
      <c r="M46" s="4">
        <f t="shared" si="47"/>
        <v>10.790433028485621</v>
      </c>
      <c r="N46">
        <f t="shared" si="47"/>
        <v>6.0481062353569071</v>
      </c>
      <c r="O46">
        <f t="shared" si="47"/>
        <v>3.6961654318977444</v>
      </c>
      <c r="P46" s="4">
        <f t="shared" ref="P46:W46" si="60">100*(P10/$F10)</f>
        <v>0.63095335015875598</v>
      </c>
      <c r="Q46">
        <f t="shared" si="60"/>
        <v>0.70241616687924591</v>
      </c>
      <c r="R46" s="4">
        <f t="shared" si="60"/>
        <v>0.43691823387337514</v>
      </c>
      <c r="S46" s="4">
        <f t="shared" si="60"/>
        <v>2.2316299854360588</v>
      </c>
      <c r="T46" s="4">
        <f t="shared" si="60"/>
        <v>5.1041638398147393</v>
      </c>
      <c r="U46" s="4">
        <f t="shared" si="60"/>
        <v>5.8016047473020524</v>
      </c>
      <c r="V46">
        <f t="shared" si="60"/>
        <v>4.1991189267913196</v>
      </c>
      <c r="W46">
        <f t="shared" si="60"/>
        <v>1.8173265669805605</v>
      </c>
      <c r="X46" s="4">
        <f t="shared" si="45"/>
        <v>0.19132133843523569</v>
      </c>
    </row>
    <row r="47" spans="1:24" x14ac:dyDescent="0.25">
      <c r="A47" s="8">
        <v>69</v>
      </c>
      <c r="G47">
        <f t="shared" ref="G47:L47" si="61">100*(G11/$F11)</f>
        <v>82.57892990683537</v>
      </c>
      <c r="H47">
        <f t="shared" si="61"/>
        <v>59.251454856845676</v>
      </c>
      <c r="I47" s="4">
        <f t="shared" si="61"/>
        <v>13.240766478663593</v>
      </c>
      <c r="J47">
        <f t="shared" si="61"/>
        <v>85.621351649435539</v>
      </c>
      <c r="K47">
        <f t="shared" si="61"/>
        <v>33.423150381535649</v>
      </c>
      <c r="L47" s="4">
        <f t="shared" si="61"/>
        <v>20.342440572796644</v>
      </c>
      <c r="M47" s="4">
        <f t="shared" si="47"/>
        <v>9.6267137720470206</v>
      </c>
      <c r="N47">
        <f t="shared" si="47"/>
        <v>4.8312904064632409</v>
      </c>
      <c r="O47">
        <f t="shared" si="47"/>
        <v>1.9448902916887099</v>
      </c>
      <c r="P47" s="4">
        <f t="shared" ref="P47:W47" si="62">100*(P11/$F11)</f>
        <v>0.13046636119903518</v>
      </c>
      <c r="Q47">
        <f t="shared" si="62"/>
        <v>0.7191341696331699</v>
      </c>
      <c r="R47" s="4">
        <f t="shared" si="62"/>
        <v>0.48375671386171465</v>
      </c>
      <c r="S47" s="4">
        <f t="shared" si="62"/>
        <v>1.4530634936291169</v>
      </c>
      <c r="T47" s="4">
        <f t="shared" si="62"/>
        <v>5.1334702258726894</v>
      </c>
      <c r="U47" s="4">
        <f t="shared" si="62"/>
        <v>7.9983501161195445</v>
      </c>
      <c r="V47">
        <f t="shared" si="62"/>
        <v>5.5795665468109723</v>
      </c>
      <c r="W47">
        <f t="shared" si="62"/>
        <v>2.0717699487997994</v>
      </c>
      <c r="X47" s="4">
        <f t="shared" si="45"/>
        <v>0.22954906162854302</v>
      </c>
    </row>
    <row r="48" spans="1:24" x14ac:dyDescent="0.25">
      <c r="A48" s="8">
        <v>70</v>
      </c>
      <c r="G48">
        <f t="shared" ref="G48:L48" si="63">100*(G12/$F12)</f>
        <v>75.012293144208044</v>
      </c>
      <c r="H48">
        <f t="shared" si="63"/>
        <v>59.022222222222219</v>
      </c>
      <c r="I48" s="4">
        <f t="shared" si="63"/>
        <v>7.287943262411348</v>
      </c>
      <c r="J48">
        <f t="shared" si="63"/>
        <v>94.799054373522466</v>
      </c>
      <c r="K48">
        <f t="shared" si="63"/>
        <v>32.727659574468085</v>
      </c>
      <c r="L48" s="4">
        <f t="shared" si="63"/>
        <v>16.316075650118204</v>
      </c>
      <c r="M48" s="4">
        <f t="shared" si="47"/>
        <v>6.4799054373522456</v>
      </c>
      <c r="N48">
        <f t="shared" si="47"/>
        <v>2.1815602836879435</v>
      </c>
      <c r="O48">
        <f t="shared" si="47"/>
        <v>1.6049645390070921</v>
      </c>
      <c r="P48" s="4">
        <f t="shared" ref="P48:W48" si="64">100*(P12/$F12)</f>
        <v>0.48817966903073284</v>
      </c>
      <c r="Q48">
        <f t="shared" si="64"/>
        <v>0.54704491725768323</v>
      </c>
      <c r="R48" s="4">
        <f t="shared" si="64"/>
        <v>0.41654846335697399</v>
      </c>
      <c r="S48" s="4">
        <f t="shared" si="64"/>
        <v>1.5087470449172575</v>
      </c>
      <c r="T48" s="4">
        <f t="shared" si="64"/>
        <v>3.1047281323877067</v>
      </c>
      <c r="U48" s="4">
        <f t="shared" si="64"/>
        <v>7.0210401891252952</v>
      </c>
      <c r="V48">
        <f t="shared" si="64"/>
        <v>5.1281323877068559</v>
      </c>
      <c r="W48">
        <f t="shared" si="64"/>
        <v>3.4780141843971628</v>
      </c>
      <c r="X48" s="4">
        <f t="shared" si="45"/>
        <v>0.79858156028368799</v>
      </c>
    </row>
    <row r="49" spans="1:24" x14ac:dyDescent="0.25">
      <c r="A49" s="8">
        <v>71</v>
      </c>
      <c r="G49">
        <f t="shared" ref="G49:L49" si="65">100*(G13/$F13)</f>
        <v>72.241149425287361</v>
      </c>
      <c r="H49">
        <f t="shared" si="65"/>
        <v>59.092873563218397</v>
      </c>
      <c r="I49" s="4">
        <f t="shared" si="65"/>
        <v>6.3556321839080461</v>
      </c>
      <c r="J49">
        <f t="shared" si="65"/>
        <v>95.172413793103445</v>
      </c>
      <c r="K49">
        <f t="shared" si="65"/>
        <v>21.659310344827588</v>
      </c>
      <c r="L49" s="4">
        <f t="shared" si="65"/>
        <v>11.59632183908046</v>
      </c>
      <c r="M49" s="4">
        <f t="shared" si="47"/>
        <v>7.450344827586207</v>
      </c>
      <c r="N49">
        <f t="shared" si="47"/>
        <v>1.2257471264367816</v>
      </c>
      <c r="O49">
        <f t="shared" si="47"/>
        <v>0.52160919540229878</v>
      </c>
      <c r="P49" s="4">
        <f t="shared" ref="P49:W49" si="66">100*(P13/$F13)</f>
        <v>3.2183908045977011E-2</v>
      </c>
      <c r="Q49">
        <f t="shared" si="66"/>
        <v>0.48873563218390803</v>
      </c>
      <c r="R49" s="4">
        <f t="shared" si="66"/>
        <v>0.31862068965517237</v>
      </c>
      <c r="S49" s="4">
        <f t="shared" si="66"/>
        <v>0.4903448275862069</v>
      </c>
      <c r="T49" s="4">
        <f t="shared" si="66"/>
        <v>2.8675862068965516</v>
      </c>
      <c r="U49" s="4">
        <f t="shared" si="66"/>
        <v>3.0489655172413794</v>
      </c>
      <c r="V49">
        <f t="shared" si="66"/>
        <v>0.47839080459770111</v>
      </c>
      <c r="W49">
        <f t="shared" si="66"/>
        <v>0.1503448275862069</v>
      </c>
      <c r="X49" s="4">
        <f t="shared" si="45"/>
        <v>4.1379310344827587E-3</v>
      </c>
    </row>
    <row r="50" spans="1:24" x14ac:dyDescent="0.25">
      <c r="A50" s="8">
        <v>72</v>
      </c>
      <c r="G50">
        <f t="shared" ref="G50:L50" si="67">100*(G14/$F14)</f>
        <v>81.044655581947751</v>
      </c>
      <c r="H50">
        <f t="shared" si="67"/>
        <v>61.234679334916862</v>
      </c>
      <c r="I50" s="4">
        <f t="shared" si="67"/>
        <v>6.175534441805226</v>
      </c>
      <c r="J50">
        <f t="shared" si="67"/>
        <v>95.01187648456056</v>
      </c>
      <c r="K50">
        <f t="shared" si="67"/>
        <v>18.414251781472686</v>
      </c>
      <c r="L50" s="4">
        <f t="shared" si="67"/>
        <v>10.715914489311164</v>
      </c>
      <c r="M50" s="4">
        <f t="shared" si="47"/>
        <v>7.503800475059383</v>
      </c>
      <c r="N50">
        <f t="shared" si="47"/>
        <v>4.1334916864608076</v>
      </c>
      <c r="O50">
        <f t="shared" si="47"/>
        <v>1.880522565320665</v>
      </c>
      <c r="P50" s="4">
        <f t="shared" ref="P50:W50" si="68">100*(P14/$F14)</f>
        <v>7.3634204275534437E-2</v>
      </c>
      <c r="Q50">
        <f t="shared" si="68"/>
        <v>0.55106888361045137</v>
      </c>
      <c r="R50" s="4">
        <f t="shared" si="68"/>
        <v>0.31686460807600952</v>
      </c>
      <c r="S50" s="4">
        <f t="shared" si="68"/>
        <v>0.31472684085510688</v>
      </c>
      <c r="T50" s="4">
        <f t="shared" si="68"/>
        <v>4.7223277909738712</v>
      </c>
      <c r="U50" s="4">
        <f t="shared" si="68"/>
        <v>3.001900237529691</v>
      </c>
      <c r="V50">
        <f t="shared" si="68"/>
        <v>1.8553444180522565</v>
      </c>
      <c r="W50">
        <f t="shared" si="68"/>
        <v>0.51757719714964368</v>
      </c>
      <c r="X50" s="4">
        <f t="shared" si="45"/>
        <v>3.2066508313539195E-2</v>
      </c>
    </row>
    <row r="51" spans="1:24" x14ac:dyDescent="0.25">
      <c r="A51" s="8">
        <v>73</v>
      </c>
      <c r="G51">
        <f t="shared" ref="G51:L51" si="69">100*(G15/$F15)</f>
        <v>83.73328126525432</v>
      </c>
      <c r="H51">
        <f t="shared" si="69"/>
        <v>61.365810797617883</v>
      </c>
      <c r="I51" s="4">
        <f t="shared" si="69"/>
        <v>15.747339646587912</v>
      </c>
      <c r="J51">
        <f t="shared" si="69"/>
        <v>81.588401835399779</v>
      </c>
      <c r="K51">
        <f t="shared" si="69"/>
        <v>22.066777311334569</v>
      </c>
      <c r="L51" s="4">
        <f t="shared" si="69"/>
        <v>13.018646880796641</v>
      </c>
      <c r="M51" s="4">
        <f t="shared" si="47"/>
        <v>8.0005857658888999</v>
      </c>
      <c r="N51">
        <f t="shared" si="47"/>
        <v>3.9851605974812068</v>
      </c>
      <c r="O51">
        <f t="shared" si="47"/>
        <v>1.1334569950209898</v>
      </c>
      <c r="P51" s="4">
        <f t="shared" ref="P51:W51" si="70">100*(P15/$F15)</f>
        <v>1.1715317777994727E-2</v>
      </c>
      <c r="Q51">
        <f t="shared" si="70"/>
        <v>0.51449770575026854</v>
      </c>
      <c r="R51" s="4">
        <f t="shared" si="70"/>
        <v>0.28800156204237037</v>
      </c>
      <c r="S51" s="4">
        <f t="shared" si="70"/>
        <v>0.46861271111978914</v>
      </c>
      <c r="T51" s="4">
        <f t="shared" si="70"/>
        <v>1.5405642878063068</v>
      </c>
      <c r="U51" s="4">
        <f t="shared" si="70"/>
        <v>3.4394220443229524</v>
      </c>
      <c r="V51">
        <f t="shared" si="70"/>
        <v>1.2252269842819485</v>
      </c>
      <c r="W51">
        <f t="shared" si="70"/>
        <v>0.14546519574343456</v>
      </c>
      <c r="X51" s="4">
        <f>100*(X15/$F15)</f>
        <v>2.9288294444986818E-3</v>
      </c>
    </row>
    <row r="52" spans="1:24" x14ac:dyDescent="0.25">
      <c r="A52" s="8">
        <v>74</v>
      </c>
      <c r="G52">
        <f t="shared" ref="G52:L52" si="71">100*(G16/$F16)</f>
        <v>86.477909738717344</v>
      </c>
      <c r="H52">
        <f t="shared" si="71"/>
        <v>60.653444180522563</v>
      </c>
      <c r="I52" s="4">
        <f t="shared" si="71"/>
        <v>16.304988123515439</v>
      </c>
      <c r="J52">
        <f t="shared" si="71"/>
        <v>84.365320665083132</v>
      </c>
      <c r="K52">
        <f t="shared" si="71"/>
        <v>34.656532066508312</v>
      </c>
      <c r="L52" s="4">
        <f t="shared" si="71"/>
        <v>22.371021377672211</v>
      </c>
      <c r="M52" s="4">
        <f t="shared" si="47"/>
        <v>9.0817102137767218</v>
      </c>
      <c r="N52">
        <f t="shared" si="47"/>
        <v>5.3714964370546321</v>
      </c>
      <c r="O52">
        <f t="shared" si="47"/>
        <v>3.3092636579572448</v>
      </c>
      <c r="P52" s="4">
        <f t="shared" ref="P52:W52" si="72">100*(P16/$F16)</f>
        <v>0.4608076009501188</v>
      </c>
      <c r="Q52">
        <f t="shared" si="72"/>
        <v>0.81401425178147269</v>
      </c>
      <c r="R52" s="4">
        <f t="shared" si="72"/>
        <v>0.55368171021377677</v>
      </c>
      <c r="S52" s="4">
        <f t="shared" si="72"/>
        <v>2.7429928741092637</v>
      </c>
      <c r="T52" s="4">
        <f t="shared" si="72"/>
        <v>5.6919239904988119</v>
      </c>
      <c r="U52" s="4">
        <f t="shared" si="72"/>
        <v>9.9954869358669836</v>
      </c>
      <c r="V52">
        <f t="shared" si="72"/>
        <v>7.7821852731591452</v>
      </c>
      <c r="W52">
        <f t="shared" si="72"/>
        <v>3.5498812351543942</v>
      </c>
      <c r="X52" s="4">
        <f t="shared" ref="X52:X53" si="73">100*(X16/$F16)</f>
        <v>0.68361045130641329</v>
      </c>
    </row>
    <row r="53" spans="1:24" x14ac:dyDescent="0.25">
      <c r="A53" s="8">
        <v>75</v>
      </c>
      <c r="G53">
        <f t="shared" ref="G53:L53" si="74">100*(G17/$F17)</f>
        <v>80.849916437941488</v>
      </c>
      <c r="H53">
        <f t="shared" si="74"/>
        <v>62.757776867681955</v>
      </c>
      <c r="I53" s="4">
        <f t="shared" si="74"/>
        <v>7.7675830087937294</v>
      </c>
      <c r="J53">
        <f t="shared" si="74"/>
        <v>92.994523314704637</v>
      </c>
      <c r="K53">
        <f t="shared" si="74"/>
        <v>31.946398182747803</v>
      </c>
      <c r="L53" s="4">
        <f t="shared" si="74"/>
        <v>16.780329720365994</v>
      </c>
      <c r="M53" s="4">
        <f t="shared" si="47"/>
        <v>7.3783898596106541</v>
      </c>
      <c r="N53">
        <f t="shared" si="47"/>
        <v>3.3572360672668209</v>
      </c>
      <c r="O53">
        <f t="shared" si="47"/>
        <v>1.7320367011683424</v>
      </c>
      <c r="P53" s="4">
        <f t="shared" ref="P53:W53" si="75">100*(P17/$F17)</f>
        <v>0.14117790705660599</v>
      </c>
      <c r="Q53">
        <f t="shared" si="75"/>
        <v>0.68401331905443863</v>
      </c>
      <c r="R53" s="4">
        <f t="shared" si="75"/>
        <v>0.38054441253456311</v>
      </c>
      <c r="S53" s="4">
        <f t="shared" si="75"/>
        <v>0.51459983058651149</v>
      </c>
      <c r="T53" s="4">
        <f t="shared" si="75"/>
        <v>2.7731919688848983</v>
      </c>
      <c r="U53" s="4">
        <f t="shared" si="75"/>
        <v>7.7202693318342188</v>
      </c>
      <c r="V53">
        <f t="shared" si="75"/>
        <v>4.4223025480704417</v>
      </c>
      <c r="W53">
        <f t="shared" si="75"/>
        <v>1.5979812831163942</v>
      </c>
      <c r="X53" s="4">
        <f t="shared" si="73"/>
        <v>0.20273656202543239</v>
      </c>
    </row>
    <row r="54" spans="1:24" s="10" customFormat="1" x14ac:dyDescent="0.25">
      <c r="A54" s="10" t="s">
        <v>87</v>
      </c>
    </row>
    <row r="55" spans="1:24" ht="27" customHeight="1" x14ac:dyDescent="0.25">
      <c r="A55" s="10" t="s">
        <v>87</v>
      </c>
      <c r="B55" s="1" t="s">
        <v>70</v>
      </c>
      <c r="C55" s="1" t="s">
        <v>88</v>
      </c>
      <c r="D55" s="1" t="s">
        <v>89</v>
      </c>
      <c r="E55" s="11" t="s">
        <v>90</v>
      </c>
      <c r="F55" s="1"/>
      <c r="G55" s="1"/>
      <c r="H55" s="1"/>
      <c r="I55" s="3" t="s">
        <v>18</v>
      </c>
      <c r="J55" s="1" t="s">
        <v>77</v>
      </c>
      <c r="K55" s="1" t="s">
        <v>78</v>
      </c>
      <c r="L55" s="3" t="s">
        <v>12</v>
      </c>
      <c r="M55" s="3" t="s">
        <v>79</v>
      </c>
      <c r="P55" s="4" t="s">
        <v>80</v>
      </c>
      <c r="R55" s="4" t="s">
        <v>25</v>
      </c>
      <c r="S55" s="4" t="s">
        <v>81</v>
      </c>
      <c r="T55" s="4" t="s">
        <v>82</v>
      </c>
      <c r="U55" s="4" t="s">
        <v>83</v>
      </c>
      <c r="X55" s="4" t="s">
        <v>84</v>
      </c>
    </row>
    <row r="56" spans="1:24" s="6" customFormat="1" ht="20.100000000000001" customHeight="1" x14ac:dyDescent="0.25">
      <c r="A56" s="10">
        <v>61</v>
      </c>
      <c r="B56" s="1">
        <v>1500000</v>
      </c>
      <c r="C56">
        <v>387095</v>
      </c>
      <c r="D56" s="6">
        <v>6950000</v>
      </c>
      <c r="E56" s="6">
        <f>(C56/B56)*D56</f>
        <v>1793540.1666666665</v>
      </c>
      <c r="I56" s="6">
        <f>I22*$E56</f>
        <v>14567199.999999998</v>
      </c>
      <c r="L56" s="6">
        <f>L22*$E56</f>
        <v>17510756.666666664</v>
      </c>
      <c r="M56" s="6">
        <f>M22*$E56</f>
        <v>11327110</v>
      </c>
      <c r="P56" s="6">
        <f>P22*$E56</f>
        <v>228886.66666666663</v>
      </c>
      <c r="R56" s="6">
        <f>R22*$E56</f>
        <v>484646.66666666663</v>
      </c>
      <c r="S56" s="6">
        <f>S22*$E56</f>
        <v>2396823.333333333</v>
      </c>
      <c r="T56" s="6">
        <f>T22*$E56</f>
        <v>6362956.666666666</v>
      </c>
      <c r="U56" s="6">
        <f>U22*$E56</f>
        <v>4729243.333333333</v>
      </c>
      <c r="X56" s="6">
        <f>X22*$E56</f>
        <v>128806.66666666667</v>
      </c>
    </row>
    <row r="57" spans="1:24" s="6" customFormat="1" x14ac:dyDescent="0.25">
      <c r="A57" s="10">
        <v>62</v>
      </c>
      <c r="B57" s="1">
        <v>1320000</v>
      </c>
      <c r="C57">
        <v>325207</v>
      </c>
      <c r="D57" s="6">
        <v>2320000</v>
      </c>
      <c r="E57" s="6">
        <f t="shared" ref="E57:E70" si="76">(C57/B57)*D57</f>
        <v>571575.93939393933</v>
      </c>
      <c r="I57" s="6">
        <f t="shared" ref="I57:I70" si="77">I23*$E57</f>
        <v>2217533.333333333</v>
      </c>
      <c r="L57" s="6">
        <f t="shared" ref="L57:M69" si="78">L23*$E57</f>
        <v>8855018.1818181816</v>
      </c>
      <c r="M57" s="6">
        <f t="shared" si="78"/>
        <v>3281042.4242424238</v>
      </c>
      <c r="P57" s="6">
        <f t="shared" ref="P57:P70" si="79">P23*$E57</f>
        <v>236042.42424242423</v>
      </c>
      <c r="R57" s="6">
        <f t="shared" ref="R57:U70" si="80">R23*$E57</f>
        <v>112309.0909090909</v>
      </c>
      <c r="S57" s="6">
        <f t="shared" si="80"/>
        <v>1417309.0909090906</v>
      </c>
      <c r="T57" s="6">
        <f t="shared" si="80"/>
        <v>1976393.9393939392</v>
      </c>
      <c r="U57" s="6">
        <f t="shared" si="80"/>
        <v>4250169.6969696963</v>
      </c>
      <c r="X57" s="6">
        <f t="shared" ref="X57:X70" si="81">X23*$E57</f>
        <v>232527.27272727271</v>
      </c>
    </row>
    <row r="58" spans="1:24" s="6" customFormat="1" x14ac:dyDescent="0.25">
      <c r="A58" s="10">
        <v>63</v>
      </c>
      <c r="B58" s="1">
        <v>1500000</v>
      </c>
      <c r="C58" s="1">
        <v>419000</v>
      </c>
      <c r="D58" s="6">
        <v>4900000</v>
      </c>
      <c r="E58" s="6">
        <f t="shared" si="76"/>
        <v>1368733.3333333333</v>
      </c>
      <c r="I58" s="6">
        <f t="shared" si="77"/>
        <v>16543053.333333332</v>
      </c>
      <c r="L58" s="6">
        <f t="shared" si="78"/>
        <v>31086580</v>
      </c>
      <c r="M58" s="6">
        <f t="shared" si="78"/>
        <v>12261433.333333334</v>
      </c>
      <c r="P58" s="6">
        <f t="shared" si="79"/>
        <v>311966.66666666669</v>
      </c>
      <c r="R58" s="6">
        <f t="shared" si="80"/>
        <v>512213.33333333331</v>
      </c>
      <c r="S58" s="6">
        <f t="shared" si="80"/>
        <v>4633766.666666666</v>
      </c>
      <c r="T58" s="6">
        <f t="shared" si="80"/>
        <v>10546759.999999998</v>
      </c>
      <c r="U58" s="6">
        <f t="shared" si="80"/>
        <v>13646826.666666666</v>
      </c>
      <c r="X58" s="6">
        <f t="shared" si="81"/>
        <v>423033.33333333326</v>
      </c>
    </row>
    <row r="59" spans="1:24" s="6" customFormat="1" x14ac:dyDescent="0.25">
      <c r="A59" s="10">
        <v>64</v>
      </c>
      <c r="B59" s="1">
        <v>871000</v>
      </c>
      <c r="C59">
        <v>306228</v>
      </c>
      <c r="D59" s="6">
        <v>1825000</v>
      </c>
      <c r="E59" s="6">
        <f t="shared" si="76"/>
        <v>641637.31343283586</v>
      </c>
      <c r="I59" s="6">
        <f t="shared" si="77"/>
        <v>4468211.8254879452</v>
      </c>
      <c r="L59" s="6">
        <f t="shared" si="78"/>
        <v>19204824.913892079</v>
      </c>
      <c r="M59" s="6">
        <f t="shared" si="78"/>
        <v>5687672.2158438582</v>
      </c>
      <c r="P59" s="6">
        <f t="shared" si="79"/>
        <v>266102.18140068889</v>
      </c>
      <c r="R59" s="6">
        <f t="shared" si="80"/>
        <v>152118.25487944891</v>
      </c>
      <c r="S59" s="6">
        <f t="shared" si="80"/>
        <v>2120017.2215843857</v>
      </c>
      <c r="T59" s="6">
        <f t="shared" si="80"/>
        <v>2307545.9242250286</v>
      </c>
      <c r="U59" s="6">
        <f t="shared" si="80"/>
        <v>8900384.615384616</v>
      </c>
      <c r="X59" s="6">
        <f t="shared" si="81"/>
        <v>766039.0355912745</v>
      </c>
    </row>
    <row r="60" spans="1:24" s="6" customFormat="1" x14ac:dyDescent="0.25">
      <c r="A60" s="10">
        <v>65</v>
      </c>
      <c r="B60" s="1">
        <v>1150000</v>
      </c>
      <c r="C60">
        <v>108467</v>
      </c>
      <c r="D60" s="6">
        <v>1550000</v>
      </c>
      <c r="E60" s="6">
        <f t="shared" si="76"/>
        <v>146194.65217391305</v>
      </c>
      <c r="I60" s="6">
        <f t="shared" si="77"/>
        <v>2041956.5217391306</v>
      </c>
      <c r="L60" s="6">
        <f t="shared" si="78"/>
        <v>2062308.6956521741</v>
      </c>
      <c r="M60" s="6">
        <f t="shared" si="78"/>
        <v>1398773.9130434785</v>
      </c>
      <c r="P60" s="6">
        <f t="shared" si="79"/>
        <v>39895.65217391304</v>
      </c>
      <c r="R60" s="6">
        <f t="shared" si="80"/>
        <v>110252.17391304349</v>
      </c>
      <c r="S60" s="6">
        <f t="shared" si="80"/>
        <v>55530.434782608703</v>
      </c>
      <c r="T60" s="6">
        <f t="shared" si="80"/>
        <v>411626.08695652173</v>
      </c>
      <c r="U60" s="6">
        <f t="shared" si="80"/>
        <v>525247.82608695654</v>
      </c>
      <c r="X60" s="6">
        <f t="shared" si="81"/>
        <v>269.56521739130437</v>
      </c>
    </row>
    <row r="61" spans="1:24" s="6" customFormat="1" x14ac:dyDescent="0.25">
      <c r="A61" s="10">
        <v>66</v>
      </c>
      <c r="B61" s="1">
        <v>1500000</v>
      </c>
      <c r="C61">
        <v>270437</v>
      </c>
      <c r="D61" s="6">
        <v>4125000</v>
      </c>
      <c r="E61" s="6">
        <f t="shared" si="76"/>
        <v>743701.75</v>
      </c>
      <c r="I61" s="6">
        <f t="shared" si="77"/>
        <v>4790775</v>
      </c>
      <c r="L61" s="6">
        <f t="shared" si="78"/>
        <v>12228425</v>
      </c>
      <c r="M61" s="6">
        <f t="shared" si="78"/>
        <v>5672425</v>
      </c>
      <c r="P61" s="6">
        <f t="shared" si="79"/>
        <v>378125</v>
      </c>
      <c r="R61" s="6">
        <f t="shared" si="80"/>
        <v>231000</v>
      </c>
      <c r="S61" s="6">
        <f t="shared" si="80"/>
        <v>2065800.0000000002</v>
      </c>
      <c r="T61" s="6">
        <f t="shared" si="80"/>
        <v>2992275.0000000005</v>
      </c>
      <c r="U61" s="6">
        <f t="shared" si="80"/>
        <v>2901800</v>
      </c>
      <c r="X61" s="6">
        <f t="shared" si="81"/>
        <v>194975</v>
      </c>
    </row>
    <row r="62" spans="1:24" s="6" customFormat="1" x14ac:dyDescent="0.25">
      <c r="A62" s="10">
        <v>67</v>
      </c>
      <c r="B62" s="1">
        <v>1010000</v>
      </c>
      <c r="C62">
        <v>149775</v>
      </c>
      <c r="D62" s="6">
        <v>1485000</v>
      </c>
      <c r="E62" s="6">
        <f t="shared" si="76"/>
        <v>220213.73762376237</v>
      </c>
      <c r="I62" s="6">
        <f t="shared" si="77"/>
        <v>5671082.6732673263</v>
      </c>
      <c r="L62" s="6">
        <f t="shared" si="78"/>
        <v>3610902.4752475247</v>
      </c>
      <c r="M62" s="6">
        <f t="shared" si="78"/>
        <v>2588604.9504950494</v>
      </c>
      <c r="P62" s="6">
        <f t="shared" si="79"/>
        <v>52195.544554455439</v>
      </c>
      <c r="R62" s="6">
        <f t="shared" si="80"/>
        <v>147323.76237623763</v>
      </c>
      <c r="S62" s="6">
        <f t="shared" si="80"/>
        <v>410065.84158415842</v>
      </c>
      <c r="T62" s="6">
        <f t="shared" si="80"/>
        <v>1230491.5841584157</v>
      </c>
      <c r="U62" s="6">
        <f t="shared" si="80"/>
        <v>685893.56435643556</v>
      </c>
      <c r="X62" s="6">
        <f t="shared" si="81"/>
        <v>27788.613861386137</v>
      </c>
    </row>
    <row r="63" spans="1:24" s="6" customFormat="1" x14ac:dyDescent="0.25">
      <c r="A63" s="10">
        <v>68</v>
      </c>
      <c r="B63" s="1">
        <v>1340000</v>
      </c>
      <c r="C63">
        <v>231723</v>
      </c>
      <c r="D63" s="6">
        <v>4340000</v>
      </c>
      <c r="E63" s="6">
        <f t="shared" si="76"/>
        <v>750505.8358208955</v>
      </c>
      <c r="I63" s="6">
        <f t="shared" si="77"/>
        <v>6690401.4925373131</v>
      </c>
      <c r="L63" s="6">
        <f t="shared" si="78"/>
        <v>13143074.626865672</v>
      </c>
      <c r="M63" s="6">
        <f t="shared" si="78"/>
        <v>7726819.4029850746</v>
      </c>
      <c r="P63" s="6">
        <f t="shared" si="79"/>
        <v>451813.43283582089</v>
      </c>
      <c r="R63" s="6">
        <f t="shared" si="80"/>
        <v>312868.65671641787</v>
      </c>
      <c r="S63" s="6">
        <f t="shared" si="80"/>
        <v>1598026.8656716417</v>
      </c>
      <c r="T63" s="6">
        <f t="shared" si="80"/>
        <v>3654992.5373134329</v>
      </c>
      <c r="U63" s="6">
        <f t="shared" si="80"/>
        <v>4154416.4179104478</v>
      </c>
      <c r="X63" s="6">
        <f t="shared" si="81"/>
        <v>137001.49253731343</v>
      </c>
    </row>
    <row r="64" spans="1:24" s="6" customFormat="1" x14ac:dyDescent="0.25">
      <c r="A64" s="10">
        <v>69</v>
      </c>
      <c r="B64" s="1">
        <v>1500000</v>
      </c>
      <c r="C64">
        <v>241800</v>
      </c>
      <c r="D64" s="6">
        <v>3985000</v>
      </c>
      <c r="E64" s="6">
        <f t="shared" si="76"/>
        <v>642382</v>
      </c>
      <c r="I64" s="6">
        <f t="shared" si="77"/>
        <v>7845933.666666666</v>
      </c>
      <c r="L64" s="6">
        <f t="shared" si="78"/>
        <v>12054093.666666666</v>
      </c>
      <c r="M64" s="6">
        <f t="shared" si="78"/>
        <v>5704394.666666667</v>
      </c>
      <c r="P64" s="6">
        <f t="shared" si="79"/>
        <v>77309</v>
      </c>
      <c r="R64" s="6">
        <f t="shared" si="80"/>
        <v>286654.33333333331</v>
      </c>
      <c r="S64" s="6">
        <f t="shared" si="80"/>
        <v>861025.66666666663</v>
      </c>
      <c r="T64" s="6">
        <f t="shared" si="80"/>
        <v>3041883.3333333335</v>
      </c>
      <c r="U64" s="6">
        <f t="shared" si="80"/>
        <v>4739493.333333334</v>
      </c>
      <c r="X64" s="6">
        <f t="shared" si="81"/>
        <v>136021.33333333334</v>
      </c>
    </row>
    <row r="65" spans="1:24" s="6" customFormat="1" x14ac:dyDescent="0.25">
      <c r="A65" s="10">
        <v>70</v>
      </c>
      <c r="B65" s="1">
        <v>1500000</v>
      </c>
      <c r="C65" s="1">
        <v>445000</v>
      </c>
      <c r="D65" s="6">
        <v>3770000</v>
      </c>
      <c r="E65" s="6">
        <f t="shared" si="76"/>
        <v>1118433.3333333335</v>
      </c>
      <c r="I65" s="6">
        <f t="shared" si="77"/>
        <v>7748104.0000000009</v>
      </c>
      <c r="L65" s="6">
        <f t="shared" si="78"/>
        <v>17346272.666666668</v>
      </c>
      <c r="M65" s="6">
        <f t="shared" si="78"/>
        <v>6889046.666666667</v>
      </c>
      <c r="P65" s="6">
        <f t="shared" si="79"/>
        <v>519003.33333333337</v>
      </c>
      <c r="R65" s="6">
        <f t="shared" si="80"/>
        <v>442849.33333333337</v>
      </c>
      <c r="S65" s="6">
        <f t="shared" si="80"/>
        <v>1604009.3333333337</v>
      </c>
      <c r="T65" s="6">
        <f t="shared" si="80"/>
        <v>3300760.6666666674</v>
      </c>
      <c r="U65" s="6">
        <f t="shared" si="80"/>
        <v>7464348.666666667</v>
      </c>
      <c r="X65" s="6">
        <f t="shared" si="81"/>
        <v>849004.00000000012</v>
      </c>
    </row>
    <row r="66" spans="1:24" s="6" customFormat="1" x14ac:dyDescent="0.25">
      <c r="A66" s="10">
        <v>71</v>
      </c>
      <c r="B66" s="1">
        <v>1100000</v>
      </c>
      <c r="C66" s="1">
        <v>447000</v>
      </c>
      <c r="D66" s="6">
        <v>3345000</v>
      </c>
      <c r="E66" s="6">
        <f t="shared" si="76"/>
        <v>1359286.3636363638</v>
      </c>
      <c r="I66" s="6">
        <f t="shared" si="77"/>
        <v>8407201.3636363652</v>
      </c>
      <c r="L66" s="6">
        <f t="shared" si="78"/>
        <v>15339561.81818182</v>
      </c>
      <c r="M66" s="6">
        <f t="shared" si="78"/>
        <v>9855282.2727272734</v>
      </c>
      <c r="P66" s="6">
        <f t="shared" si="79"/>
        <v>42572.727272727279</v>
      </c>
      <c r="R66" s="6">
        <f t="shared" si="80"/>
        <v>421470</v>
      </c>
      <c r="S66" s="6">
        <f t="shared" si="80"/>
        <v>648625.90909090918</v>
      </c>
      <c r="T66" s="6">
        <f t="shared" si="80"/>
        <v>3793230.0000000005</v>
      </c>
      <c r="U66" s="6">
        <f t="shared" si="80"/>
        <v>4033157.7272727275</v>
      </c>
      <c r="X66" s="6">
        <f t="shared" si="81"/>
        <v>5473.6363636363649</v>
      </c>
    </row>
    <row r="67" spans="1:24" s="6" customFormat="1" x14ac:dyDescent="0.25">
      <c r="A67" s="10">
        <v>72</v>
      </c>
      <c r="B67" s="1">
        <v>1500000</v>
      </c>
      <c r="C67" s="1">
        <v>438000</v>
      </c>
      <c r="D67" s="6">
        <v>4855000</v>
      </c>
      <c r="E67" s="6">
        <f t="shared" si="76"/>
        <v>1417660</v>
      </c>
      <c r="I67" s="6">
        <f t="shared" si="77"/>
        <v>8415009.666666666</v>
      </c>
      <c r="L67" s="6">
        <f t="shared" si="78"/>
        <v>14601898.000000002</v>
      </c>
      <c r="M67" s="6">
        <f t="shared" si="78"/>
        <v>10224953.666666668</v>
      </c>
      <c r="P67" s="6">
        <f t="shared" si="79"/>
        <v>100336.66666666666</v>
      </c>
      <c r="R67" s="6">
        <f t="shared" si="80"/>
        <v>431771.33333333331</v>
      </c>
      <c r="S67" s="6">
        <f t="shared" si="80"/>
        <v>428858.33333333337</v>
      </c>
      <c r="T67" s="6">
        <f t="shared" si="80"/>
        <v>6434817</v>
      </c>
      <c r="U67" s="6">
        <f t="shared" si="80"/>
        <v>4090499.333333333</v>
      </c>
      <c r="X67" s="6">
        <f t="shared" si="81"/>
        <v>43695</v>
      </c>
    </row>
    <row r="68" spans="1:24" s="6" customFormat="1" x14ac:dyDescent="0.25">
      <c r="A68" s="10">
        <v>73</v>
      </c>
      <c r="B68" s="1">
        <v>596000</v>
      </c>
      <c r="C68">
        <v>110231</v>
      </c>
      <c r="D68" s="6">
        <v>1110000</v>
      </c>
      <c r="E68" s="6">
        <f t="shared" si="76"/>
        <v>205295.98993288592</v>
      </c>
      <c r="I68" s="6">
        <f t="shared" si="77"/>
        <v>3004077.1812080536</v>
      </c>
      <c r="L68" s="6">
        <f t="shared" si="78"/>
        <v>2483531.8791946308</v>
      </c>
      <c r="M68" s="6">
        <f t="shared" si="78"/>
        <v>1526250</v>
      </c>
      <c r="P68" s="6">
        <f t="shared" si="79"/>
        <v>2234.8993288590605</v>
      </c>
      <c r="R68" s="6">
        <f t="shared" si="80"/>
        <v>54941.275167785243</v>
      </c>
      <c r="S68" s="6">
        <f t="shared" si="80"/>
        <v>89395.973154362422</v>
      </c>
      <c r="T68" s="6">
        <f t="shared" si="80"/>
        <v>293889.2617449665</v>
      </c>
      <c r="U68" s="6">
        <f t="shared" si="80"/>
        <v>656129.19463087257</v>
      </c>
      <c r="X68" s="6">
        <f>X34*$E68</f>
        <v>558.72483221476512</v>
      </c>
    </row>
    <row r="69" spans="1:24" s="6" customFormat="1" x14ac:dyDescent="0.25">
      <c r="A69" s="10">
        <v>74</v>
      </c>
      <c r="B69" s="1">
        <v>1500000</v>
      </c>
      <c r="C69" s="1">
        <v>448000</v>
      </c>
      <c r="D69" s="6">
        <v>2875000</v>
      </c>
      <c r="E69" s="6">
        <f t="shared" si="76"/>
        <v>858666.66666666674</v>
      </c>
      <c r="I69" s="6">
        <f t="shared" si="77"/>
        <v>13156766.666666668</v>
      </c>
      <c r="L69" s="6">
        <f t="shared" si="78"/>
        <v>18051550</v>
      </c>
      <c r="M69" s="6">
        <f t="shared" si="78"/>
        <v>7328183.3333333349</v>
      </c>
      <c r="P69" s="6">
        <f t="shared" si="79"/>
        <v>371833.33333333337</v>
      </c>
      <c r="R69" s="6">
        <f t="shared" si="80"/>
        <v>446775</v>
      </c>
      <c r="S69" s="6">
        <f t="shared" si="80"/>
        <v>2213366.6666666665</v>
      </c>
      <c r="T69" s="6">
        <f t="shared" si="80"/>
        <v>4592908.333333334</v>
      </c>
      <c r="U69" s="6">
        <f t="shared" si="80"/>
        <v>8065525.0000000009</v>
      </c>
      <c r="X69" s="6">
        <f t="shared" si="81"/>
        <v>551616.66666666674</v>
      </c>
    </row>
    <row r="70" spans="1:24" s="6" customFormat="1" x14ac:dyDescent="0.25">
      <c r="A70" s="10">
        <v>75</v>
      </c>
      <c r="B70" s="1">
        <v>1500000</v>
      </c>
      <c r="C70" s="1">
        <v>428000</v>
      </c>
      <c r="D70" s="6">
        <v>2890000</v>
      </c>
      <c r="E70" s="6">
        <f t="shared" si="76"/>
        <v>824613.33333333337</v>
      </c>
      <c r="I70" s="6">
        <f t="shared" si="77"/>
        <v>5883269.333333333</v>
      </c>
      <c r="L70" s="6">
        <f>L36*$E70</f>
        <v>12709642.000000002</v>
      </c>
      <c r="M70" s="6">
        <f>M36*$E70</f>
        <v>5588489.333333334</v>
      </c>
      <c r="P70" s="6">
        <f t="shared" si="79"/>
        <v>106930</v>
      </c>
      <c r="R70" s="6">
        <f t="shared" si="80"/>
        <v>288229.33333333337</v>
      </c>
      <c r="S70" s="6">
        <f t="shared" si="80"/>
        <v>389764.66666666669</v>
      </c>
      <c r="T70" s="6">
        <f t="shared" si="80"/>
        <v>2100452</v>
      </c>
      <c r="U70" s="6">
        <f t="shared" si="80"/>
        <v>5847433.333333334</v>
      </c>
      <c r="X70" s="6">
        <f t="shared" si="81"/>
        <v>153555.33333333334</v>
      </c>
    </row>
    <row r="71" spans="1:24" s="10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921A-2C00-8143-BDFC-D8A14C8F2599}">
  <dimension ref="A1:X70"/>
  <sheetViews>
    <sheetView topLeftCell="A24" zoomScale="61" workbookViewId="0">
      <selection activeCell="B54" sqref="B54"/>
    </sheetView>
  </sheetViews>
  <sheetFormatPr defaultColWidth="11" defaultRowHeight="15.75" x14ac:dyDescent="0.25"/>
  <sheetData>
    <row r="1" spans="1:24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</row>
    <row r="2" spans="1:24" x14ac:dyDescent="0.25">
      <c r="A2" t="s">
        <v>91</v>
      </c>
      <c r="B2" s="1">
        <v>1250000</v>
      </c>
      <c r="C2" s="1">
        <v>970000</v>
      </c>
      <c r="D2" s="1">
        <v>907000</v>
      </c>
      <c r="E2" s="1">
        <v>518000</v>
      </c>
      <c r="F2" s="1">
        <v>482000</v>
      </c>
      <c r="G2">
        <v>343404</v>
      </c>
      <c r="H2">
        <v>224162</v>
      </c>
      <c r="I2">
        <v>11934</v>
      </c>
      <c r="J2" s="1">
        <v>471000</v>
      </c>
      <c r="K2">
        <v>163662</v>
      </c>
      <c r="L2">
        <v>76179</v>
      </c>
      <c r="M2">
        <v>35831</v>
      </c>
      <c r="N2">
        <v>11525</v>
      </c>
      <c r="O2">
        <v>4635</v>
      </c>
      <c r="P2">
        <v>1730</v>
      </c>
      <c r="Q2">
        <v>4015</v>
      </c>
      <c r="R2">
        <v>2857</v>
      </c>
      <c r="S2">
        <v>4222</v>
      </c>
      <c r="T2">
        <v>4162</v>
      </c>
      <c r="U2">
        <v>32685</v>
      </c>
      <c r="V2">
        <v>7657</v>
      </c>
      <c r="W2">
        <v>2355</v>
      </c>
      <c r="X2">
        <v>1022</v>
      </c>
    </row>
    <row r="3" spans="1:24" x14ac:dyDescent="0.25">
      <c r="A3" t="s">
        <v>92</v>
      </c>
      <c r="B3" s="1">
        <v>1010000</v>
      </c>
      <c r="C3" s="1">
        <v>622000</v>
      </c>
      <c r="D3" s="1">
        <v>553000</v>
      </c>
      <c r="E3">
        <v>284411</v>
      </c>
      <c r="F3">
        <v>249595</v>
      </c>
      <c r="G3">
        <v>169861</v>
      </c>
      <c r="H3">
        <v>114773</v>
      </c>
      <c r="I3">
        <v>18274</v>
      </c>
      <c r="J3">
        <v>224357</v>
      </c>
      <c r="K3">
        <v>80613</v>
      </c>
      <c r="L3">
        <v>50525</v>
      </c>
      <c r="M3">
        <v>32671</v>
      </c>
      <c r="N3">
        <v>5484</v>
      </c>
      <c r="O3">
        <v>2224</v>
      </c>
      <c r="P3">
        <v>367</v>
      </c>
      <c r="Q3">
        <v>1615</v>
      </c>
      <c r="R3">
        <v>1143</v>
      </c>
      <c r="S3">
        <v>2889</v>
      </c>
      <c r="T3">
        <v>1077</v>
      </c>
      <c r="U3">
        <v>15443</v>
      </c>
      <c r="V3">
        <v>2394</v>
      </c>
      <c r="W3">
        <v>422</v>
      </c>
      <c r="X3">
        <v>45</v>
      </c>
    </row>
    <row r="4" spans="1:24" x14ac:dyDescent="0.25">
      <c r="A4" t="s">
        <v>93</v>
      </c>
      <c r="B4" s="1">
        <v>586000</v>
      </c>
      <c r="C4">
        <v>333687</v>
      </c>
      <c r="D4">
        <v>293346</v>
      </c>
      <c r="E4">
        <v>124076</v>
      </c>
      <c r="F4">
        <v>104181</v>
      </c>
      <c r="G4">
        <v>82777</v>
      </c>
      <c r="H4">
        <v>50012</v>
      </c>
      <c r="I4">
        <v>3241</v>
      </c>
      <c r="J4">
        <v>95175</v>
      </c>
      <c r="K4">
        <v>45173</v>
      </c>
      <c r="L4">
        <v>32935</v>
      </c>
      <c r="M4">
        <v>20966</v>
      </c>
      <c r="N4">
        <v>3159</v>
      </c>
      <c r="O4">
        <v>908</v>
      </c>
      <c r="P4">
        <v>136</v>
      </c>
      <c r="Q4">
        <v>926</v>
      </c>
      <c r="R4">
        <v>643</v>
      </c>
      <c r="S4">
        <v>935</v>
      </c>
      <c r="T4">
        <v>1022</v>
      </c>
      <c r="U4">
        <v>10973</v>
      </c>
      <c r="V4">
        <v>1408</v>
      </c>
      <c r="W4">
        <v>159</v>
      </c>
      <c r="X4">
        <v>17</v>
      </c>
    </row>
    <row r="5" spans="1:24" x14ac:dyDescent="0.25">
      <c r="A5" t="s">
        <v>94</v>
      </c>
      <c r="B5" s="1">
        <v>983000</v>
      </c>
      <c r="C5" s="1">
        <v>577000</v>
      </c>
      <c r="D5" s="1">
        <v>506000</v>
      </c>
      <c r="E5">
        <v>235630</v>
      </c>
      <c r="F5">
        <v>198700</v>
      </c>
      <c r="G5">
        <v>169068</v>
      </c>
      <c r="H5">
        <v>124213</v>
      </c>
      <c r="I5">
        <v>12952</v>
      </c>
      <c r="J5">
        <v>177844</v>
      </c>
      <c r="K5">
        <v>49964</v>
      </c>
      <c r="L5">
        <v>32513</v>
      </c>
      <c r="M5">
        <v>20332</v>
      </c>
      <c r="N5">
        <v>4074</v>
      </c>
      <c r="O5">
        <v>969</v>
      </c>
      <c r="P5">
        <v>173</v>
      </c>
      <c r="Q5">
        <v>1985</v>
      </c>
      <c r="R5">
        <v>1128</v>
      </c>
      <c r="S5">
        <v>1043</v>
      </c>
      <c r="T5">
        <v>1357</v>
      </c>
      <c r="U5">
        <v>9636</v>
      </c>
      <c r="V5">
        <v>1824</v>
      </c>
      <c r="W5">
        <v>383</v>
      </c>
      <c r="X5">
        <v>61</v>
      </c>
    </row>
    <row r="6" spans="1:24" x14ac:dyDescent="0.25">
      <c r="A6" t="s">
        <v>95</v>
      </c>
      <c r="B6" s="1">
        <v>732000</v>
      </c>
      <c r="C6">
        <v>343051</v>
      </c>
      <c r="D6">
        <v>313847</v>
      </c>
      <c r="E6">
        <v>107093</v>
      </c>
      <c r="F6">
        <v>79474</v>
      </c>
      <c r="G6">
        <v>53812</v>
      </c>
      <c r="H6">
        <v>35765</v>
      </c>
      <c r="I6">
        <v>5791</v>
      </c>
      <c r="J6">
        <v>71456</v>
      </c>
      <c r="K6">
        <v>24016</v>
      </c>
      <c r="L6">
        <v>15880</v>
      </c>
      <c r="M6">
        <v>10276</v>
      </c>
      <c r="N6">
        <v>2209</v>
      </c>
      <c r="O6">
        <v>803</v>
      </c>
      <c r="P6">
        <v>21</v>
      </c>
      <c r="Q6">
        <v>778</v>
      </c>
      <c r="R6">
        <v>441</v>
      </c>
      <c r="S6">
        <v>552</v>
      </c>
      <c r="T6">
        <v>356</v>
      </c>
      <c r="U6">
        <v>4275</v>
      </c>
      <c r="V6">
        <v>932</v>
      </c>
      <c r="W6">
        <v>273</v>
      </c>
      <c r="X6">
        <v>3</v>
      </c>
    </row>
    <row r="7" spans="1:24" x14ac:dyDescent="0.25">
      <c r="A7" t="s">
        <v>96</v>
      </c>
      <c r="B7" s="1">
        <v>609000</v>
      </c>
      <c r="C7">
        <v>341536</v>
      </c>
      <c r="D7">
        <v>315104</v>
      </c>
      <c r="E7">
        <v>175189</v>
      </c>
      <c r="F7">
        <v>151213</v>
      </c>
      <c r="G7">
        <v>112046</v>
      </c>
      <c r="H7">
        <v>84960</v>
      </c>
      <c r="I7">
        <v>10529</v>
      </c>
      <c r="J7">
        <v>139181</v>
      </c>
      <c r="K7">
        <v>56447</v>
      </c>
      <c r="L7">
        <v>27363</v>
      </c>
      <c r="M7">
        <v>15093</v>
      </c>
      <c r="N7">
        <v>2174</v>
      </c>
      <c r="O7">
        <v>1058</v>
      </c>
      <c r="P7">
        <v>33</v>
      </c>
      <c r="Q7">
        <v>1540</v>
      </c>
      <c r="R7">
        <v>1036</v>
      </c>
      <c r="S7">
        <v>1029</v>
      </c>
      <c r="T7">
        <v>962</v>
      </c>
      <c r="U7">
        <v>10608</v>
      </c>
      <c r="V7">
        <v>1398</v>
      </c>
      <c r="W7">
        <v>287</v>
      </c>
      <c r="X7">
        <v>2</v>
      </c>
    </row>
    <row r="8" spans="1:24" x14ac:dyDescent="0.25">
      <c r="A8" t="s">
        <v>97</v>
      </c>
      <c r="B8" s="1">
        <v>612000</v>
      </c>
      <c r="C8">
        <v>343057</v>
      </c>
      <c r="D8">
        <v>322110</v>
      </c>
      <c r="E8">
        <v>190347</v>
      </c>
      <c r="F8">
        <v>164188</v>
      </c>
      <c r="G8">
        <v>111802</v>
      </c>
      <c r="H8">
        <v>75142</v>
      </c>
      <c r="I8">
        <v>3094</v>
      </c>
      <c r="J8">
        <v>158309</v>
      </c>
      <c r="K8">
        <v>50483</v>
      </c>
      <c r="L8">
        <v>35280</v>
      </c>
      <c r="M8">
        <v>20109</v>
      </c>
      <c r="N8">
        <v>1386</v>
      </c>
      <c r="O8">
        <v>554</v>
      </c>
      <c r="P8">
        <v>31</v>
      </c>
      <c r="Q8">
        <v>1161</v>
      </c>
      <c r="R8">
        <v>646</v>
      </c>
      <c r="S8">
        <v>544</v>
      </c>
      <c r="T8">
        <v>762</v>
      </c>
      <c r="U8">
        <v>13905</v>
      </c>
      <c r="V8">
        <v>1019</v>
      </c>
      <c r="W8">
        <v>235</v>
      </c>
      <c r="X8">
        <v>20</v>
      </c>
    </row>
    <row r="9" spans="1:24" x14ac:dyDescent="0.25">
      <c r="A9" t="s">
        <v>98</v>
      </c>
      <c r="B9" s="1">
        <v>675000</v>
      </c>
      <c r="C9" s="1">
        <v>411000</v>
      </c>
      <c r="D9">
        <v>374535</v>
      </c>
      <c r="E9">
        <v>228728</v>
      </c>
      <c r="F9">
        <v>183646</v>
      </c>
      <c r="G9">
        <v>121071</v>
      </c>
      <c r="H9">
        <v>82365</v>
      </c>
      <c r="I9">
        <v>15037</v>
      </c>
      <c r="J9">
        <v>156703</v>
      </c>
      <c r="K9">
        <v>46036</v>
      </c>
      <c r="L9">
        <v>35002</v>
      </c>
      <c r="M9">
        <v>22111</v>
      </c>
      <c r="N9">
        <v>1806</v>
      </c>
      <c r="O9">
        <v>716</v>
      </c>
      <c r="P9">
        <v>25</v>
      </c>
      <c r="Q9">
        <v>826</v>
      </c>
      <c r="R9">
        <v>568</v>
      </c>
      <c r="S9">
        <v>334</v>
      </c>
      <c r="T9">
        <v>459</v>
      </c>
      <c r="U9">
        <v>12119</v>
      </c>
      <c r="V9">
        <v>703</v>
      </c>
      <c r="W9">
        <v>153</v>
      </c>
      <c r="X9">
        <v>6</v>
      </c>
    </row>
    <row r="10" spans="1:24" x14ac:dyDescent="0.25">
      <c r="A10" t="s">
        <v>99</v>
      </c>
      <c r="B10">
        <v>328000</v>
      </c>
      <c r="C10">
        <v>181676</v>
      </c>
      <c r="D10">
        <v>169360</v>
      </c>
      <c r="E10">
        <v>57832</v>
      </c>
      <c r="F10">
        <v>47520</v>
      </c>
      <c r="G10">
        <v>34296</v>
      </c>
      <c r="H10">
        <v>19211</v>
      </c>
      <c r="I10">
        <v>8033</v>
      </c>
      <c r="J10">
        <v>35683</v>
      </c>
      <c r="K10">
        <v>17813</v>
      </c>
      <c r="L10">
        <v>13353</v>
      </c>
      <c r="M10">
        <v>8598</v>
      </c>
      <c r="N10">
        <v>1300</v>
      </c>
      <c r="O10">
        <v>494</v>
      </c>
      <c r="P10">
        <v>24</v>
      </c>
      <c r="Q10">
        <v>346</v>
      </c>
      <c r="R10">
        <v>232</v>
      </c>
      <c r="S10">
        <v>194</v>
      </c>
      <c r="T10">
        <v>139</v>
      </c>
      <c r="U10">
        <v>4199</v>
      </c>
      <c r="V10">
        <v>579</v>
      </c>
      <c r="W10">
        <v>176</v>
      </c>
      <c r="X10">
        <v>12</v>
      </c>
    </row>
    <row r="11" spans="1:24" x14ac:dyDescent="0.25">
      <c r="A11" t="s">
        <v>100</v>
      </c>
      <c r="B11" s="1">
        <v>921000</v>
      </c>
      <c r="C11" s="1">
        <v>456000</v>
      </c>
      <c r="D11" s="1">
        <v>416000</v>
      </c>
      <c r="E11">
        <v>181101</v>
      </c>
      <c r="F11">
        <v>174968</v>
      </c>
      <c r="G11">
        <v>97222</v>
      </c>
      <c r="H11">
        <v>74964</v>
      </c>
      <c r="I11">
        <v>11585</v>
      </c>
      <c r="J11">
        <v>162299</v>
      </c>
      <c r="K11">
        <v>40931</v>
      </c>
      <c r="L11">
        <v>22243</v>
      </c>
      <c r="M11">
        <v>15443</v>
      </c>
      <c r="N11">
        <v>1979</v>
      </c>
      <c r="O11">
        <v>314</v>
      </c>
      <c r="P11">
        <v>17</v>
      </c>
      <c r="Q11">
        <v>399</v>
      </c>
      <c r="R11">
        <v>287</v>
      </c>
      <c r="S11">
        <v>154</v>
      </c>
      <c r="T11">
        <v>112</v>
      </c>
      <c r="U11">
        <v>6397</v>
      </c>
      <c r="V11">
        <v>814</v>
      </c>
      <c r="W11">
        <v>42</v>
      </c>
      <c r="X11">
        <v>3</v>
      </c>
    </row>
    <row r="12" spans="1:24" x14ac:dyDescent="0.25">
      <c r="A12" t="s">
        <v>101</v>
      </c>
      <c r="B12" s="1">
        <v>717000</v>
      </c>
      <c r="C12" s="1">
        <v>407000</v>
      </c>
      <c r="D12">
        <v>371279</v>
      </c>
      <c r="E12">
        <v>162100</v>
      </c>
      <c r="F12">
        <v>158903</v>
      </c>
      <c r="G12">
        <v>108907</v>
      </c>
      <c r="H12">
        <v>64655</v>
      </c>
      <c r="I12">
        <v>5613</v>
      </c>
      <c r="J12">
        <v>152189</v>
      </c>
      <c r="K12">
        <v>61967</v>
      </c>
      <c r="L12">
        <v>44368</v>
      </c>
      <c r="M12">
        <v>27214</v>
      </c>
      <c r="N12">
        <v>4936</v>
      </c>
      <c r="O12">
        <v>833</v>
      </c>
      <c r="P12">
        <v>55</v>
      </c>
      <c r="Q12">
        <v>702</v>
      </c>
      <c r="R12">
        <v>483</v>
      </c>
      <c r="S12">
        <v>426</v>
      </c>
      <c r="T12">
        <v>383</v>
      </c>
      <c r="U12">
        <v>15209</v>
      </c>
      <c r="V12">
        <v>2823</v>
      </c>
      <c r="W12">
        <v>116</v>
      </c>
      <c r="X12">
        <v>12</v>
      </c>
    </row>
    <row r="13" spans="1:24" x14ac:dyDescent="0.25">
      <c r="A13" t="s">
        <v>102</v>
      </c>
      <c r="B13" s="1">
        <v>992000</v>
      </c>
      <c r="C13" s="1">
        <v>639000</v>
      </c>
      <c r="D13" s="1">
        <v>602000</v>
      </c>
      <c r="E13">
        <v>317346</v>
      </c>
      <c r="F13">
        <v>308919</v>
      </c>
      <c r="G13">
        <v>210633</v>
      </c>
      <c r="H13">
        <v>151032</v>
      </c>
      <c r="I13">
        <v>38496</v>
      </c>
      <c r="J13">
        <v>251042</v>
      </c>
      <c r="K13">
        <v>66026</v>
      </c>
      <c r="L13">
        <v>46350</v>
      </c>
      <c r="M13">
        <v>31019</v>
      </c>
      <c r="N13">
        <v>5510</v>
      </c>
      <c r="O13">
        <v>2714</v>
      </c>
      <c r="P13">
        <v>793</v>
      </c>
      <c r="Q13">
        <v>2125</v>
      </c>
      <c r="R13">
        <v>1392</v>
      </c>
      <c r="S13">
        <v>680</v>
      </c>
      <c r="T13">
        <v>1676</v>
      </c>
      <c r="U13">
        <v>14081</v>
      </c>
      <c r="V13">
        <v>2309</v>
      </c>
      <c r="W13">
        <v>796</v>
      </c>
      <c r="X13">
        <v>373</v>
      </c>
    </row>
    <row r="14" spans="1:24" x14ac:dyDescent="0.25">
      <c r="A14" t="s">
        <v>103</v>
      </c>
      <c r="B14" s="1">
        <v>589000</v>
      </c>
      <c r="C14">
        <v>290916</v>
      </c>
      <c r="D14">
        <v>271741</v>
      </c>
      <c r="E14">
        <v>78228</v>
      </c>
      <c r="F14">
        <v>73963</v>
      </c>
      <c r="G14">
        <v>50634</v>
      </c>
      <c r="H14">
        <v>29575</v>
      </c>
      <c r="I14">
        <v>12424</v>
      </c>
      <c r="J14">
        <v>57624</v>
      </c>
      <c r="K14">
        <v>26955</v>
      </c>
      <c r="L14">
        <v>20531</v>
      </c>
      <c r="M14">
        <v>14446</v>
      </c>
      <c r="N14">
        <v>3472</v>
      </c>
      <c r="O14">
        <v>850</v>
      </c>
      <c r="P14">
        <v>46</v>
      </c>
      <c r="Q14">
        <v>761</v>
      </c>
      <c r="R14">
        <v>491</v>
      </c>
      <c r="S14">
        <v>219</v>
      </c>
      <c r="T14">
        <v>425</v>
      </c>
      <c r="U14">
        <v>5635</v>
      </c>
      <c r="V14">
        <v>1103</v>
      </c>
      <c r="W14">
        <v>132</v>
      </c>
      <c r="X14">
        <v>4</v>
      </c>
    </row>
    <row r="15" spans="1:24" x14ac:dyDescent="0.25">
      <c r="A15" t="s">
        <v>104</v>
      </c>
      <c r="B15" s="1">
        <v>660000</v>
      </c>
      <c r="C15">
        <v>357119</v>
      </c>
      <c r="D15">
        <v>324042</v>
      </c>
      <c r="E15">
        <v>120541</v>
      </c>
      <c r="F15">
        <v>114937</v>
      </c>
      <c r="G15">
        <v>79872</v>
      </c>
      <c r="H15">
        <v>43784</v>
      </c>
      <c r="I15">
        <v>3070</v>
      </c>
      <c r="J15">
        <v>110503</v>
      </c>
      <c r="K15">
        <v>49000</v>
      </c>
      <c r="L15">
        <v>36687</v>
      </c>
      <c r="M15">
        <v>22075</v>
      </c>
      <c r="N15">
        <v>5739</v>
      </c>
      <c r="O15">
        <v>560</v>
      </c>
      <c r="P15">
        <v>7</v>
      </c>
      <c r="Q15">
        <v>417</v>
      </c>
      <c r="R15">
        <v>250</v>
      </c>
      <c r="S15">
        <v>282</v>
      </c>
      <c r="T15">
        <v>236</v>
      </c>
      <c r="U15">
        <v>13408</v>
      </c>
      <c r="V15">
        <v>3846</v>
      </c>
      <c r="W15">
        <v>71</v>
      </c>
      <c r="X15">
        <v>0</v>
      </c>
    </row>
    <row r="16" spans="1:24" x14ac:dyDescent="0.25">
      <c r="A16" t="s">
        <v>105</v>
      </c>
      <c r="B16" s="1">
        <v>531000</v>
      </c>
      <c r="C16">
        <v>315467</v>
      </c>
      <c r="D16">
        <v>295244</v>
      </c>
      <c r="E16">
        <v>133608</v>
      </c>
      <c r="F16">
        <v>128420</v>
      </c>
      <c r="G16">
        <v>93805</v>
      </c>
      <c r="H16">
        <v>68344</v>
      </c>
      <c r="I16">
        <v>31271</v>
      </c>
      <c r="J16">
        <v>88025</v>
      </c>
      <c r="K16">
        <v>29960</v>
      </c>
      <c r="L16">
        <v>22361</v>
      </c>
      <c r="M16">
        <v>16353</v>
      </c>
      <c r="N16">
        <v>1506</v>
      </c>
      <c r="O16">
        <v>815</v>
      </c>
      <c r="P16">
        <v>107</v>
      </c>
      <c r="Q16">
        <v>1245</v>
      </c>
      <c r="R16">
        <v>875</v>
      </c>
      <c r="S16">
        <v>448</v>
      </c>
      <c r="T16">
        <v>474</v>
      </c>
      <c r="U16">
        <v>5333</v>
      </c>
      <c r="V16">
        <v>440</v>
      </c>
      <c r="W16">
        <v>179</v>
      </c>
      <c r="X16">
        <v>32</v>
      </c>
    </row>
    <row r="17" spans="1:24" ht="27" customHeight="1" x14ac:dyDescent="0.25">
      <c r="B17" s="1" t="s">
        <v>70</v>
      </c>
      <c r="C17" s="1" t="s">
        <v>71</v>
      </c>
      <c r="D17" s="1" t="s">
        <v>72</v>
      </c>
      <c r="E17" s="1" t="s">
        <v>73</v>
      </c>
      <c r="F17" s="1" t="s">
        <v>74</v>
      </c>
      <c r="G17" s="1" t="s">
        <v>75</v>
      </c>
      <c r="H17" s="1" t="s">
        <v>76</v>
      </c>
      <c r="I17" s="3" t="s">
        <v>18</v>
      </c>
      <c r="J17" s="1" t="s">
        <v>77</v>
      </c>
      <c r="K17" s="1" t="s">
        <v>78</v>
      </c>
      <c r="L17" s="3" t="s">
        <v>12</v>
      </c>
      <c r="M17" s="3" t="s">
        <v>79</v>
      </c>
      <c r="P17" s="4" t="s">
        <v>80</v>
      </c>
      <c r="R17" s="4" t="s">
        <v>25</v>
      </c>
      <c r="S17" s="4" t="s">
        <v>81</v>
      </c>
      <c r="T17" s="4" t="s">
        <v>82</v>
      </c>
      <c r="U17" s="4" t="s">
        <v>83</v>
      </c>
      <c r="X17" s="4" t="s">
        <v>84</v>
      </c>
    </row>
    <row r="18" spans="1:24" x14ac:dyDescent="0.25">
      <c r="B18" s="1"/>
      <c r="I18" s="4"/>
      <c r="L18" s="4"/>
      <c r="M18" s="4"/>
      <c r="P18" s="4"/>
      <c r="R18" s="4"/>
      <c r="S18" s="4"/>
      <c r="T18" s="4"/>
      <c r="U18" s="4"/>
      <c r="X18" s="4"/>
    </row>
    <row r="19" spans="1:24" s="7" customFormat="1" x14ac:dyDescent="0.25">
      <c r="A19" s="7" t="s">
        <v>85</v>
      </c>
    </row>
    <row r="20" spans="1:24" ht="27" customHeight="1" x14ac:dyDescent="0.25">
      <c r="A20" s="7"/>
      <c r="B20" s="1" t="s">
        <v>70</v>
      </c>
      <c r="C20" s="1" t="s">
        <v>71</v>
      </c>
      <c r="D20" s="1" t="s">
        <v>72</v>
      </c>
      <c r="E20" s="1" t="s">
        <v>73</v>
      </c>
      <c r="F20" s="1" t="s">
        <v>74</v>
      </c>
      <c r="G20" s="1" t="s">
        <v>75</v>
      </c>
      <c r="H20" s="1" t="s">
        <v>76</v>
      </c>
      <c r="I20" s="3" t="s">
        <v>18</v>
      </c>
      <c r="J20" s="1" t="s">
        <v>77</v>
      </c>
      <c r="K20" s="1" t="s">
        <v>78</v>
      </c>
      <c r="L20" s="3" t="s">
        <v>12</v>
      </c>
      <c r="M20" s="3" t="s">
        <v>79</v>
      </c>
      <c r="P20" s="4" t="s">
        <v>80</v>
      </c>
      <c r="R20" s="4" t="s">
        <v>25</v>
      </c>
      <c r="S20" s="4" t="s">
        <v>81</v>
      </c>
      <c r="T20" s="4" t="s">
        <v>82</v>
      </c>
      <c r="U20" s="4" t="s">
        <v>83</v>
      </c>
      <c r="X20" s="4" t="s">
        <v>84</v>
      </c>
    </row>
    <row r="21" spans="1:24" x14ac:dyDescent="0.25">
      <c r="A21" s="7">
        <v>46</v>
      </c>
      <c r="F21">
        <f>100*F2/$E2</f>
        <v>93.050193050193045</v>
      </c>
      <c r="G21">
        <f>100*G2/$E2</f>
        <v>66.29420849420849</v>
      </c>
      <c r="H21">
        <f>100*H2/$E2</f>
        <v>43.274517374517373</v>
      </c>
      <c r="I21" s="4">
        <f>100*I2/$E2</f>
        <v>2.3038610038610039</v>
      </c>
      <c r="J21">
        <f t="shared" ref="J21:U21" si="0">100*J2/$E2</f>
        <v>90.926640926640928</v>
      </c>
      <c r="K21">
        <f t="shared" si="0"/>
        <v>31.594980694980695</v>
      </c>
      <c r="L21" s="4">
        <f t="shared" si="0"/>
        <v>14.706370656370657</v>
      </c>
      <c r="M21" s="4">
        <f t="shared" si="0"/>
        <v>6.9171814671814671</v>
      </c>
      <c r="N21">
        <f t="shared" si="0"/>
        <v>2.2249034749034751</v>
      </c>
      <c r="O21">
        <f t="shared" si="0"/>
        <v>0.89478764478764483</v>
      </c>
      <c r="P21" s="4">
        <f t="shared" si="0"/>
        <v>0.33397683397683398</v>
      </c>
      <c r="Q21">
        <f t="shared" si="0"/>
        <v>0.77509652509652505</v>
      </c>
      <c r="R21" s="4">
        <f t="shared" si="0"/>
        <v>0.55154440154440154</v>
      </c>
      <c r="S21" s="4">
        <f t="shared" si="0"/>
        <v>0.81505791505791503</v>
      </c>
      <c r="T21" s="4">
        <f t="shared" si="0"/>
        <v>0.80347490347490347</v>
      </c>
      <c r="U21" s="4">
        <f t="shared" si="0"/>
        <v>6.3098455598455603</v>
      </c>
      <c r="X21" s="4">
        <f>100*X2/$E2</f>
        <v>0.19729729729729731</v>
      </c>
    </row>
    <row r="22" spans="1:24" x14ac:dyDescent="0.25">
      <c r="A22" s="7">
        <v>47</v>
      </c>
      <c r="F22">
        <f t="shared" ref="F22:U22" si="1">100*F3/$E3</f>
        <v>87.758560674516815</v>
      </c>
      <c r="G22">
        <f t="shared" si="1"/>
        <v>59.723780022572967</v>
      </c>
      <c r="H22">
        <f t="shared" si="1"/>
        <v>40.354627633952276</v>
      </c>
      <c r="I22" s="4">
        <f t="shared" si="1"/>
        <v>6.4252085889786263</v>
      </c>
      <c r="J22">
        <f t="shared" si="1"/>
        <v>78.884782937368811</v>
      </c>
      <c r="K22">
        <f>100*K3/$E3</f>
        <v>28.343840428112838</v>
      </c>
      <c r="L22" s="4">
        <f t="shared" si="1"/>
        <v>17.7647840625011</v>
      </c>
      <c r="M22" s="4">
        <f t="shared" si="1"/>
        <v>11.487249086709022</v>
      </c>
      <c r="N22">
        <f t="shared" si="1"/>
        <v>1.9281954636072445</v>
      </c>
      <c r="O22">
        <f t="shared" si="1"/>
        <v>0.78196694220687668</v>
      </c>
      <c r="P22" s="4">
        <f t="shared" si="1"/>
        <v>0.12903860961777147</v>
      </c>
      <c r="Q22">
        <f t="shared" si="1"/>
        <v>0.5678402030863785</v>
      </c>
      <c r="R22" s="4">
        <f t="shared" si="1"/>
        <v>0.40188319017196944</v>
      </c>
      <c r="S22" s="4">
        <f t="shared" si="1"/>
        <v>1.015783496418915</v>
      </c>
      <c r="T22" s="4">
        <f t="shared" si="1"/>
        <v>0.37867733667122577</v>
      </c>
      <c r="U22" s="4">
        <f t="shared" si="1"/>
        <v>5.4298181153330916</v>
      </c>
      <c r="X22" s="4">
        <f t="shared" ref="X22:X26" si="2">100*X3/$E3</f>
        <v>1.582217284141612E-2</v>
      </c>
    </row>
    <row r="23" spans="1:24" x14ac:dyDescent="0.25">
      <c r="A23" s="7">
        <v>48</v>
      </c>
      <c r="F23">
        <f t="shared" ref="F23:U23" si="3">100*F4/$E4</f>
        <v>83.965472774750964</v>
      </c>
      <c r="G23">
        <f t="shared" si="3"/>
        <v>66.714755472452367</v>
      </c>
      <c r="H23">
        <f t="shared" si="3"/>
        <v>40.307553434991455</v>
      </c>
      <c r="I23" s="4">
        <f t="shared" si="3"/>
        <v>2.6121087075663305</v>
      </c>
      <c r="J23">
        <f t="shared" si="3"/>
        <v>76.707018279119254</v>
      </c>
      <c r="K23">
        <f t="shared" si="3"/>
        <v>36.407524420516459</v>
      </c>
      <c r="L23" s="4">
        <f t="shared" si="3"/>
        <v>26.544214836068218</v>
      </c>
      <c r="M23" s="4">
        <f t="shared" si="3"/>
        <v>16.897707856475062</v>
      </c>
      <c r="N23">
        <f t="shared" si="3"/>
        <v>2.5460201811792773</v>
      </c>
      <c r="O23">
        <f t="shared" si="3"/>
        <v>0.73180953609078303</v>
      </c>
      <c r="P23" s="4">
        <f t="shared" si="3"/>
        <v>0.10961023888584416</v>
      </c>
      <c r="Q23">
        <f t="shared" si="3"/>
        <v>0.74631677359038007</v>
      </c>
      <c r="R23" s="4">
        <f t="shared" si="3"/>
        <v>0.51823076179116023</v>
      </c>
      <c r="S23" s="4">
        <f t="shared" si="3"/>
        <v>0.75357039234017864</v>
      </c>
      <c r="T23" s="4">
        <f t="shared" si="3"/>
        <v>0.82368870692156415</v>
      </c>
      <c r="U23" s="4">
        <f t="shared" si="3"/>
        <v>8.8437731712821179</v>
      </c>
      <c r="X23" s="4">
        <f t="shared" si="2"/>
        <v>1.370127986073052E-2</v>
      </c>
    </row>
    <row r="24" spans="1:24" x14ac:dyDescent="0.25">
      <c r="A24" s="7">
        <v>49</v>
      </c>
      <c r="F24">
        <f t="shared" ref="F24:U24" si="4">100*F5/$E5</f>
        <v>84.327123031872006</v>
      </c>
      <c r="G24">
        <f t="shared" si="4"/>
        <v>71.751474769766162</v>
      </c>
      <c r="H24">
        <f t="shared" si="4"/>
        <v>52.715273946441457</v>
      </c>
      <c r="I24" s="4">
        <f t="shared" si="4"/>
        <v>5.4967533845435641</v>
      </c>
      <c r="J24">
        <f t="shared" si="4"/>
        <v>75.475958069855281</v>
      </c>
      <c r="K24">
        <f t="shared" si="4"/>
        <v>21.204430675211135</v>
      </c>
      <c r="L24" s="4">
        <f t="shared" si="4"/>
        <v>13.798327886941392</v>
      </c>
      <c r="M24" s="4">
        <f t="shared" si="4"/>
        <v>8.6287824131052915</v>
      </c>
      <c r="N24">
        <f t="shared" si="4"/>
        <v>1.7289818783686288</v>
      </c>
      <c r="O24">
        <f t="shared" si="4"/>
        <v>0.41123795781521877</v>
      </c>
      <c r="P24" s="4">
        <f t="shared" si="4"/>
        <v>7.3420192674956503E-2</v>
      </c>
      <c r="Q24">
        <f t="shared" si="4"/>
        <v>0.84242244196409621</v>
      </c>
      <c r="R24" s="4">
        <f t="shared" si="4"/>
        <v>0.47871663200780884</v>
      </c>
      <c r="S24" s="4">
        <f t="shared" si="4"/>
        <v>0.44264312693629843</v>
      </c>
      <c r="T24" s="4">
        <f t="shared" si="4"/>
        <v>0.5759028986122311</v>
      </c>
      <c r="U24" s="4">
        <f t="shared" si="4"/>
        <v>4.0894622925773456</v>
      </c>
      <c r="X24" s="4">
        <f t="shared" si="2"/>
        <v>2.5888044816025125E-2</v>
      </c>
    </row>
    <row r="25" spans="1:24" x14ac:dyDescent="0.25">
      <c r="A25" s="7">
        <v>50</v>
      </c>
      <c r="F25">
        <f t="shared" ref="F25:J25" si="5">100*F6/$E6</f>
        <v>74.21026584370594</v>
      </c>
      <c r="G25">
        <f t="shared" si="5"/>
        <v>50.247915363282381</v>
      </c>
      <c r="H25">
        <f t="shared" si="5"/>
        <v>33.39620703500696</v>
      </c>
      <c r="I25" s="4">
        <f t="shared" si="5"/>
        <v>5.4074495998804775</v>
      </c>
      <c r="J25">
        <f t="shared" si="5"/>
        <v>66.723315249362699</v>
      </c>
      <c r="K25">
        <f>100*K6/$E6</f>
        <v>22.425368604857461</v>
      </c>
      <c r="L25" s="4">
        <f t="shared" ref="L25:U25" si="6">100*L6/$E6</f>
        <v>14.828233404610945</v>
      </c>
      <c r="M25" s="4">
        <f t="shared" si="6"/>
        <v>9.5953983920517683</v>
      </c>
      <c r="N25">
        <f t="shared" si="6"/>
        <v>2.0626931732232734</v>
      </c>
      <c r="O25">
        <f t="shared" si="6"/>
        <v>0.74981558085028899</v>
      </c>
      <c r="P25" s="4">
        <f t="shared" si="6"/>
        <v>1.9609124779397347E-2</v>
      </c>
      <c r="Q25">
        <f t="shared" si="6"/>
        <v>0.7264713846843398</v>
      </c>
      <c r="R25" s="4">
        <f t="shared" si="6"/>
        <v>0.41179162036734429</v>
      </c>
      <c r="S25" s="4">
        <f t="shared" si="6"/>
        <v>0.51543985134415882</v>
      </c>
      <c r="T25" s="4">
        <f t="shared" si="6"/>
        <v>0.3324213534031169</v>
      </c>
      <c r="U25" s="4">
        <f t="shared" si="6"/>
        <v>3.991857544377317</v>
      </c>
      <c r="X25" s="4">
        <f t="shared" si="2"/>
        <v>2.8013035399139068E-3</v>
      </c>
    </row>
    <row r="26" spans="1:24" x14ac:dyDescent="0.25">
      <c r="A26" s="7">
        <v>51</v>
      </c>
      <c r="F26">
        <f t="shared" ref="F26:U26" si="7">100*F7/$E7</f>
        <v>86.314209225465063</v>
      </c>
      <c r="G26">
        <f t="shared" si="7"/>
        <v>63.957211925406277</v>
      </c>
      <c r="H26">
        <f t="shared" si="7"/>
        <v>48.496195537391046</v>
      </c>
      <c r="I26" s="4">
        <f t="shared" si="7"/>
        <v>6.0100805415865155</v>
      </c>
      <c r="J26">
        <f t="shared" si="7"/>
        <v>79.446198106045472</v>
      </c>
      <c r="K26">
        <f t="shared" si="7"/>
        <v>32.220630290714602</v>
      </c>
      <c r="L26" s="4">
        <f t="shared" si="7"/>
        <v>15.619131338154792</v>
      </c>
      <c r="M26" s="4">
        <f t="shared" si="7"/>
        <v>8.6152669402759301</v>
      </c>
      <c r="N26">
        <f t="shared" si="7"/>
        <v>1.240945493153109</v>
      </c>
      <c r="O26">
        <f t="shared" si="7"/>
        <v>0.60391919583992149</v>
      </c>
      <c r="P26" s="4">
        <f t="shared" si="7"/>
        <v>1.883679911409963E-2</v>
      </c>
      <c r="Q26">
        <f t="shared" si="7"/>
        <v>0.87905062532464939</v>
      </c>
      <c r="R26" s="4">
        <f t="shared" si="7"/>
        <v>0.59136132976385503</v>
      </c>
      <c r="S26" s="4">
        <f t="shared" si="7"/>
        <v>0.58736564510328848</v>
      </c>
      <c r="T26" s="4">
        <f t="shared" si="7"/>
        <v>0.5491212347807225</v>
      </c>
      <c r="U26" s="4">
        <f t="shared" si="7"/>
        <v>6.0551746970414806</v>
      </c>
      <c r="X26" s="4">
        <f t="shared" si="2"/>
        <v>1.1416241887333108E-3</v>
      </c>
    </row>
    <row r="27" spans="1:24" x14ac:dyDescent="0.25">
      <c r="A27" s="7">
        <v>52</v>
      </c>
      <c r="F27">
        <f t="shared" ref="F27:H27" si="8">100*F8/$E8</f>
        <v>86.257203948578123</v>
      </c>
      <c r="G27">
        <f t="shared" si="8"/>
        <v>58.735887615775397</v>
      </c>
      <c r="H27">
        <f t="shared" si="8"/>
        <v>39.476324817307336</v>
      </c>
      <c r="I27" s="4">
        <f>100*I8/$E8</f>
        <v>1.62545246313312</v>
      </c>
      <c r="J27">
        <f t="shared" ref="J27:U27" si="9">100*J8/$E8</f>
        <v>83.168634126096023</v>
      </c>
      <c r="K27">
        <f t="shared" si="9"/>
        <v>26.5215632502745</v>
      </c>
      <c r="L27" s="4">
        <f t="shared" si="9"/>
        <v>18.534571072830147</v>
      </c>
      <c r="M27" s="4">
        <f t="shared" si="9"/>
        <v>10.564390297719429</v>
      </c>
      <c r="N27">
        <f t="shared" si="9"/>
        <v>0.72814386357547001</v>
      </c>
      <c r="O27">
        <f t="shared" si="9"/>
        <v>0.2910474029010176</v>
      </c>
      <c r="P27" s="4">
        <f t="shared" si="9"/>
        <v>1.628604601070676E-2</v>
      </c>
      <c r="Q27">
        <f t="shared" si="9"/>
        <v>0.6099386909171145</v>
      </c>
      <c r="R27" s="4">
        <f t="shared" si="9"/>
        <v>0.33938018461021185</v>
      </c>
      <c r="S27" s="4">
        <f t="shared" si="9"/>
        <v>0.28579383967175737</v>
      </c>
      <c r="T27" s="4">
        <f t="shared" si="9"/>
        <v>0.40032151806963073</v>
      </c>
      <c r="U27" s="4">
        <f t="shared" si="9"/>
        <v>7.3050796702863714</v>
      </c>
      <c r="X27" s="4">
        <f>100*X8/$E8</f>
        <v>1.0507126458520491E-2</v>
      </c>
    </row>
    <row r="28" spans="1:24" x14ac:dyDescent="0.25">
      <c r="A28" s="7">
        <v>53</v>
      </c>
      <c r="F28">
        <f t="shared" ref="F28:U28" si="10">100*F9/$E9</f>
        <v>80.290126263509492</v>
      </c>
      <c r="G28">
        <f t="shared" si="10"/>
        <v>52.932303871847786</v>
      </c>
      <c r="H28">
        <f t="shared" si="10"/>
        <v>36.010020635864436</v>
      </c>
      <c r="I28" s="4">
        <f t="shared" si="10"/>
        <v>6.574184183834074</v>
      </c>
      <c r="J28">
        <f t="shared" si="10"/>
        <v>68.510632716589143</v>
      </c>
      <c r="K28">
        <f t="shared" si="10"/>
        <v>20.126963030324227</v>
      </c>
      <c r="L28" s="4">
        <f t="shared" si="10"/>
        <v>15.302892518624741</v>
      </c>
      <c r="M28" s="4">
        <f t="shared" si="10"/>
        <v>9.6669406456577249</v>
      </c>
      <c r="N28">
        <f t="shared" si="10"/>
        <v>0.78958413486761569</v>
      </c>
      <c r="O28">
        <f t="shared" si="10"/>
        <v>0.31303557063411563</v>
      </c>
      <c r="P28" s="4">
        <f t="shared" si="10"/>
        <v>1.0930012941135322E-2</v>
      </c>
      <c r="Q28">
        <f t="shared" si="10"/>
        <v>0.36112762757511108</v>
      </c>
      <c r="R28" s="4">
        <f t="shared" si="10"/>
        <v>0.24832989402259453</v>
      </c>
      <c r="S28" s="4">
        <f t="shared" si="10"/>
        <v>0.14602497289356792</v>
      </c>
      <c r="T28" s="4">
        <f t="shared" si="10"/>
        <v>0.20067503759924452</v>
      </c>
      <c r="U28" s="4">
        <f t="shared" si="10"/>
        <v>5.2984330733447589</v>
      </c>
      <c r="X28" s="4">
        <f t="shared" ref="X28:X35" si="11">100*X9/$E9</f>
        <v>2.6232031058724772E-3</v>
      </c>
    </row>
    <row r="29" spans="1:24" x14ac:dyDescent="0.25">
      <c r="A29" s="7">
        <v>54</v>
      </c>
      <c r="F29">
        <f t="shared" ref="F29:U29" si="12">100*F10/$E10</f>
        <v>82.169041361184114</v>
      </c>
      <c r="G29">
        <f t="shared" si="12"/>
        <v>59.302808133905103</v>
      </c>
      <c r="H29">
        <f t="shared" si="12"/>
        <v>33.218633282611705</v>
      </c>
      <c r="I29" s="4">
        <f t="shared" si="12"/>
        <v>13.890233780605893</v>
      </c>
      <c r="J29">
        <f t="shared" si="12"/>
        <v>61.701134320099598</v>
      </c>
      <c r="K29">
        <f t="shared" si="12"/>
        <v>30.80128648499101</v>
      </c>
      <c r="L29" s="4">
        <f t="shared" si="12"/>
        <v>23.089293124913542</v>
      </c>
      <c r="M29" s="4">
        <f t="shared" si="12"/>
        <v>14.867201549315258</v>
      </c>
      <c r="N29">
        <f t="shared" si="12"/>
        <v>2.247890441278185</v>
      </c>
      <c r="O29">
        <f t="shared" si="12"/>
        <v>0.85419836768571034</v>
      </c>
      <c r="P29" s="4">
        <f t="shared" si="12"/>
        <v>4.1499515838981878E-2</v>
      </c>
      <c r="Q29">
        <f t="shared" si="12"/>
        <v>0.59828468667865542</v>
      </c>
      <c r="R29" s="4">
        <f t="shared" si="12"/>
        <v>0.40116198644349149</v>
      </c>
      <c r="S29" s="4">
        <f t="shared" si="12"/>
        <v>0.33545441969843687</v>
      </c>
      <c r="T29" s="4">
        <f t="shared" si="12"/>
        <v>0.24035136256743672</v>
      </c>
      <c r="U29" s="4">
        <f t="shared" si="12"/>
        <v>7.2606861253285375</v>
      </c>
      <c r="X29" s="4">
        <f t="shared" si="11"/>
        <v>2.0749757919490939E-2</v>
      </c>
    </row>
    <row r="30" spans="1:24" x14ac:dyDescent="0.25">
      <c r="A30" s="7">
        <v>55</v>
      </c>
      <c r="F30">
        <f t="shared" ref="F30:U30" si="13">100*F11/$E11</f>
        <v>96.613491918874004</v>
      </c>
      <c r="G30">
        <f t="shared" si="13"/>
        <v>53.683855969873164</v>
      </c>
      <c r="H30">
        <f t="shared" si="13"/>
        <v>41.393476568323756</v>
      </c>
      <c r="I30" s="4">
        <f t="shared" si="13"/>
        <v>6.3969828990452839</v>
      </c>
      <c r="J30">
        <f t="shared" si="13"/>
        <v>89.617947995869713</v>
      </c>
      <c r="K30">
        <f t="shared" si="13"/>
        <v>22.601200435116315</v>
      </c>
      <c r="L30" s="4">
        <f t="shared" si="13"/>
        <v>12.282096730553668</v>
      </c>
      <c r="M30" s="4">
        <f t="shared" si="13"/>
        <v>8.527285879150309</v>
      </c>
      <c r="N30">
        <f t="shared" si="13"/>
        <v>1.0927603933716545</v>
      </c>
      <c r="O30">
        <f t="shared" si="13"/>
        <v>0.17338391284421401</v>
      </c>
      <c r="P30" s="4">
        <f t="shared" si="13"/>
        <v>9.387027128508401E-3</v>
      </c>
      <c r="Q30">
        <f t="shared" si="13"/>
        <v>0.22031904848675601</v>
      </c>
      <c r="R30" s="4">
        <f t="shared" si="13"/>
        <v>0.15847510505187712</v>
      </c>
      <c r="S30" s="4">
        <f t="shared" si="13"/>
        <v>8.5035422222958457E-2</v>
      </c>
      <c r="T30" s="4">
        <f t="shared" si="13"/>
        <v>6.1843943434878881E-2</v>
      </c>
      <c r="U30" s="4">
        <f t="shared" si="13"/>
        <v>3.5322830906510734</v>
      </c>
      <c r="X30" s="4">
        <f t="shared" si="11"/>
        <v>1.6565341991485415E-3</v>
      </c>
    </row>
    <row r="31" spans="1:24" x14ac:dyDescent="0.25">
      <c r="A31" s="7">
        <v>56</v>
      </c>
      <c r="F31">
        <f t="shared" ref="F31:U31" si="14">100*F12/$E12</f>
        <v>98.027760641579277</v>
      </c>
      <c r="G31">
        <f t="shared" si="14"/>
        <v>67.185070943861817</v>
      </c>
      <c r="H31">
        <f t="shared" si="14"/>
        <v>39.885872917951879</v>
      </c>
      <c r="I31" s="4">
        <f t="shared" si="14"/>
        <v>3.4626773596545344</v>
      </c>
      <c r="J31">
        <f t="shared" si="14"/>
        <v>93.885872917951886</v>
      </c>
      <c r="K31">
        <f t="shared" si="14"/>
        <v>38.227637260950033</v>
      </c>
      <c r="L31" s="4">
        <f t="shared" si="14"/>
        <v>27.370758790869832</v>
      </c>
      <c r="M31" s="4">
        <f t="shared" si="14"/>
        <v>16.788402220851328</v>
      </c>
      <c r="N31">
        <f t="shared" si="14"/>
        <v>3.0450339296730413</v>
      </c>
      <c r="O31">
        <f t="shared" si="14"/>
        <v>0.51388032078963608</v>
      </c>
      <c r="P31" s="4">
        <f t="shared" si="14"/>
        <v>3.3929673041332507E-2</v>
      </c>
      <c r="Q31">
        <f t="shared" si="14"/>
        <v>0.43306600863664407</v>
      </c>
      <c r="R31" s="4">
        <f t="shared" si="14"/>
        <v>0.29796421961752007</v>
      </c>
      <c r="S31" s="4">
        <f t="shared" si="14"/>
        <v>0.26280074028377542</v>
      </c>
      <c r="T31" s="4">
        <f t="shared" si="14"/>
        <v>0.23627390499691547</v>
      </c>
      <c r="U31" s="4">
        <f t="shared" si="14"/>
        <v>9.382479950647749</v>
      </c>
      <c r="X31" s="4">
        <f t="shared" si="11"/>
        <v>7.4028377544725476E-3</v>
      </c>
    </row>
    <row r="32" spans="1:24" x14ac:dyDescent="0.25">
      <c r="A32" s="7">
        <v>57</v>
      </c>
      <c r="F32">
        <f t="shared" ref="F32:U32" si="15">100*F13/$E13</f>
        <v>97.344538768410501</v>
      </c>
      <c r="G32">
        <f t="shared" si="15"/>
        <v>66.373296023898206</v>
      </c>
      <c r="H32">
        <f t="shared" si="15"/>
        <v>47.592217957686564</v>
      </c>
      <c r="I32" s="4">
        <f t="shared" si="15"/>
        <v>12.130608232024352</v>
      </c>
      <c r="J32">
        <f t="shared" si="15"/>
        <v>79.106716328549908</v>
      </c>
      <c r="K32">
        <f t="shared" si="15"/>
        <v>20.805682126133622</v>
      </c>
      <c r="L32" s="4">
        <f t="shared" si="15"/>
        <v>14.605509443950767</v>
      </c>
      <c r="M32" s="4">
        <f t="shared" si="15"/>
        <v>9.7745047991781835</v>
      </c>
      <c r="N32">
        <f t="shared" si="15"/>
        <v>1.7362752327112994</v>
      </c>
      <c r="O32">
        <f t="shared" si="15"/>
        <v>0.85521796398883243</v>
      </c>
      <c r="P32" s="4">
        <f t="shared" si="15"/>
        <v>0.24988498358258809</v>
      </c>
      <c r="Q32">
        <f t="shared" si="15"/>
        <v>0.66961612876796939</v>
      </c>
      <c r="R32" s="4">
        <f t="shared" si="15"/>
        <v>0.43863795352706508</v>
      </c>
      <c r="S32" s="4">
        <f t="shared" si="15"/>
        <v>0.21427716120575019</v>
      </c>
      <c r="T32" s="4">
        <f t="shared" si="15"/>
        <v>0.52813017967770193</v>
      </c>
      <c r="U32" s="4">
        <f t="shared" si="15"/>
        <v>4.4371128043208357</v>
      </c>
      <c r="X32" s="4">
        <f t="shared" si="11"/>
        <v>0.11753732519080121</v>
      </c>
    </row>
    <row r="33" spans="1:24" x14ac:dyDescent="0.25">
      <c r="A33" s="7">
        <v>58</v>
      </c>
      <c r="F33">
        <f t="shared" ref="F33:U33" si="16">100*F14/$E14</f>
        <v>94.547987932709518</v>
      </c>
      <c r="G33">
        <f t="shared" si="16"/>
        <v>64.726184997699036</v>
      </c>
      <c r="H33">
        <f t="shared" si="16"/>
        <v>37.806156363450427</v>
      </c>
      <c r="I33" s="4">
        <f t="shared" si="16"/>
        <v>15.881781459324028</v>
      </c>
      <c r="J33">
        <f t="shared" si="16"/>
        <v>73.661604540573705</v>
      </c>
      <c r="K33">
        <f t="shared" si="16"/>
        <v>34.456971928209846</v>
      </c>
      <c r="L33" s="4">
        <f t="shared" si="16"/>
        <v>26.245078488520733</v>
      </c>
      <c r="M33" s="4">
        <f t="shared" si="16"/>
        <v>18.466533721940994</v>
      </c>
      <c r="N33">
        <f t="shared" si="16"/>
        <v>4.4383085340287369</v>
      </c>
      <c r="O33">
        <f t="shared" si="16"/>
        <v>1.0865674694482794</v>
      </c>
      <c r="P33" s="4">
        <f t="shared" si="16"/>
        <v>5.8802474817201002E-2</v>
      </c>
      <c r="Q33">
        <f t="shared" si="16"/>
        <v>0.97279746382369481</v>
      </c>
      <c r="R33" s="4">
        <f t="shared" si="16"/>
        <v>0.62765250294012376</v>
      </c>
      <c r="S33" s="4">
        <f t="shared" si="16"/>
        <v>0.27995091271667433</v>
      </c>
      <c r="T33" s="4">
        <f t="shared" si="16"/>
        <v>0.54328373472413971</v>
      </c>
      <c r="U33" s="4">
        <f t="shared" si="16"/>
        <v>7.2033031651071227</v>
      </c>
      <c r="X33" s="4">
        <f t="shared" si="11"/>
        <v>5.1132586797566085E-3</v>
      </c>
    </row>
    <row r="34" spans="1:24" x14ac:dyDescent="0.25">
      <c r="A34" s="7">
        <v>59</v>
      </c>
      <c r="F34">
        <f t="shared" ref="F34:U34" si="17">100*F15/$E15</f>
        <v>95.350959424594123</v>
      </c>
      <c r="G34">
        <f t="shared" si="17"/>
        <v>66.261272098290206</v>
      </c>
      <c r="H34">
        <f t="shared" si="17"/>
        <v>36.32291087679711</v>
      </c>
      <c r="I34" s="4">
        <f t="shared" si="17"/>
        <v>2.5468512788179956</v>
      </c>
      <c r="J34">
        <f t="shared" si="17"/>
        <v>91.67254295219054</v>
      </c>
      <c r="K34">
        <f t="shared" si="17"/>
        <v>40.650069271036408</v>
      </c>
      <c r="L34" s="4">
        <f t="shared" si="17"/>
        <v>30.435287578500262</v>
      </c>
      <c r="M34" s="4">
        <f t="shared" si="17"/>
        <v>18.313271003227118</v>
      </c>
      <c r="N34">
        <f t="shared" si="17"/>
        <v>4.7610356642138356</v>
      </c>
      <c r="O34">
        <f t="shared" si="17"/>
        <v>0.46457222024041611</v>
      </c>
      <c r="P34" s="4">
        <f t="shared" si="17"/>
        <v>5.8071527530052019E-3</v>
      </c>
      <c r="Q34">
        <f t="shared" si="17"/>
        <v>0.34594038542902417</v>
      </c>
      <c r="R34" s="4">
        <f t="shared" si="17"/>
        <v>0.20739831260732863</v>
      </c>
      <c r="S34" s="4">
        <f t="shared" si="17"/>
        <v>0.2339452966210667</v>
      </c>
      <c r="T34" s="4">
        <f t="shared" si="17"/>
        <v>0.19578400710131821</v>
      </c>
      <c r="U34" s="4">
        <f t="shared" si="17"/>
        <v>11.123186301756249</v>
      </c>
      <c r="X34" s="4">
        <f t="shared" si="11"/>
        <v>0</v>
      </c>
    </row>
    <row r="35" spans="1:24" x14ac:dyDescent="0.25">
      <c r="A35" s="7">
        <v>60</v>
      </c>
      <c r="F35">
        <f t="shared" ref="F35:U35" si="18">100*F16/$E16</f>
        <v>96.116998982096874</v>
      </c>
      <c r="G35">
        <f t="shared" si="18"/>
        <v>70.209119214418294</v>
      </c>
      <c r="H35">
        <f t="shared" si="18"/>
        <v>51.152625591281961</v>
      </c>
      <c r="I35" s="4">
        <f>100*I16/$E16</f>
        <v>23.405035626609184</v>
      </c>
      <c r="J35">
        <f t="shared" si="18"/>
        <v>65.883030956230172</v>
      </c>
      <c r="K35">
        <f t="shared" si="18"/>
        <v>22.423806957667207</v>
      </c>
      <c r="L35" s="4">
        <f t="shared" si="18"/>
        <v>16.736273277049278</v>
      </c>
      <c r="M35" s="4">
        <f t="shared" si="18"/>
        <v>12.239536554697324</v>
      </c>
      <c r="N35">
        <f t="shared" si="18"/>
        <v>1.1271780132926172</v>
      </c>
      <c r="O35">
        <f t="shared" si="18"/>
        <v>0.60999341356804981</v>
      </c>
      <c r="P35" s="4">
        <f t="shared" si="18"/>
        <v>8.0085024848811442E-2</v>
      </c>
      <c r="Q35">
        <f t="shared" si="18"/>
        <v>0.93183042931560989</v>
      </c>
      <c r="R35" s="4">
        <f t="shared" si="18"/>
        <v>0.65490090413747681</v>
      </c>
      <c r="S35" s="4">
        <f t="shared" si="18"/>
        <v>0.33530926291838814</v>
      </c>
      <c r="T35" s="4">
        <f t="shared" si="18"/>
        <v>0.35476917549847314</v>
      </c>
      <c r="U35" s="4">
        <f t="shared" si="18"/>
        <v>3.9915274534459013</v>
      </c>
      <c r="X35" s="4">
        <f t="shared" si="11"/>
        <v>2.3950661637027724E-2</v>
      </c>
    </row>
    <row r="36" spans="1:24" x14ac:dyDescent="0.25">
      <c r="I36" s="4"/>
      <c r="L36" s="4"/>
      <c r="M36" s="4"/>
      <c r="P36" s="4"/>
      <c r="R36" s="4"/>
      <c r="S36" s="4"/>
      <c r="T36" s="4"/>
      <c r="U36" s="4"/>
      <c r="X36" s="4"/>
    </row>
    <row r="37" spans="1:24" s="8" customFormat="1" ht="27" customHeight="1" x14ac:dyDescent="0.25">
      <c r="A37" s="8" t="s">
        <v>86</v>
      </c>
      <c r="B37" s="9" t="s">
        <v>70</v>
      </c>
      <c r="C37" s="9" t="s">
        <v>71</v>
      </c>
      <c r="D37" s="9" t="s">
        <v>72</v>
      </c>
      <c r="E37" s="9" t="s">
        <v>73</v>
      </c>
      <c r="F37" s="9" t="s">
        <v>74</v>
      </c>
      <c r="G37" s="9" t="s">
        <v>75</v>
      </c>
      <c r="H37" s="9" t="s">
        <v>76</v>
      </c>
      <c r="I37" s="3" t="s">
        <v>18</v>
      </c>
      <c r="J37" s="9" t="s">
        <v>77</v>
      </c>
      <c r="K37" s="9" t="s">
        <v>78</v>
      </c>
      <c r="L37" s="3" t="s">
        <v>12</v>
      </c>
      <c r="M37" s="3" t="s">
        <v>79</v>
      </c>
      <c r="P37" s="4" t="s">
        <v>80</v>
      </c>
      <c r="R37" s="4" t="s">
        <v>25</v>
      </c>
      <c r="S37" s="4" t="s">
        <v>81</v>
      </c>
      <c r="T37" s="4" t="s">
        <v>82</v>
      </c>
      <c r="U37" s="4" t="s">
        <v>83</v>
      </c>
      <c r="X37" s="4" t="s">
        <v>84</v>
      </c>
    </row>
    <row r="38" spans="1:24" x14ac:dyDescent="0.25">
      <c r="A38" s="8">
        <v>46</v>
      </c>
      <c r="G38">
        <f t="shared" ref="G38:L38" si="19">100*(G2/$F2)</f>
        <v>71.24564315352697</v>
      </c>
      <c r="H38">
        <f t="shared" si="19"/>
        <v>46.506639004149378</v>
      </c>
      <c r="I38" s="4">
        <f t="shared" si="19"/>
        <v>2.4759336099585063</v>
      </c>
      <c r="J38">
        <f t="shared" si="19"/>
        <v>97.717842323651453</v>
      </c>
      <c r="K38">
        <f t="shared" si="19"/>
        <v>33.954771784232364</v>
      </c>
      <c r="L38" s="4">
        <f t="shared" si="19"/>
        <v>15.804771784232367</v>
      </c>
      <c r="M38" s="4">
        <f>100*(M2/$F2)</f>
        <v>7.4338174273858915</v>
      </c>
      <c r="N38">
        <f t="shared" ref="N38:X38" si="20">100*(N2/$F2)</f>
        <v>2.3910788381742738</v>
      </c>
      <c r="O38">
        <f t="shared" si="20"/>
        <v>0.96161825726141081</v>
      </c>
      <c r="P38" s="4">
        <f t="shared" si="20"/>
        <v>0.35892116182572614</v>
      </c>
      <c r="Q38">
        <f t="shared" si="20"/>
        <v>0.83298755186721996</v>
      </c>
      <c r="R38" s="4">
        <f t="shared" si="20"/>
        <v>0.59273858921161826</v>
      </c>
      <c r="S38" s="4">
        <f t="shared" si="20"/>
        <v>0.87593360995850622</v>
      </c>
      <c r="T38" s="4">
        <f t="shared" si="20"/>
        <v>0.86348547717842328</v>
      </c>
      <c r="U38" s="4">
        <f t="shared" si="20"/>
        <v>6.7811203319502074</v>
      </c>
      <c r="V38">
        <f t="shared" si="20"/>
        <v>1.5885892116182572</v>
      </c>
      <c r="W38">
        <f t="shared" si="20"/>
        <v>0.48858921161825725</v>
      </c>
      <c r="X38" s="4">
        <f t="shared" si="20"/>
        <v>0.21203319502074688</v>
      </c>
    </row>
    <row r="39" spans="1:24" x14ac:dyDescent="0.25">
      <c r="A39" s="8">
        <v>47</v>
      </c>
      <c r="G39">
        <f t="shared" ref="G39:H39" si="21">100*(G3/$F3)</f>
        <v>68.054648530619602</v>
      </c>
      <c r="H39">
        <f t="shared" si="21"/>
        <v>45.983693583605437</v>
      </c>
      <c r="I39" s="4">
        <f>100*(I3/$F3)</f>
        <v>7.3214607664416356</v>
      </c>
      <c r="J39">
        <f t="shared" ref="J39:X39" si="22">100*(J3/$F3)</f>
        <v>89.888419239167447</v>
      </c>
      <c r="K39">
        <f t="shared" si="22"/>
        <v>32.297521985616697</v>
      </c>
      <c r="L39" s="4">
        <f t="shared" si="22"/>
        <v>20.242793325186803</v>
      </c>
      <c r="M39" s="4">
        <f t="shared" si="22"/>
        <v>13.089605160359783</v>
      </c>
      <c r="N39">
        <f t="shared" si="22"/>
        <v>2.1971593982251245</v>
      </c>
      <c r="O39">
        <f t="shared" si="22"/>
        <v>0.89104349045453635</v>
      </c>
      <c r="P39" s="4">
        <f t="shared" si="22"/>
        <v>0.14703820188705705</v>
      </c>
      <c r="Q39">
        <f t="shared" si="22"/>
        <v>0.64704821811334357</v>
      </c>
      <c r="R39" s="4">
        <f t="shared" si="22"/>
        <v>0.45794186582263269</v>
      </c>
      <c r="S39" s="4">
        <f t="shared" si="22"/>
        <v>1.1574751096776779</v>
      </c>
      <c r="T39" s="4">
        <f t="shared" si="22"/>
        <v>0.43149902842605015</v>
      </c>
      <c r="U39" s="4">
        <f t="shared" si="22"/>
        <v>6.1872233017488325</v>
      </c>
      <c r="V39">
        <f t="shared" si="22"/>
        <v>0.95915382920330938</v>
      </c>
      <c r="W39">
        <f t="shared" si="22"/>
        <v>0.16907389971754241</v>
      </c>
      <c r="X39" s="4">
        <f t="shared" si="22"/>
        <v>1.802920731585168E-2</v>
      </c>
    </row>
    <row r="40" spans="1:24" x14ac:dyDescent="0.25">
      <c r="A40" s="8">
        <v>48</v>
      </c>
      <c r="G40">
        <f t="shared" ref="G40:X40" si="23">100*(G4/$F4)</f>
        <v>79.45498699378966</v>
      </c>
      <c r="H40">
        <f t="shared" si="23"/>
        <v>48.004914523761535</v>
      </c>
      <c r="I40" s="4">
        <f t="shared" si="23"/>
        <v>3.1109319357656386</v>
      </c>
      <c r="J40">
        <f t="shared" si="23"/>
        <v>91.355429492901777</v>
      </c>
      <c r="K40">
        <f t="shared" si="23"/>
        <v>43.360113648361988</v>
      </c>
      <c r="L40" s="4">
        <f t="shared" si="23"/>
        <v>31.613250016797689</v>
      </c>
      <c r="M40" s="4">
        <f t="shared" si="23"/>
        <v>20.124590856298173</v>
      </c>
      <c r="N40">
        <f t="shared" si="23"/>
        <v>3.0322227661473784</v>
      </c>
      <c r="O40">
        <f t="shared" si="23"/>
        <v>0.87156007333390928</v>
      </c>
      <c r="P40" s="4">
        <f t="shared" si="23"/>
        <v>0.13054203741565162</v>
      </c>
      <c r="Q40">
        <f t="shared" si="23"/>
        <v>0.88883769593303963</v>
      </c>
      <c r="R40" s="4">
        <f t="shared" si="23"/>
        <v>0.61719507395782347</v>
      </c>
      <c r="S40" s="4">
        <f t="shared" si="23"/>
        <v>0.89747650723260486</v>
      </c>
      <c r="T40" s="4">
        <f t="shared" si="23"/>
        <v>0.98098501646173497</v>
      </c>
      <c r="U40" s="4">
        <f t="shared" si="23"/>
        <v>10.532630710014303</v>
      </c>
      <c r="V40">
        <f t="shared" si="23"/>
        <v>1.3514940344208637</v>
      </c>
      <c r="W40">
        <f t="shared" si="23"/>
        <v>0.15261899962565151</v>
      </c>
      <c r="X40" s="4">
        <f t="shared" si="23"/>
        <v>1.6317754676956453E-2</v>
      </c>
    </row>
    <row r="41" spans="1:24" x14ac:dyDescent="0.25">
      <c r="A41" s="8">
        <v>49</v>
      </c>
      <c r="G41">
        <f t="shared" ref="G41:X41" si="24">100*(G5/$F5)</f>
        <v>85.08706592853548</v>
      </c>
      <c r="H41">
        <f t="shared" si="24"/>
        <v>62.51283341721188</v>
      </c>
      <c r="I41" s="4">
        <f t="shared" si="24"/>
        <v>6.5183694011071962</v>
      </c>
      <c r="J41">
        <f t="shared" si="24"/>
        <v>89.503774534474076</v>
      </c>
      <c r="K41">
        <f t="shared" si="24"/>
        <v>25.145445395067938</v>
      </c>
      <c r="L41" s="4">
        <f t="shared" si="24"/>
        <v>16.36285858077504</v>
      </c>
      <c r="M41" s="4">
        <f t="shared" si="24"/>
        <v>10.232511323603424</v>
      </c>
      <c r="N41">
        <f t="shared" si="24"/>
        <v>2.0503271263210872</v>
      </c>
      <c r="O41">
        <f t="shared" si="24"/>
        <v>0.48766985405133367</v>
      </c>
      <c r="P41" s="4">
        <f t="shared" si="24"/>
        <v>8.7065928535480633E-2</v>
      </c>
      <c r="Q41">
        <f t="shared" si="24"/>
        <v>0.99899345747357826</v>
      </c>
      <c r="R41" s="4">
        <f t="shared" si="24"/>
        <v>0.56768998490186207</v>
      </c>
      <c r="S41" s="4">
        <f t="shared" si="24"/>
        <v>0.52491192752893812</v>
      </c>
      <c r="T41" s="4">
        <f t="shared" si="24"/>
        <v>0.68293910417715153</v>
      </c>
      <c r="U41" s="4">
        <f t="shared" si="24"/>
        <v>4.8495218922999497</v>
      </c>
      <c r="V41">
        <f t="shared" si="24"/>
        <v>0.91796678409662802</v>
      </c>
      <c r="W41">
        <f t="shared" si="24"/>
        <v>0.19275289380976346</v>
      </c>
      <c r="X41" s="4">
        <f t="shared" si="24"/>
        <v>3.0699547055863106E-2</v>
      </c>
    </row>
    <row r="42" spans="1:24" x14ac:dyDescent="0.25">
      <c r="A42" s="8">
        <v>50</v>
      </c>
      <c r="G42">
        <f t="shared" ref="G42:X42" si="25">100*(G6/$F6)</f>
        <v>67.710194529028371</v>
      </c>
      <c r="H42">
        <f t="shared" si="25"/>
        <v>45.002139064348093</v>
      </c>
      <c r="I42" s="4">
        <f t="shared" si="25"/>
        <v>7.2866597881068014</v>
      </c>
      <c r="J42">
        <f t="shared" si="25"/>
        <v>89.911165915897016</v>
      </c>
      <c r="K42">
        <f t="shared" si="25"/>
        <v>30.218687872763418</v>
      </c>
      <c r="L42" s="4">
        <f t="shared" si="25"/>
        <v>19.981377557440169</v>
      </c>
      <c r="M42" s="4">
        <f t="shared" si="25"/>
        <v>12.930014847623122</v>
      </c>
      <c r="N42">
        <f t="shared" si="25"/>
        <v>2.7795253793693533</v>
      </c>
      <c r="O42">
        <f t="shared" si="25"/>
        <v>1.0103933361854192</v>
      </c>
      <c r="P42" s="4">
        <f t="shared" si="25"/>
        <v>2.6423736064624909E-2</v>
      </c>
      <c r="Q42">
        <f t="shared" si="25"/>
        <v>0.97893650753705619</v>
      </c>
      <c r="R42" s="4">
        <f t="shared" si="25"/>
        <v>0.55489845735712306</v>
      </c>
      <c r="S42" s="4">
        <f t="shared" si="25"/>
        <v>0.69456677655585475</v>
      </c>
      <c r="T42" s="4">
        <f t="shared" si="25"/>
        <v>0.44794523995268892</v>
      </c>
      <c r="U42" s="4">
        <f t="shared" si="25"/>
        <v>5.3791176988700711</v>
      </c>
      <c r="V42">
        <f t="shared" si="25"/>
        <v>1.1727105720109721</v>
      </c>
      <c r="W42">
        <f t="shared" si="25"/>
        <v>0.34350856884012382</v>
      </c>
      <c r="X42" s="4">
        <f t="shared" si="25"/>
        <v>3.7748194378035586E-3</v>
      </c>
    </row>
    <row r="43" spans="1:24" x14ac:dyDescent="0.25">
      <c r="A43" s="8">
        <v>51</v>
      </c>
      <c r="G43">
        <f t="shared" ref="G43:X43" si="26">100*(G7/$F7)</f>
        <v>74.098126483834065</v>
      </c>
      <c r="H43">
        <f t="shared" si="26"/>
        <v>56.185645414084775</v>
      </c>
      <c r="I43" s="4">
        <f t="shared" si="26"/>
        <v>6.9630256657827045</v>
      </c>
      <c r="J43">
        <f t="shared" si="26"/>
        <v>92.043012174879152</v>
      </c>
      <c r="K43">
        <f t="shared" si="26"/>
        <v>37.32946241394589</v>
      </c>
      <c r="L43" s="4">
        <f t="shared" si="26"/>
        <v>18.09566637789079</v>
      </c>
      <c r="M43" s="4">
        <f t="shared" si="26"/>
        <v>9.9812846779046769</v>
      </c>
      <c r="N43">
        <f t="shared" si="26"/>
        <v>1.437707075449862</v>
      </c>
      <c r="O43">
        <f t="shared" si="26"/>
        <v>0.69967529246824023</v>
      </c>
      <c r="P43" s="4">
        <f t="shared" si="26"/>
        <v>2.1823520464510329E-2</v>
      </c>
      <c r="Q43">
        <f t="shared" si="26"/>
        <v>1.0184309550104818</v>
      </c>
      <c r="R43" s="4">
        <f t="shared" si="26"/>
        <v>0.68512627882523325</v>
      </c>
      <c r="S43" s="4">
        <f t="shared" si="26"/>
        <v>0.68049704721154924</v>
      </c>
      <c r="T43" s="4">
        <f t="shared" si="26"/>
        <v>0.63618868748057378</v>
      </c>
      <c r="U43" s="4">
        <f t="shared" si="26"/>
        <v>7.0152698511371376</v>
      </c>
      <c r="V43">
        <f t="shared" si="26"/>
        <v>0.92452368513289207</v>
      </c>
      <c r="W43">
        <f t="shared" si="26"/>
        <v>0.18979849616104436</v>
      </c>
      <c r="X43" s="4">
        <f t="shared" si="26"/>
        <v>1.3226376039097167E-3</v>
      </c>
    </row>
    <row r="44" spans="1:24" x14ac:dyDescent="0.25">
      <c r="A44" s="8">
        <v>52</v>
      </c>
      <c r="G44">
        <f t="shared" ref="G44:X44" si="27">100*(G8/$F8)</f>
        <v>68.093892367286273</v>
      </c>
      <c r="H44">
        <f t="shared" si="27"/>
        <v>45.765829415060786</v>
      </c>
      <c r="I44" s="4">
        <f t="shared" si="27"/>
        <v>1.8844251711452726</v>
      </c>
      <c r="J44">
        <f t="shared" si="27"/>
        <v>96.419348551660292</v>
      </c>
      <c r="K44">
        <f t="shared" si="27"/>
        <v>30.747070431456624</v>
      </c>
      <c r="L44" s="4">
        <f t="shared" si="27"/>
        <v>21.487563037493604</v>
      </c>
      <c r="M44" s="4">
        <f t="shared" si="27"/>
        <v>12.24754549662582</v>
      </c>
      <c r="N44">
        <f t="shared" si="27"/>
        <v>0.84415426218724876</v>
      </c>
      <c r="O44">
        <f t="shared" si="27"/>
        <v>0.33741808171120913</v>
      </c>
      <c r="P44" s="4">
        <f t="shared" si="27"/>
        <v>1.8880795186006286E-2</v>
      </c>
      <c r="Q44">
        <f t="shared" si="27"/>
        <v>0.70711623261139667</v>
      </c>
      <c r="R44" s="4">
        <f t="shared" si="27"/>
        <v>0.39345140936000195</v>
      </c>
      <c r="S44" s="4">
        <f t="shared" si="27"/>
        <v>0.331327502618949</v>
      </c>
      <c r="T44" s="4">
        <f t="shared" si="27"/>
        <v>0.46410212683021901</v>
      </c>
      <c r="U44" s="4">
        <f t="shared" si="27"/>
        <v>8.4689502277876585</v>
      </c>
      <c r="V44">
        <f t="shared" si="27"/>
        <v>0.62063000950130331</v>
      </c>
      <c r="W44">
        <f t="shared" si="27"/>
        <v>0.14312860866811217</v>
      </c>
      <c r="X44" s="4">
        <f t="shared" si="27"/>
        <v>1.2181158184520183E-2</v>
      </c>
    </row>
    <row r="45" spans="1:24" x14ac:dyDescent="0.25">
      <c r="A45" s="8">
        <v>53</v>
      </c>
      <c r="G45">
        <f t="shared" ref="G45:X45" si="28">100*(G9/$F9)</f>
        <v>65.926292976705184</v>
      </c>
      <c r="H45">
        <f t="shared" si="28"/>
        <v>44.849874214521421</v>
      </c>
      <c r="I45" s="4">
        <f t="shared" si="28"/>
        <v>8.1880356773357441</v>
      </c>
      <c r="J45">
        <f t="shared" si="28"/>
        <v>85.328839179726216</v>
      </c>
      <c r="K45">
        <f t="shared" si="28"/>
        <v>25.067793472223737</v>
      </c>
      <c r="L45" s="4">
        <f t="shared" si="28"/>
        <v>19.059494897792494</v>
      </c>
      <c r="M45" s="4">
        <f t="shared" si="28"/>
        <v>12.040011761759036</v>
      </c>
      <c r="N45">
        <f t="shared" si="28"/>
        <v>0.98341374165514095</v>
      </c>
      <c r="O45">
        <f t="shared" si="28"/>
        <v>0.38988053102163944</v>
      </c>
      <c r="P45" s="4">
        <f t="shared" si="28"/>
        <v>1.3613147032878473E-2</v>
      </c>
      <c r="Q45">
        <f t="shared" si="28"/>
        <v>0.44977837796630477</v>
      </c>
      <c r="R45" s="4">
        <f t="shared" si="28"/>
        <v>0.30929070058699892</v>
      </c>
      <c r="S45" s="4">
        <f t="shared" si="28"/>
        <v>0.1818716443592564</v>
      </c>
      <c r="T45" s="4">
        <f t="shared" si="28"/>
        <v>0.24993737952364875</v>
      </c>
      <c r="U45" s="4">
        <f t="shared" si="28"/>
        <v>6.5991091556581685</v>
      </c>
      <c r="V45">
        <f t="shared" si="28"/>
        <v>0.38280169456454266</v>
      </c>
      <c r="W45">
        <f t="shared" si="28"/>
        <v>8.3312459841216255E-2</v>
      </c>
      <c r="X45" s="4">
        <f t="shared" si="28"/>
        <v>3.267155287890833E-3</v>
      </c>
    </row>
    <row r="46" spans="1:24" x14ac:dyDescent="0.25">
      <c r="A46" s="8">
        <v>54</v>
      </c>
      <c r="G46">
        <f t="shared" ref="G46:X46" si="29">100*(G10/$F10)</f>
        <v>72.171717171717177</v>
      </c>
      <c r="H46">
        <f t="shared" si="29"/>
        <v>40.427188552188554</v>
      </c>
      <c r="I46" s="4">
        <f t="shared" si="29"/>
        <v>16.90446127946128</v>
      </c>
      <c r="J46">
        <f t="shared" si="29"/>
        <v>75.090488215488222</v>
      </c>
      <c r="K46">
        <f t="shared" si="29"/>
        <v>37.485269360269356</v>
      </c>
      <c r="L46" s="4">
        <f t="shared" si="29"/>
        <v>28.099747474747478</v>
      </c>
      <c r="M46" s="4">
        <f t="shared" si="29"/>
        <v>18.093434343434346</v>
      </c>
      <c r="N46">
        <f t="shared" si="29"/>
        <v>2.7356902356902357</v>
      </c>
      <c r="O46">
        <f t="shared" si="29"/>
        <v>1.0395622895622896</v>
      </c>
      <c r="P46" s="4">
        <f t="shared" si="29"/>
        <v>5.0505050505050504E-2</v>
      </c>
      <c r="Q46">
        <f t="shared" si="29"/>
        <v>0.72811447811447816</v>
      </c>
      <c r="R46" s="4">
        <f t="shared" si="29"/>
        <v>0.48821548821548816</v>
      </c>
      <c r="S46" s="4">
        <f t="shared" si="29"/>
        <v>0.40824915824915825</v>
      </c>
      <c r="T46" s="4">
        <f t="shared" si="29"/>
        <v>0.2925084175084175</v>
      </c>
      <c r="U46" s="4">
        <f t="shared" si="29"/>
        <v>8.836279461279462</v>
      </c>
      <c r="V46">
        <f t="shared" si="29"/>
        <v>1.2184343434343434</v>
      </c>
      <c r="W46">
        <f t="shared" si="29"/>
        <v>0.37037037037037041</v>
      </c>
      <c r="X46" s="4">
        <f t="shared" si="29"/>
        <v>2.5252525252525252E-2</v>
      </c>
    </row>
    <row r="47" spans="1:24" x14ac:dyDescent="0.25">
      <c r="A47" s="8">
        <v>55</v>
      </c>
      <c r="G47">
        <f t="shared" ref="G47:X47" si="30">100*(G11/$F11)</f>
        <v>55.565589136299209</v>
      </c>
      <c r="H47">
        <f t="shared" si="30"/>
        <v>42.844405834209688</v>
      </c>
      <c r="I47" s="4">
        <f t="shared" si="30"/>
        <v>6.6212107356773808</v>
      </c>
      <c r="J47">
        <f t="shared" si="30"/>
        <v>92.759247405239819</v>
      </c>
      <c r="K47">
        <f t="shared" si="30"/>
        <v>23.393420511179187</v>
      </c>
      <c r="L47" s="4">
        <f t="shared" si="30"/>
        <v>12.712610305884505</v>
      </c>
      <c r="M47" s="4">
        <f t="shared" si="30"/>
        <v>8.8261853596086137</v>
      </c>
      <c r="N47">
        <f t="shared" si="30"/>
        <v>1.1310639659823511</v>
      </c>
      <c r="O47">
        <f t="shared" si="30"/>
        <v>0.17946138722509258</v>
      </c>
      <c r="P47" s="4">
        <f t="shared" si="30"/>
        <v>9.716062365689726E-3</v>
      </c>
      <c r="Q47">
        <f t="shared" si="30"/>
        <v>0.22804169905354124</v>
      </c>
      <c r="R47" s="4">
        <f t="shared" si="30"/>
        <v>0.16402999405605595</v>
      </c>
      <c r="S47" s="4">
        <f t="shared" si="30"/>
        <v>8.8016094371542231E-2</v>
      </c>
      <c r="T47" s="4">
        <f t="shared" si="30"/>
        <v>6.401170499748525E-2</v>
      </c>
      <c r="U47" s="4">
        <f t="shared" si="30"/>
        <v>3.6560971149010109</v>
      </c>
      <c r="V47">
        <f t="shared" si="30"/>
        <v>0.46522792739243751</v>
      </c>
      <c r="W47">
        <f t="shared" si="30"/>
        <v>2.400438937405697E-2</v>
      </c>
      <c r="X47" s="4">
        <f t="shared" si="30"/>
        <v>1.7145992410040694E-3</v>
      </c>
    </row>
    <row r="48" spans="1:24" x14ac:dyDescent="0.25">
      <c r="A48" s="8">
        <v>56</v>
      </c>
      <c r="G48">
        <f t="shared" ref="G48:X48" si="31">100*(G12/$F12)</f>
        <v>68.536780299931408</v>
      </c>
      <c r="H48">
        <f t="shared" si="31"/>
        <v>40.688344461715637</v>
      </c>
      <c r="I48" s="4">
        <f t="shared" si="31"/>
        <v>3.5323436310201823</v>
      </c>
      <c r="J48">
        <f t="shared" si="31"/>
        <v>95.774780841142075</v>
      </c>
      <c r="K48">
        <f t="shared" si="31"/>
        <v>38.996746442798432</v>
      </c>
      <c r="L48" s="4">
        <f t="shared" si="31"/>
        <v>27.921436347960704</v>
      </c>
      <c r="M48" s="4">
        <f t="shared" si="31"/>
        <v>17.1261713120583</v>
      </c>
      <c r="N48">
        <f t="shared" si="31"/>
        <v>3.1062975525949792</v>
      </c>
      <c r="O48">
        <f t="shared" si="31"/>
        <v>0.52421917773736182</v>
      </c>
      <c r="P48" s="4">
        <f t="shared" si="31"/>
        <v>3.4612310654927848E-2</v>
      </c>
      <c r="Q48">
        <f t="shared" si="31"/>
        <v>0.44177894690471547</v>
      </c>
      <c r="R48" s="4">
        <f t="shared" si="31"/>
        <v>0.3039590190241846</v>
      </c>
      <c r="S48" s="4">
        <f t="shared" si="31"/>
        <v>0.2680880788908957</v>
      </c>
      <c r="T48" s="4">
        <f t="shared" si="31"/>
        <v>0.24102754510613392</v>
      </c>
      <c r="U48" s="4">
        <f t="shared" si="31"/>
        <v>9.5712478681963216</v>
      </c>
      <c r="V48">
        <f t="shared" si="31"/>
        <v>1.7765555087065694</v>
      </c>
      <c r="W48">
        <f t="shared" si="31"/>
        <v>7.3000509744938741E-2</v>
      </c>
      <c r="X48" s="4">
        <f t="shared" si="31"/>
        <v>7.551776870166076E-3</v>
      </c>
    </row>
    <row r="49" spans="1:24" x14ac:dyDescent="0.25">
      <c r="A49" s="8">
        <v>57</v>
      </c>
      <c r="G49">
        <f t="shared" ref="G49:X49" si="32">100*(G13/$F13)</f>
        <v>68.183892865119986</v>
      </c>
      <c r="H49">
        <f t="shared" si="32"/>
        <v>48.890485855515529</v>
      </c>
      <c r="I49" s="4">
        <f t="shared" si="32"/>
        <v>12.46151903897138</v>
      </c>
      <c r="J49">
        <f t="shared" si="32"/>
        <v>81.264668084514071</v>
      </c>
      <c r="K49">
        <f t="shared" si="32"/>
        <v>21.373240234495128</v>
      </c>
      <c r="L49" s="4">
        <f t="shared" si="32"/>
        <v>15.003933069833838</v>
      </c>
      <c r="M49" s="4">
        <f t="shared" si="32"/>
        <v>10.041143471265929</v>
      </c>
      <c r="N49">
        <f t="shared" si="32"/>
        <v>1.7836390769101287</v>
      </c>
      <c r="O49">
        <f t="shared" si="32"/>
        <v>0.87854745094992537</v>
      </c>
      <c r="P49" s="4">
        <f t="shared" si="32"/>
        <v>0.25670159491646677</v>
      </c>
      <c r="Q49">
        <f t="shared" si="32"/>
        <v>0.68788258410780823</v>
      </c>
      <c r="R49" s="4">
        <f t="shared" si="32"/>
        <v>0.45060355627203247</v>
      </c>
      <c r="S49" s="4">
        <f t="shared" si="32"/>
        <v>0.22012242691449863</v>
      </c>
      <c r="T49" s="4">
        <f t="shared" si="32"/>
        <v>0.54253704045397022</v>
      </c>
      <c r="U49" s="4">
        <f t="shared" si="32"/>
        <v>4.5581527843868459</v>
      </c>
      <c r="V49">
        <f t="shared" si="32"/>
        <v>0.74744512315526079</v>
      </c>
      <c r="W49">
        <f t="shared" si="32"/>
        <v>0.25767272327050134</v>
      </c>
      <c r="X49" s="4">
        <f t="shared" si="32"/>
        <v>0.1207436253516294</v>
      </c>
    </row>
    <row r="50" spans="1:24" x14ac:dyDescent="0.25">
      <c r="A50" s="8">
        <v>58</v>
      </c>
      <c r="G50">
        <f t="shared" ref="G50:W50" si="33">100*(G14/$F14)</f>
        <v>68.458553601124876</v>
      </c>
      <c r="H50">
        <f t="shared" si="33"/>
        <v>39.986209320876654</v>
      </c>
      <c r="I50" s="4">
        <f t="shared" si="33"/>
        <v>16.79758798318078</v>
      </c>
      <c r="J50">
        <f t="shared" si="33"/>
        <v>77.909224882711626</v>
      </c>
      <c r="K50">
        <f t="shared" si="33"/>
        <v>36.443897624487917</v>
      </c>
      <c r="L50" s="4">
        <f t="shared" si="33"/>
        <v>27.758473831510351</v>
      </c>
      <c r="M50" s="4">
        <f t="shared" si="33"/>
        <v>19.531387315279261</v>
      </c>
      <c r="N50">
        <f t="shared" si="33"/>
        <v>4.6942390113975909</v>
      </c>
      <c r="O50">
        <f t="shared" si="33"/>
        <v>1.149223260278788</v>
      </c>
      <c r="P50" s="4">
        <f t="shared" si="33"/>
        <v>6.2193258791557945E-2</v>
      </c>
      <c r="Q50">
        <f t="shared" si="33"/>
        <v>1.0288928247907736</v>
      </c>
      <c r="R50" s="4">
        <f t="shared" si="33"/>
        <v>0.66384543623162939</v>
      </c>
      <c r="S50" s="4">
        <f t="shared" si="33"/>
        <v>0.29609399294241712</v>
      </c>
      <c r="T50" s="4">
        <f t="shared" si="33"/>
        <v>0.57461163013939398</v>
      </c>
      <c r="U50" s="4">
        <f t="shared" si="33"/>
        <v>7.6186742019658471</v>
      </c>
      <c r="V50">
        <f t="shared" si="33"/>
        <v>1.4912861836323568</v>
      </c>
      <c r="W50">
        <f t="shared" si="33"/>
        <v>0.17846761218447063</v>
      </c>
      <c r="X50" s="4">
        <f>100*(X14/$F14)</f>
        <v>5.4081094601354726E-3</v>
      </c>
    </row>
    <row r="51" spans="1:24" x14ac:dyDescent="0.25">
      <c r="A51" s="8">
        <v>59</v>
      </c>
      <c r="G51">
        <f t="shared" ref="G51:X51" si="34">100*(G15/$F15)</f>
        <v>69.491982564361336</v>
      </c>
      <c r="H51">
        <f t="shared" si="34"/>
        <v>38.093912317182458</v>
      </c>
      <c r="I51" s="4">
        <f t="shared" si="34"/>
        <v>2.6710284764697181</v>
      </c>
      <c r="J51">
        <f t="shared" si="34"/>
        <v>96.142234441476631</v>
      </c>
      <c r="K51">
        <f t="shared" si="34"/>
        <v>42.632050601633935</v>
      </c>
      <c r="L51" s="4">
        <f t="shared" si="34"/>
        <v>31.919225314737638</v>
      </c>
      <c r="M51" s="4">
        <f t="shared" si="34"/>
        <v>19.206173816960597</v>
      </c>
      <c r="N51">
        <f t="shared" si="34"/>
        <v>4.9931701714852483</v>
      </c>
      <c r="O51">
        <f t="shared" si="34"/>
        <v>0.487223435447245</v>
      </c>
      <c r="P51" s="4">
        <f t="shared" si="34"/>
        <v>6.0902929430905629E-3</v>
      </c>
      <c r="Q51">
        <f t="shared" si="34"/>
        <v>0.36280745103839496</v>
      </c>
      <c r="R51" s="4">
        <f t="shared" si="34"/>
        <v>0.21751046225323439</v>
      </c>
      <c r="S51" s="4">
        <f t="shared" si="34"/>
        <v>0.24535180142164839</v>
      </c>
      <c r="T51" s="4">
        <f t="shared" si="34"/>
        <v>0.20532987636705324</v>
      </c>
      <c r="U51" s="4">
        <f t="shared" si="34"/>
        <v>11.665521111565466</v>
      </c>
      <c r="V51">
        <f t="shared" si="34"/>
        <v>3.3461809513037579</v>
      </c>
      <c r="W51">
        <f t="shared" si="34"/>
        <v>6.177297127991857E-2</v>
      </c>
      <c r="X51" s="4">
        <f t="shared" si="34"/>
        <v>0</v>
      </c>
    </row>
    <row r="52" spans="1:24" x14ac:dyDescent="0.25">
      <c r="A52" s="8">
        <v>60</v>
      </c>
      <c r="G52">
        <f>100*(G16/$F16)</f>
        <v>73.045475782588383</v>
      </c>
      <c r="H52">
        <f t="shared" ref="H52:X52" si="35">100*(H16/$F16)</f>
        <v>53.219124746924152</v>
      </c>
      <c r="I52" s="4">
        <f t="shared" si="35"/>
        <v>24.350568447282356</v>
      </c>
      <c r="J52">
        <f t="shared" si="35"/>
        <v>68.54461921819032</v>
      </c>
      <c r="K52">
        <f t="shared" si="35"/>
        <v>23.329699423765767</v>
      </c>
      <c r="L52" s="4">
        <f t="shared" si="35"/>
        <v>17.412396822924777</v>
      </c>
      <c r="M52" s="4">
        <f t="shared" si="35"/>
        <v>12.733997819654261</v>
      </c>
      <c r="N52">
        <f t="shared" si="35"/>
        <v>1.172714530446971</v>
      </c>
      <c r="O52">
        <f t="shared" si="35"/>
        <v>0.63463634947827441</v>
      </c>
      <c r="P52" s="4">
        <f t="shared" si="35"/>
        <v>8.3320355084877742E-2</v>
      </c>
      <c r="Q52">
        <f t="shared" si="35"/>
        <v>0.96947515963245601</v>
      </c>
      <c r="R52" s="4">
        <f t="shared" si="35"/>
        <v>0.68135804391839272</v>
      </c>
      <c r="S52" s="4">
        <f t="shared" si="35"/>
        <v>0.34885531848621709</v>
      </c>
      <c r="T52" s="4">
        <f t="shared" si="35"/>
        <v>0.36910138607693505</v>
      </c>
      <c r="U52" s="4">
        <f t="shared" si="35"/>
        <v>4.1527799408191877</v>
      </c>
      <c r="V52">
        <f t="shared" si="35"/>
        <v>0.34262575922753469</v>
      </c>
      <c r="W52">
        <f t="shared" si="35"/>
        <v>0.13938638841301978</v>
      </c>
      <c r="X52" s="4">
        <f t="shared" si="35"/>
        <v>2.4918237034729795E-2</v>
      </c>
    </row>
    <row r="53" spans="1:24" s="10" customFormat="1" x14ac:dyDescent="0.25">
      <c r="A53" s="10" t="s">
        <v>87</v>
      </c>
    </row>
    <row r="54" spans="1:24" ht="27" customHeight="1" x14ac:dyDescent="0.25">
      <c r="A54" s="10" t="s">
        <v>87</v>
      </c>
      <c r="B54" s="1" t="s">
        <v>70</v>
      </c>
      <c r="C54" s="1" t="s">
        <v>88</v>
      </c>
      <c r="D54" s="1" t="s">
        <v>89</v>
      </c>
      <c r="E54" s="11" t="s">
        <v>90</v>
      </c>
      <c r="F54" s="1"/>
      <c r="G54" s="1"/>
      <c r="H54" s="1"/>
      <c r="I54" s="3" t="s">
        <v>18</v>
      </c>
      <c r="J54" s="1" t="s">
        <v>77</v>
      </c>
      <c r="K54" s="1" t="s">
        <v>78</v>
      </c>
      <c r="L54" s="3" t="s">
        <v>12</v>
      </c>
      <c r="M54" s="3" t="s">
        <v>79</v>
      </c>
      <c r="P54" s="4" t="s">
        <v>80</v>
      </c>
      <c r="R54" s="4" t="s">
        <v>25</v>
      </c>
      <c r="S54" s="4" t="s">
        <v>81</v>
      </c>
      <c r="T54" s="4" t="s">
        <v>82</v>
      </c>
      <c r="U54" s="4" t="s">
        <v>83</v>
      </c>
      <c r="X54" s="4" t="s">
        <v>84</v>
      </c>
    </row>
    <row r="55" spans="1:24" s="6" customFormat="1" ht="20.100000000000001" customHeight="1" x14ac:dyDescent="0.25">
      <c r="A55" s="10">
        <v>46</v>
      </c>
      <c r="B55" s="1">
        <v>1250000</v>
      </c>
      <c r="C55" s="1">
        <v>518000</v>
      </c>
      <c r="D55" s="6">
        <v>3455000</v>
      </c>
      <c r="E55" s="6">
        <f>(C55/B55)*D55</f>
        <v>1431752</v>
      </c>
      <c r="I55" s="6">
        <f>I21*$E55</f>
        <v>3298557.6</v>
      </c>
      <c r="L55" s="6">
        <f>L21*$E55</f>
        <v>21055875.600000001</v>
      </c>
      <c r="M55" s="6">
        <f>M21*$E55</f>
        <v>9903688.4000000004</v>
      </c>
      <c r="P55" s="6">
        <f>P21*$E55</f>
        <v>478172</v>
      </c>
      <c r="R55" s="6">
        <f>R21*$E55</f>
        <v>789674.8</v>
      </c>
      <c r="S55" s="6">
        <f>S21*$E55</f>
        <v>1166960.8</v>
      </c>
      <c r="T55" s="6">
        <f>T21*$E55</f>
        <v>1150376.8</v>
      </c>
      <c r="U55" s="6">
        <f>U21*$E55</f>
        <v>9034134</v>
      </c>
      <c r="X55" s="6">
        <f>X21*$E55</f>
        <v>282480.8</v>
      </c>
    </row>
    <row r="56" spans="1:24" s="6" customFormat="1" x14ac:dyDescent="0.25">
      <c r="A56" s="10">
        <v>47</v>
      </c>
      <c r="B56" s="1">
        <v>1010000</v>
      </c>
      <c r="C56">
        <v>284411</v>
      </c>
      <c r="D56" s="6">
        <v>1220000</v>
      </c>
      <c r="E56" s="6">
        <f t="shared" ref="E56:E69" si="36">(C56/B56)*D56</f>
        <v>343545.96039603965</v>
      </c>
      <c r="I56" s="6">
        <f t="shared" ref="I56:I69" si="37">I22*$E56</f>
        <v>2207354.4554455448</v>
      </c>
      <c r="L56" s="6">
        <f t="shared" ref="L56:M69" si="38">L22*$E56</f>
        <v>6103019.8019801993</v>
      </c>
      <c r="M56" s="6">
        <f t="shared" si="38"/>
        <v>3946398.0198019804</v>
      </c>
      <c r="P56" s="6">
        <f t="shared" ref="P56:P69" si="39">P22*$E56</f>
        <v>44330.693069306937</v>
      </c>
      <c r="R56" s="6">
        <f t="shared" ref="R56:U69" si="40">R22*$E56</f>
        <v>138065.34653465348</v>
      </c>
      <c r="S56" s="6">
        <f t="shared" si="40"/>
        <v>348968.31683168322</v>
      </c>
      <c r="T56" s="6">
        <f t="shared" si="40"/>
        <v>130093.0693069307</v>
      </c>
      <c r="U56" s="6">
        <f t="shared" si="40"/>
        <v>1865392.0792079209</v>
      </c>
      <c r="X56" s="6">
        <f t="shared" ref="X56:X69" si="41">X22*$E56</f>
        <v>5435.6435643564364</v>
      </c>
    </row>
    <row r="57" spans="1:24" s="6" customFormat="1" x14ac:dyDescent="0.25">
      <c r="A57" s="10">
        <v>48</v>
      </c>
      <c r="B57" s="1">
        <v>586000</v>
      </c>
      <c r="C57">
        <v>124076</v>
      </c>
      <c r="D57" s="6">
        <v>1065000</v>
      </c>
      <c r="E57" s="6">
        <f t="shared" si="36"/>
        <v>225496.48464163821</v>
      </c>
      <c r="I57" s="6">
        <f t="shared" si="37"/>
        <v>589021.33105802047</v>
      </c>
      <c r="L57" s="6">
        <f t="shared" si="38"/>
        <v>5985627.1331058014</v>
      </c>
      <c r="M57" s="6">
        <f t="shared" si="38"/>
        <v>3810373.7201365181</v>
      </c>
      <c r="P57" s="6">
        <f t="shared" si="39"/>
        <v>24716.723549488052</v>
      </c>
      <c r="R57" s="6">
        <f t="shared" si="40"/>
        <v>116859.21501706484</v>
      </c>
      <c r="S57" s="6">
        <f t="shared" si="40"/>
        <v>169927.47440273038</v>
      </c>
      <c r="T57" s="6">
        <f t="shared" si="40"/>
        <v>185738.90784982932</v>
      </c>
      <c r="U57" s="6">
        <f t="shared" si="40"/>
        <v>1994239.7610921501</v>
      </c>
      <c r="X57" s="6">
        <f t="shared" si="41"/>
        <v>3089.5904436860064</v>
      </c>
    </row>
    <row r="58" spans="1:24" s="6" customFormat="1" x14ac:dyDescent="0.25">
      <c r="A58" s="10">
        <v>49</v>
      </c>
      <c r="B58" s="1">
        <v>983000</v>
      </c>
      <c r="C58">
        <v>235630</v>
      </c>
      <c r="D58" s="6">
        <v>985000</v>
      </c>
      <c r="E58" s="6">
        <f t="shared" si="36"/>
        <v>236109.4099694812</v>
      </c>
      <c r="I58" s="6">
        <f t="shared" si="37"/>
        <v>1297835.1983723298</v>
      </c>
      <c r="L58" s="6">
        <f t="shared" si="38"/>
        <v>3257915.0559511702</v>
      </c>
      <c r="M58" s="6">
        <f t="shared" si="38"/>
        <v>2037336.7243133266</v>
      </c>
      <c r="P58" s="6">
        <f t="shared" si="39"/>
        <v>17335.198372329607</v>
      </c>
      <c r="R58" s="6">
        <f t="shared" si="40"/>
        <v>113029.501525941</v>
      </c>
      <c r="S58" s="6">
        <f t="shared" si="40"/>
        <v>104512.2075279756</v>
      </c>
      <c r="T58" s="6">
        <f t="shared" si="40"/>
        <v>135976.09359104783</v>
      </c>
      <c r="U58" s="6">
        <f t="shared" si="40"/>
        <v>965560.52899287897</v>
      </c>
      <c r="X58" s="6">
        <f t="shared" si="41"/>
        <v>6112.4109867751786</v>
      </c>
    </row>
    <row r="59" spans="1:24" s="6" customFormat="1" x14ac:dyDescent="0.25">
      <c r="A59" s="10">
        <v>50</v>
      </c>
      <c r="B59" s="1">
        <v>732000</v>
      </c>
      <c r="C59">
        <v>107093</v>
      </c>
      <c r="D59" s="6">
        <v>740000</v>
      </c>
      <c r="E59" s="6">
        <f t="shared" si="36"/>
        <v>108263.41530054646</v>
      </c>
      <c r="I59" s="6">
        <f t="shared" si="37"/>
        <v>585428.96174863388</v>
      </c>
      <c r="L59" s="6">
        <f t="shared" si="38"/>
        <v>1605355.1912568307</v>
      </c>
      <c r="M59" s="6">
        <f t="shared" si="38"/>
        <v>1038830.6010928963</v>
      </c>
      <c r="P59" s="6">
        <f t="shared" si="39"/>
        <v>2122.9508196721317</v>
      </c>
      <c r="R59" s="6">
        <f t="shared" si="40"/>
        <v>44581.96721311476</v>
      </c>
      <c r="S59" s="6">
        <f t="shared" si="40"/>
        <v>55803.278688524595</v>
      </c>
      <c r="T59" s="6">
        <f t="shared" si="40"/>
        <v>35989.071038251372</v>
      </c>
      <c r="U59" s="6">
        <f t="shared" si="40"/>
        <v>432172.13114754105</v>
      </c>
      <c r="X59" s="6">
        <f t="shared" si="41"/>
        <v>303.27868852459022</v>
      </c>
    </row>
    <row r="60" spans="1:24" s="6" customFormat="1" x14ac:dyDescent="0.25">
      <c r="A60" s="10">
        <v>51</v>
      </c>
      <c r="B60" s="1">
        <v>609000</v>
      </c>
      <c r="C60">
        <v>175189</v>
      </c>
      <c r="D60" s="6">
        <v>1950000</v>
      </c>
      <c r="E60" s="6">
        <f t="shared" si="36"/>
        <v>560950</v>
      </c>
      <c r="I60" s="6">
        <f t="shared" si="37"/>
        <v>3371354.6798029561</v>
      </c>
      <c r="L60" s="6">
        <f t="shared" si="38"/>
        <v>8761551.7241379302</v>
      </c>
      <c r="M60" s="6">
        <f t="shared" si="38"/>
        <v>4832733.9901477834</v>
      </c>
      <c r="P60" s="6">
        <f t="shared" si="39"/>
        <v>10566.502463054188</v>
      </c>
      <c r="R60" s="6">
        <f t="shared" si="40"/>
        <v>331724.13793103449</v>
      </c>
      <c r="S60" s="6">
        <f t="shared" si="40"/>
        <v>329482.75862068968</v>
      </c>
      <c r="T60" s="6">
        <f t="shared" si="40"/>
        <v>308029.55665024626</v>
      </c>
      <c r="U60" s="6">
        <f t="shared" si="40"/>
        <v>3396650.2463054187</v>
      </c>
      <c r="X60" s="6">
        <f t="shared" si="41"/>
        <v>640.39408866995075</v>
      </c>
    </row>
    <row r="61" spans="1:24" s="6" customFormat="1" x14ac:dyDescent="0.25">
      <c r="A61" s="10">
        <v>52</v>
      </c>
      <c r="B61" s="1">
        <v>612000</v>
      </c>
      <c r="C61">
        <v>190347</v>
      </c>
      <c r="D61" s="6">
        <v>1475000</v>
      </c>
      <c r="E61" s="6">
        <f t="shared" si="36"/>
        <v>458761.15196078428</v>
      </c>
      <c r="I61" s="6">
        <f t="shared" si="37"/>
        <v>745694.44444444438</v>
      </c>
      <c r="L61" s="6">
        <f t="shared" si="38"/>
        <v>8502941.176470587</v>
      </c>
      <c r="M61" s="6">
        <f t="shared" si="38"/>
        <v>4846531.8627450978</v>
      </c>
      <c r="P61" s="6">
        <f t="shared" si="39"/>
        <v>7471.405228758169</v>
      </c>
      <c r="R61" s="6">
        <f t="shared" si="40"/>
        <v>155694.44444444441</v>
      </c>
      <c r="S61" s="6">
        <f t="shared" si="40"/>
        <v>131111.11111111109</v>
      </c>
      <c r="T61" s="6">
        <f t="shared" si="40"/>
        <v>183651.96078431371</v>
      </c>
      <c r="U61" s="6">
        <f t="shared" si="40"/>
        <v>3351286.7647058819</v>
      </c>
      <c r="X61" s="6">
        <f t="shared" si="41"/>
        <v>4820.2614379084962</v>
      </c>
    </row>
    <row r="62" spans="1:24" s="6" customFormat="1" x14ac:dyDescent="0.25">
      <c r="A62" s="10">
        <v>53</v>
      </c>
      <c r="B62" s="1">
        <v>675000</v>
      </c>
      <c r="C62">
        <v>228728</v>
      </c>
      <c r="D62" s="6">
        <v>1065000</v>
      </c>
      <c r="E62" s="6">
        <f t="shared" si="36"/>
        <v>360881.95555555559</v>
      </c>
      <c r="I62" s="6">
        <f t="shared" si="37"/>
        <v>2372504.444444445</v>
      </c>
      <c r="L62" s="6">
        <f t="shared" si="38"/>
        <v>5522537.777777778</v>
      </c>
      <c r="M62" s="6">
        <f t="shared" si="38"/>
        <v>3488624.444444445</v>
      </c>
      <c r="P62" s="6">
        <f t="shared" si="39"/>
        <v>3944.4444444444448</v>
      </c>
      <c r="R62" s="6">
        <f t="shared" si="40"/>
        <v>89617.777777777796</v>
      </c>
      <c r="S62" s="6">
        <f t="shared" si="40"/>
        <v>52697.777777777788</v>
      </c>
      <c r="T62" s="6">
        <f t="shared" si="40"/>
        <v>72420</v>
      </c>
      <c r="U62" s="6">
        <f t="shared" si="40"/>
        <v>1912108.888888889</v>
      </c>
      <c r="X62" s="6">
        <f t="shared" si="41"/>
        <v>946.66666666666663</v>
      </c>
    </row>
    <row r="63" spans="1:24" s="6" customFormat="1" x14ac:dyDescent="0.25">
      <c r="A63" s="10">
        <v>54</v>
      </c>
      <c r="B63">
        <v>328000</v>
      </c>
      <c r="C63">
        <v>57832</v>
      </c>
      <c r="D63" s="6">
        <v>790000</v>
      </c>
      <c r="E63" s="6">
        <f t="shared" si="36"/>
        <v>139290.48780487804</v>
      </c>
      <c r="I63" s="6">
        <f t="shared" si="37"/>
        <v>1934777.4390243902</v>
      </c>
      <c r="L63" s="6">
        <f t="shared" si="38"/>
        <v>3216118.9024390243</v>
      </c>
      <c r="M63" s="6">
        <f t="shared" si="38"/>
        <v>2070859.7560975607</v>
      </c>
      <c r="P63" s="6">
        <f t="shared" si="39"/>
        <v>5780.4878048780483</v>
      </c>
      <c r="R63" s="6">
        <f t="shared" si="40"/>
        <v>55878.048780487799</v>
      </c>
      <c r="S63" s="6">
        <f t="shared" si="40"/>
        <v>46725.609756097561</v>
      </c>
      <c r="T63" s="6">
        <f t="shared" si="40"/>
        <v>33478.658536585361</v>
      </c>
      <c r="U63" s="6">
        <f t="shared" si="40"/>
        <v>1011344.5121951218</v>
      </c>
      <c r="X63" s="6">
        <f t="shared" si="41"/>
        <v>2890.2439024390242</v>
      </c>
    </row>
    <row r="64" spans="1:24" s="6" customFormat="1" x14ac:dyDescent="0.25">
      <c r="A64" s="10">
        <v>55</v>
      </c>
      <c r="B64" s="1">
        <v>921000</v>
      </c>
      <c r="C64">
        <v>181101</v>
      </c>
      <c r="D64" s="6">
        <v>1100000</v>
      </c>
      <c r="E64" s="6">
        <f t="shared" si="36"/>
        <v>216298.69706840391</v>
      </c>
      <c r="I64" s="6">
        <f t="shared" si="37"/>
        <v>1383659.066232356</v>
      </c>
      <c r="L64" s="6">
        <f t="shared" si="38"/>
        <v>2656601.5200868621</v>
      </c>
      <c r="M64" s="6">
        <f t="shared" si="38"/>
        <v>1844440.8251900109</v>
      </c>
      <c r="P64" s="6">
        <f t="shared" si="39"/>
        <v>2030.4017372421281</v>
      </c>
      <c r="R64" s="6">
        <f t="shared" si="40"/>
        <v>34277.958740499453</v>
      </c>
      <c r="S64" s="6">
        <f t="shared" si="40"/>
        <v>18393.051031487514</v>
      </c>
      <c r="T64" s="6">
        <f t="shared" si="40"/>
        <v>13376.764386536373</v>
      </c>
      <c r="U64" s="6">
        <f t="shared" si="40"/>
        <v>764028.23018458206</v>
      </c>
      <c r="X64" s="6">
        <f t="shared" si="41"/>
        <v>358.30618892508147</v>
      </c>
    </row>
    <row r="65" spans="1:24" s="6" customFormat="1" x14ac:dyDescent="0.25">
      <c r="A65" s="10">
        <v>56</v>
      </c>
      <c r="B65" s="1">
        <v>717000</v>
      </c>
      <c r="C65">
        <v>162100</v>
      </c>
      <c r="D65" s="6">
        <v>590000</v>
      </c>
      <c r="E65" s="6">
        <f t="shared" si="36"/>
        <v>133387.72663877267</v>
      </c>
      <c r="I65" s="6">
        <f t="shared" si="37"/>
        <v>461878.66108786617</v>
      </c>
      <c r="L65" s="6">
        <f t="shared" si="38"/>
        <v>3650923.291492329</v>
      </c>
      <c r="M65" s="6">
        <f t="shared" si="38"/>
        <v>2239366.8061366808</v>
      </c>
      <c r="P65" s="6">
        <f t="shared" si="39"/>
        <v>4525.8019525801947</v>
      </c>
      <c r="R65" s="6">
        <f t="shared" si="40"/>
        <v>39744.769874476995</v>
      </c>
      <c r="S65" s="6">
        <f t="shared" si="40"/>
        <v>35054.393305439327</v>
      </c>
      <c r="T65" s="6">
        <f t="shared" si="40"/>
        <v>31516.039051603904</v>
      </c>
      <c r="U65" s="6">
        <f t="shared" si="40"/>
        <v>1251507.6708507673</v>
      </c>
      <c r="X65" s="6">
        <f t="shared" si="41"/>
        <v>987.44769874476992</v>
      </c>
    </row>
    <row r="66" spans="1:24" s="6" customFormat="1" x14ac:dyDescent="0.25">
      <c r="A66" s="10">
        <v>57</v>
      </c>
      <c r="B66" s="1">
        <v>992000</v>
      </c>
      <c r="C66">
        <v>317346</v>
      </c>
      <c r="D66" s="6">
        <v>1945000</v>
      </c>
      <c r="E66" s="6">
        <f t="shared" si="36"/>
        <v>622215.69556451612</v>
      </c>
      <c r="I66" s="6">
        <f t="shared" si="37"/>
        <v>7547854.8387096776</v>
      </c>
      <c r="L66" s="6">
        <f t="shared" si="38"/>
        <v>9087777.2177419364</v>
      </c>
      <c r="M66" s="6">
        <f t="shared" si="38"/>
        <v>6081850.3024193542</v>
      </c>
      <c r="P66" s="6">
        <f t="shared" si="39"/>
        <v>155482.35887096776</v>
      </c>
      <c r="R66" s="6">
        <f t="shared" si="40"/>
        <v>272927.41935483873</v>
      </c>
      <c r="S66" s="6">
        <f t="shared" si="40"/>
        <v>133326.61290322582</v>
      </c>
      <c r="T66" s="6">
        <f t="shared" si="40"/>
        <v>328610.88709677418</v>
      </c>
      <c r="U66" s="6">
        <f t="shared" si="40"/>
        <v>2760841.2298387093</v>
      </c>
      <c r="X66" s="6">
        <f t="shared" si="41"/>
        <v>73133.568548387091</v>
      </c>
    </row>
    <row r="67" spans="1:24" s="6" customFormat="1" x14ac:dyDescent="0.25">
      <c r="A67" s="10">
        <v>58</v>
      </c>
      <c r="B67" s="1">
        <v>589000</v>
      </c>
      <c r="C67">
        <v>78228</v>
      </c>
      <c r="D67" s="6">
        <v>860000</v>
      </c>
      <c r="E67" s="6">
        <f t="shared" si="36"/>
        <v>114220.84889643463</v>
      </c>
      <c r="I67" s="6">
        <f t="shared" si="37"/>
        <v>1814030.5602716468</v>
      </c>
      <c r="L67" s="6">
        <f t="shared" si="38"/>
        <v>2997735.1443123939</v>
      </c>
      <c r="M67" s="6">
        <f t="shared" si="38"/>
        <v>2109263.1578947371</v>
      </c>
      <c r="P67" s="6">
        <f t="shared" si="39"/>
        <v>6716.4685908319179</v>
      </c>
      <c r="R67" s="6">
        <f t="shared" si="40"/>
        <v>71691.001697792875</v>
      </c>
      <c r="S67" s="6">
        <f t="shared" si="40"/>
        <v>31976.230899830218</v>
      </c>
      <c r="T67" s="6">
        <f t="shared" si="40"/>
        <v>62054.329371816639</v>
      </c>
      <c r="U67" s="6">
        <f t="shared" si="40"/>
        <v>822767.40237690997</v>
      </c>
      <c r="X67" s="6">
        <f t="shared" si="41"/>
        <v>584.04074702886237</v>
      </c>
    </row>
    <row r="68" spans="1:24" s="6" customFormat="1" x14ac:dyDescent="0.25">
      <c r="A68" s="10">
        <v>59</v>
      </c>
      <c r="B68" s="1">
        <v>660000</v>
      </c>
      <c r="C68">
        <v>120541</v>
      </c>
      <c r="D68" s="6">
        <v>1145000</v>
      </c>
      <c r="E68" s="6">
        <f t="shared" si="36"/>
        <v>209120.37121212122</v>
      </c>
      <c r="I68" s="6">
        <f t="shared" si="37"/>
        <v>532598.48484848486</v>
      </c>
      <c r="L68" s="6">
        <f t="shared" si="38"/>
        <v>6364638.6363636367</v>
      </c>
      <c r="M68" s="6">
        <f t="shared" si="38"/>
        <v>3829678.0303030307</v>
      </c>
      <c r="P68" s="6">
        <f t="shared" si="39"/>
        <v>1214.3939393939395</v>
      </c>
      <c r="R68" s="6">
        <f t="shared" si="40"/>
        <v>43371.21212121212</v>
      </c>
      <c r="S68" s="6">
        <f t="shared" si="40"/>
        <v>48922.727272727272</v>
      </c>
      <c r="T68" s="6">
        <f t="shared" si="40"/>
        <v>40942.42424242424</v>
      </c>
      <c r="U68" s="6">
        <f t="shared" si="40"/>
        <v>2326084.8484848486</v>
      </c>
      <c r="X68" s="6">
        <f t="shared" si="41"/>
        <v>0</v>
      </c>
    </row>
    <row r="69" spans="1:24" s="6" customFormat="1" x14ac:dyDescent="0.25">
      <c r="A69" s="10">
        <v>60</v>
      </c>
      <c r="B69" s="1">
        <v>531000</v>
      </c>
      <c r="C69">
        <v>133608</v>
      </c>
      <c r="D69" s="6">
        <v>825000</v>
      </c>
      <c r="E69" s="6">
        <f t="shared" si="36"/>
        <v>207583.05084745761</v>
      </c>
      <c r="I69" s="6">
        <f t="shared" si="37"/>
        <v>4858488.7005649712</v>
      </c>
      <c r="L69" s="6">
        <f t="shared" si="38"/>
        <v>3474166.666666666</v>
      </c>
      <c r="M69" s="6">
        <f>M35*$E69</f>
        <v>2540720.3389830505</v>
      </c>
      <c r="P69" s="6">
        <f t="shared" si="39"/>
        <v>16624.293785310732</v>
      </c>
      <c r="R69" s="6">
        <f t="shared" si="40"/>
        <v>135946.32768361582</v>
      </c>
      <c r="S69" s="6">
        <f t="shared" si="40"/>
        <v>69604.519774011293</v>
      </c>
      <c r="T69" s="6">
        <f t="shared" si="40"/>
        <v>73644.067796610165</v>
      </c>
      <c r="U69" s="6">
        <f t="shared" si="40"/>
        <v>828573.44632768352</v>
      </c>
      <c r="X69" s="6">
        <f t="shared" si="41"/>
        <v>4971.7514124293784</v>
      </c>
    </row>
    <row r="70" spans="1:24" s="10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F333-0C6E-5C42-BDBC-050D4577655B}">
  <dimension ref="A1:X71"/>
  <sheetViews>
    <sheetView topLeftCell="A32" zoomScale="70" zoomScaleNormal="70" workbookViewId="0">
      <selection activeCell="A55" sqref="A55"/>
    </sheetView>
  </sheetViews>
  <sheetFormatPr defaultColWidth="11" defaultRowHeight="15.75" x14ac:dyDescent="0.25"/>
  <sheetData>
    <row r="1" spans="1:24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</row>
    <row r="3" spans="1:24" x14ac:dyDescent="0.25">
      <c r="A3" t="s">
        <v>106</v>
      </c>
      <c r="B3" s="1">
        <v>565000</v>
      </c>
      <c r="C3">
        <v>294824</v>
      </c>
      <c r="D3">
        <v>258960</v>
      </c>
      <c r="E3">
        <v>140418</v>
      </c>
      <c r="F3">
        <v>128322</v>
      </c>
      <c r="G3">
        <v>107084</v>
      </c>
      <c r="H3">
        <v>63721</v>
      </c>
      <c r="I3">
        <v>2775</v>
      </c>
      <c r="J3">
        <v>124980</v>
      </c>
      <c r="K3">
        <v>53658</v>
      </c>
      <c r="L3">
        <v>39966</v>
      </c>
      <c r="M3">
        <v>29535</v>
      </c>
      <c r="N3">
        <v>5666</v>
      </c>
      <c r="O3">
        <v>1332</v>
      </c>
      <c r="P3">
        <v>93</v>
      </c>
      <c r="Q3">
        <v>588</v>
      </c>
      <c r="R3">
        <v>433</v>
      </c>
      <c r="S3">
        <v>272</v>
      </c>
      <c r="T3">
        <v>510</v>
      </c>
      <c r="U3">
        <v>6789</v>
      </c>
      <c r="V3">
        <v>1287</v>
      </c>
      <c r="W3">
        <v>199</v>
      </c>
      <c r="X3">
        <v>33</v>
      </c>
    </row>
    <row r="4" spans="1:24" x14ac:dyDescent="0.25">
      <c r="A4" t="s">
        <v>107</v>
      </c>
      <c r="B4" s="1">
        <v>554000</v>
      </c>
      <c r="C4">
        <v>270471</v>
      </c>
      <c r="D4">
        <v>233069</v>
      </c>
      <c r="E4">
        <v>114184</v>
      </c>
      <c r="F4">
        <v>104457</v>
      </c>
      <c r="G4">
        <v>82981</v>
      </c>
      <c r="H4">
        <v>57017</v>
      </c>
      <c r="I4">
        <v>2846</v>
      </c>
      <c r="J4">
        <v>101463</v>
      </c>
      <c r="K4">
        <v>28927</v>
      </c>
      <c r="L4">
        <v>21390</v>
      </c>
      <c r="M4">
        <v>12345</v>
      </c>
      <c r="N4">
        <v>2870</v>
      </c>
      <c r="O4">
        <v>1361</v>
      </c>
      <c r="P4">
        <v>17</v>
      </c>
      <c r="Q4">
        <v>592</v>
      </c>
      <c r="R4">
        <v>361</v>
      </c>
      <c r="S4">
        <v>168</v>
      </c>
      <c r="T4">
        <v>193</v>
      </c>
      <c r="U4">
        <v>7570</v>
      </c>
      <c r="V4">
        <v>3146</v>
      </c>
      <c r="W4">
        <v>1545</v>
      </c>
      <c r="X4">
        <v>8</v>
      </c>
    </row>
    <row r="5" spans="1:24" x14ac:dyDescent="0.25">
      <c r="A5" t="s">
        <v>108</v>
      </c>
      <c r="B5" s="1">
        <v>495000</v>
      </c>
      <c r="C5">
        <v>241477</v>
      </c>
      <c r="D5">
        <v>200265</v>
      </c>
      <c r="E5">
        <v>99001</v>
      </c>
      <c r="F5">
        <v>81821</v>
      </c>
      <c r="G5">
        <v>65003</v>
      </c>
      <c r="H5">
        <v>39085</v>
      </c>
      <c r="I5">
        <v>1482</v>
      </c>
      <c r="J5">
        <v>79267</v>
      </c>
      <c r="K5">
        <v>28223</v>
      </c>
      <c r="L5">
        <v>23135</v>
      </c>
      <c r="M5">
        <v>13113</v>
      </c>
      <c r="N5">
        <v>1331</v>
      </c>
      <c r="O5">
        <v>374</v>
      </c>
      <c r="P5">
        <v>10</v>
      </c>
      <c r="Q5">
        <v>387</v>
      </c>
      <c r="R5">
        <v>275</v>
      </c>
      <c r="S5">
        <v>219</v>
      </c>
      <c r="T5">
        <v>115</v>
      </c>
      <c r="U5">
        <v>8483</v>
      </c>
      <c r="V5">
        <v>546</v>
      </c>
      <c r="W5">
        <v>76</v>
      </c>
      <c r="X5">
        <v>5</v>
      </c>
    </row>
    <row r="6" spans="1:24" x14ac:dyDescent="0.25">
      <c r="A6" t="s">
        <v>109</v>
      </c>
      <c r="B6">
        <v>281192</v>
      </c>
      <c r="C6">
        <v>142773</v>
      </c>
      <c r="D6">
        <v>126025</v>
      </c>
      <c r="E6">
        <v>60819</v>
      </c>
      <c r="F6">
        <v>51755</v>
      </c>
      <c r="G6">
        <v>38304</v>
      </c>
      <c r="H6">
        <v>20464</v>
      </c>
      <c r="I6">
        <v>1256</v>
      </c>
      <c r="J6">
        <v>49571</v>
      </c>
      <c r="K6">
        <v>15522</v>
      </c>
      <c r="L6">
        <v>12840</v>
      </c>
      <c r="M6">
        <v>7842</v>
      </c>
      <c r="N6">
        <v>1824</v>
      </c>
      <c r="O6">
        <v>1167</v>
      </c>
      <c r="P6">
        <v>139</v>
      </c>
      <c r="Q6">
        <v>481</v>
      </c>
      <c r="R6">
        <v>285</v>
      </c>
      <c r="S6">
        <v>601</v>
      </c>
      <c r="T6">
        <v>262</v>
      </c>
      <c r="U6">
        <v>3599</v>
      </c>
      <c r="V6">
        <v>405</v>
      </c>
      <c r="W6">
        <v>174</v>
      </c>
      <c r="X6">
        <v>23</v>
      </c>
    </row>
    <row r="7" spans="1:24" x14ac:dyDescent="0.25">
      <c r="A7" t="s">
        <v>110</v>
      </c>
      <c r="B7">
        <v>325528</v>
      </c>
      <c r="C7">
        <v>132860</v>
      </c>
      <c r="D7">
        <v>115183</v>
      </c>
      <c r="E7">
        <v>24268</v>
      </c>
      <c r="F7">
        <v>19301</v>
      </c>
      <c r="G7">
        <v>17815</v>
      </c>
      <c r="H7">
        <v>10289</v>
      </c>
      <c r="I7">
        <v>1224</v>
      </c>
      <c r="J7">
        <v>17980</v>
      </c>
      <c r="K7">
        <v>7208</v>
      </c>
      <c r="L7">
        <v>5543</v>
      </c>
      <c r="M7">
        <v>3053</v>
      </c>
      <c r="N7">
        <v>700</v>
      </c>
      <c r="O7">
        <v>491</v>
      </c>
      <c r="P7">
        <v>21</v>
      </c>
      <c r="Q7">
        <v>202</v>
      </c>
      <c r="R7">
        <v>139</v>
      </c>
      <c r="S7">
        <v>130</v>
      </c>
      <c r="T7">
        <v>83</v>
      </c>
      <c r="U7">
        <v>1722</v>
      </c>
      <c r="V7">
        <v>168</v>
      </c>
      <c r="W7">
        <v>54</v>
      </c>
      <c r="X7">
        <v>8</v>
      </c>
    </row>
    <row r="8" spans="1:24" x14ac:dyDescent="0.25">
      <c r="A8" t="s">
        <v>111</v>
      </c>
      <c r="B8" s="1">
        <v>1200000</v>
      </c>
      <c r="C8" s="1">
        <v>625000</v>
      </c>
      <c r="D8" s="1">
        <v>490000</v>
      </c>
      <c r="E8">
        <v>250685</v>
      </c>
      <c r="F8">
        <v>223345</v>
      </c>
      <c r="G8">
        <v>121806</v>
      </c>
      <c r="H8">
        <v>81189</v>
      </c>
      <c r="I8">
        <v>21847</v>
      </c>
      <c r="J8">
        <v>194151</v>
      </c>
      <c r="K8">
        <v>38042</v>
      </c>
      <c r="L8">
        <v>31946</v>
      </c>
      <c r="M8">
        <v>22146</v>
      </c>
      <c r="N8">
        <v>2542</v>
      </c>
      <c r="O8">
        <v>1106</v>
      </c>
      <c r="P8">
        <v>36</v>
      </c>
      <c r="Q8">
        <v>1261</v>
      </c>
      <c r="R8">
        <v>851</v>
      </c>
      <c r="S8">
        <v>203</v>
      </c>
      <c r="T8">
        <v>767</v>
      </c>
      <c r="U8">
        <v>8944</v>
      </c>
      <c r="V8">
        <v>900</v>
      </c>
      <c r="W8">
        <v>63</v>
      </c>
      <c r="X8">
        <v>9</v>
      </c>
    </row>
    <row r="9" spans="1:24" x14ac:dyDescent="0.25">
      <c r="A9" t="s">
        <v>112</v>
      </c>
      <c r="B9" s="1">
        <v>1000000</v>
      </c>
      <c r="C9" s="1">
        <v>504000</v>
      </c>
      <c r="D9" s="1">
        <v>449000</v>
      </c>
      <c r="E9">
        <v>254519</v>
      </c>
      <c r="F9">
        <v>225640</v>
      </c>
      <c r="G9">
        <v>158872</v>
      </c>
      <c r="H9">
        <v>89827</v>
      </c>
      <c r="I9">
        <v>17951</v>
      </c>
      <c r="J9">
        <v>205356</v>
      </c>
      <c r="K9">
        <v>73990</v>
      </c>
      <c r="L9">
        <v>57921</v>
      </c>
      <c r="M9">
        <v>25335</v>
      </c>
      <c r="N9">
        <v>2587</v>
      </c>
      <c r="O9">
        <v>851</v>
      </c>
      <c r="P9">
        <v>105</v>
      </c>
      <c r="Q9">
        <v>1507</v>
      </c>
      <c r="R9">
        <v>934</v>
      </c>
      <c r="S9">
        <v>503</v>
      </c>
      <c r="T9">
        <v>1175</v>
      </c>
      <c r="U9">
        <v>27497</v>
      </c>
      <c r="V9">
        <v>2560</v>
      </c>
      <c r="W9">
        <v>383</v>
      </c>
      <c r="X9">
        <v>46</v>
      </c>
    </row>
    <row r="10" spans="1:24" x14ac:dyDescent="0.25">
      <c r="A10" t="s">
        <v>113</v>
      </c>
      <c r="B10" s="1">
        <v>1140000</v>
      </c>
      <c r="C10" s="1">
        <v>650000</v>
      </c>
      <c r="D10" s="1">
        <v>536000</v>
      </c>
      <c r="E10">
        <v>277016</v>
      </c>
      <c r="F10">
        <v>239921</v>
      </c>
      <c r="G10">
        <v>184192</v>
      </c>
      <c r="H10">
        <v>114265</v>
      </c>
      <c r="I10">
        <v>9742</v>
      </c>
      <c r="J10">
        <v>230616</v>
      </c>
      <c r="K10">
        <v>55718</v>
      </c>
      <c r="L10">
        <v>33381</v>
      </c>
      <c r="M10">
        <v>18388</v>
      </c>
      <c r="N10">
        <v>3667</v>
      </c>
      <c r="O10">
        <v>1602</v>
      </c>
      <c r="P10">
        <v>345</v>
      </c>
      <c r="Q10">
        <v>1157</v>
      </c>
      <c r="R10">
        <v>808</v>
      </c>
      <c r="S10">
        <v>257</v>
      </c>
      <c r="T10">
        <v>1130</v>
      </c>
      <c r="U10">
        <v>7233</v>
      </c>
      <c r="V10">
        <v>2130</v>
      </c>
      <c r="W10">
        <v>685</v>
      </c>
      <c r="X10">
        <v>164</v>
      </c>
    </row>
    <row r="11" spans="1:24" x14ac:dyDescent="0.25">
      <c r="A11" t="s">
        <v>114</v>
      </c>
      <c r="B11" s="1">
        <v>892000</v>
      </c>
      <c r="C11" s="1">
        <v>449000</v>
      </c>
      <c r="D11">
        <v>377266</v>
      </c>
      <c r="E11">
        <v>208595</v>
      </c>
      <c r="F11">
        <v>185562</v>
      </c>
      <c r="G11">
        <v>118192</v>
      </c>
      <c r="H11">
        <v>82645</v>
      </c>
      <c r="I11">
        <v>5118</v>
      </c>
      <c r="J11">
        <v>179058</v>
      </c>
      <c r="K11">
        <v>44753</v>
      </c>
      <c r="L11">
        <v>32618</v>
      </c>
      <c r="M11">
        <v>16214</v>
      </c>
      <c r="N11">
        <v>3246</v>
      </c>
      <c r="O11">
        <v>1348</v>
      </c>
      <c r="P11">
        <v>15</v>
      </c>
      <c r="Q11">
        <v>405</v>
      </c>
      <c r="R11">
        <v>297</v>
      </c>
      <c r="S11">
        <v>103</v>
      </c>
      <c r="T11">
        <v>195</v>
      </c>
      <c r="U11">
        <v>15440</v>
      </c>
      <c r="V11">
        <v>2302</v>
      </c>
      <c r="W11">
        <v>402</v>
      </c>
      <c r="X11">
        <v>2</v>
      </c>
    </row>
    <row r="12" spans="1:24" x14ac:dyDescent="0.25">
      <c r="A12" t="s">
        <v>115</v>
      </c>
      <c r="B12" s="1">
        <v>1200000</v>
      </c>
      <c r="C12" s="1">
        <v>684000</v>
      </c>
      <c r="D12" s="1">
        <v>574000</v>
      </c>
      <c r="E12" s="1">
        <v>410000</v>
      </c>
      <c r="F12">
        <v>383210</v>
      </c>
      <c r="G12">
        <v>336895</v>
      </c>
      <c r="H12">
        <v>208880</v>
      </c>
      <c r="I12">
        <v>27139</v>
      </c>
      <c r="J12">
        <v>356545</v>
      </c>
      <c r="K12">
        <v>43260</v>
      </c>
      <c r="L12">
        <v>27938</v>
      </c>
      <c r="M12">
        <v>15210</v>
      </c>
      <c r="N12">
        <v>4664</v>
      </c>
      <c r="O12">
        <v>1488</v>
      </c>
      <c r="P12">
        <v>490</v>
      </c>
      <c r="Q12">
        <v>229</v>
      </c>
      <c r="R12">
        <v>105</v>
      </c>
      <c r="S12">
        <v>116</v>
      </c>
      <c r="T12">
        <v>813</v>
      </c>
      <c r="U12">
        <v>6990</v>
      </c>
      <c r="V12">
        <v>1392</v>
      </c>
      <c r="W12">
        <v>284</v>
      </c>
      <c r="X12">
        <v>153</v>
      </c>
    </row>
    <row r="13" spans="1:24" x14ac:dyDescent="0.25">
      <c r="A13" t="s">
        <v>116</v>
      </c>
      <c r="B13" s="1">
        <v>1200000</v>
      </c>
      <c r="C13" s="1">
        <v>515000</v>
      </c>
      <c r="D13" s="1">
        <v>415000</v>
      </c>
      <c r="E13">
        <v>236421</v>
      </c>
      <c r="F13">
        <v>200458</v>
      </c>
      <c r="G13">
        <v>125335</v>
      </c>
      <c r="H13">
        <v>86794</v>
      </c>
      <c r="I13">
        <v>6752</v>
      </c>
      <c r="J13">
        <v>190376</v>
      </c>
      <c r="K13">
        <v>39495</v>
      </c>
      <c r="L13">
        <v>28827</v>
      </c>
      <c r="M13">
        <v>18093</v>
      </c>
      <c r="N13">
        <v>2398</v>
      </c>
      <c r="O13">
        <v>854</v>
      </c>
      <c r="P13">
        <v>79</v>
      </c>
      <c r="Q13">
        <v>561</v>
      </c>
      <c r="R13">
        <v>321</v>
      </c>
      <c r="S13">
        <v>537</v>
      </c>
      <c r="T13">
        <v>316</v>
      </c>
      <c r="U13">
        <v>8690</v>
      </c>
      <c r="V13">
        <v>898</v>
      </c>
      <c r="W13">
        <v>90</v>
      </c>
      <c r="X13">
        <v>18</v>
      </c>
    </row>
    <row r="14" spans="1:24" x14ac:dyDescent="0.25">
      <c r="A14" t="s">
        <v>117</v>
      </c>
      <c r="B14" s="1">
        <v>1130000</v>
      </c>
      <c r="C14" s="1">
        <v>579000</v>
      </c>
      <c r="D14" s="1">
        <v>502000</v>
      </c>
      <c r="E14">
        <v>348736</v>
      </c>
      <c r="F14">
        <v>309637</v>
      </c>
      <c r="G14">
        <v>225900</v>
      </c>
      <c r="H14">
        <v>156945</v>
      </c>
      <c r="I14">
        <v>15023</v>
      </c>
      <c r="J14">
        <v>293146</v>
      </c>
      <c r="K14">
        <v>70971</v>
      </c>
      <c r="L14">
        <v>56616</v>
      </c>
      <c r="M14">
        <v>40638</v>
      </c>
      <c r="N14">
        <v>3706</v>
      </c>
      <c r="O14">
        <v>1518</v>
      </c>
      <c r="P14">
        <v>21</v>
      </c>
      <c r="Q14">
        <v>1174</v>
      </c>
      <c r="R14">
        <v>801</v>
      </c>
      <c r="S14">
        <v>201</v>
      </c>
      <c r="T14">
        <v>385</v>
      </c>
      <c r="U14">
        <v>14290</v>
      </c>
      <c r="V14">
        <v>762</v>
      </c>
      <c r="W14">
        <v>187</v>
      </c>
      <c r="X14">
        <v>6</v>
      </c>
    </row>
    <row r="15" spans="1:24" x14ac:dyDescent="0.25">
      <c r="A15" t="s">
        <v>118</v>
      </c>
      <c r="B15" s="1">
        <v>1150000</v>
      </c>
      <c r="C15" s="1">
        <v>490000</v>
      </c>
      <c r="D15" s="1">
        <v>419000</v>
      </c>
      <c r="E15">
        <v>217285</v>
      </c>
      <c r="F15">
        <v>192238</v>
      </c>
      <c r="G15">
        <v>141233</v>
      </c>
      <c r="H15">
        <v>88849</v>
      </c>
      <c r="I15">
        <v>10618</v>
      </c>
      <c r="J15">
        <v>181248</v>
      </c>
      <c r="K15">
        <v>64775</v>
      </c>
      <c r="L15">
        <v>40471</v>
      </c>
      <c r="M15">
        <v>17678</v>
      </c>
      <c r="N15">
        <v>3544</v>
      </c>
      <c r="O15">
        <v>1762</v>
      </c>
      <c r="P15">
        <v>227</v>
      </c>
      <c r="Q15">
        <v>523</v>
      </c>
      <c r="R15">
        <v>385</v>
      </c>
      <c r="S15">
        <v>616</v>
      </c>
      <c r="T15">
        <v>414</v>
      </c>
      <c r="U15">
        <v>16099</v>
      </c>
      <c r="V15">
        <v>1827</v>
      </c>
      <c r="W15">
        <v>308</v>
      </c>
      <c r="X15">
        <v>91</v>
      </c>
    </row>
    <row r="16" spans="1:24" x14ac:dyDescent="0.25">
      <c r="A16" t="s">
        <v>119</v>
      </c>
      <c r="B16" s="1">
        <v>937000</v>
      </c>
      <c r="C16">
        <v>381980</v>
      </c>
      <c r="D16">
        <v>328748</v>
      </c>
      <c r="E16">
        <v>117930</v>
      </c>
      <c r="F16">
        <v>96494</v>
      </c>
      <c r="G16">
        <v>84074</v>
      </c>
      <c r="H16">
        <v>53114</v>
      </c>
      <c r="I16">
        <v>4988</v>
      </c>
      <c r="J16">
        <v>90146</v>
      </c>
      <c r="K16">
        <v>28236</v>
      </c>
      <c r="L16">
        <v>20991</v>
      </c>
      <c r="M16">
        <v>13033</v>
      </c>
      <c r="N16">
        <v>3713</v>
      </c>
      <c r="O16">
        <v>1358</v>
      </c>
      <c r="P16">
        <v>179</v>
      </c>
      <c r="Q16">
        <v>512</v>
      </c>
      <c r="R16">
        <v>362</v>
      </c>
      <c r="S16">
        <v>136</v>
      </c>
      <c r="T16">
        <v>315</v>
      </c>
      <c r="U16">
        <v>6086</v>
      </c>
      <c r="V16">
        <v>1160</v>
      </c>
      <c r="W16">
        <v>284</v>
      </c>
      <c r="X16">
        <v>86</v>
      </c>
    </row>
    <row r="17" spans="1:24" ht="17.100000000000001" customHeight="1" x14ac:dyDescent="0.25">
      <c r="A17" t="s">
        <v>120</v>
      </c>
      <c r="B17" s="1">
        <v>704000</v>
      </c>
      <c r="C17">
        <v>321750</v>
      </c>
      <c r="D17">
        <v>285474</v>
      </c>
      <c r="E17">
        <v>146294</v>
      </c>
      <c r="F17">
        <v>128508</v>
      </c>
      <c r="G17">
        <v>96541</v>
      </c>
      <c r="H17">
        <v>54705</v>
      </c>
      <c r="I17">
        <v>2906</v>
      </c>
      <c r="J17">
        <v>123907</v>
      </c>
      <c r="K17">
        <v>44462</v>
      </c>
      <c r="L17">
        <v>35837</v>
      </c>
      <c r="M17">
        <v>23035</v>
      </c>
      <c r="N17">
        <v>2000</v>
      </c>
      <c r="O17">
        <v>787</v>
      </c>
      <c r="P17">
        <v>80</v>
      </c>
      <c r="Q17">
        <v>480</v>
      </c>
      <c r="R17">
        <v>344</v>
      </c>
      <c r="S17">
        <v>254</v>
      </c>
      <c r="T17">
        <v>189</v>
      </c>
      <c r="U17">
        <v>10767</v>
      </c>
      <c r="V17">
        <v>1090</v>
      </c>
      <c r="W17">
        <v>208</v>
      </c>
      <c r="X17">
        <v>40</v>
      </c>
    </row>
    <row r="18" spans="1:24" ht="27" customHeight="1" x14ac:dyDescent="0.25">
      <c r="A18" t="s">
        <v>121</v>
      </c>
      <c r="B18" s="1" t="s">
        <v>70</v>
      </c>
      <c r="C18" s="1" t="s">
        <v>71</v>
      </c>
      <c r="D18" s="1" t="s">
        <v>72</v>
      </c>
      <c r="E18" s="1" t="s">
        <v>73</v>
      </c>
      <c r="F18" s="1" t="s">
        <v>74</v>
      </c>
      <c r="G18" s="1" t="s">
        <v>75</v>
      </c>
      <c r="H18" s="1" t="s">
        <v>76</v>
      </c>
      <c r="I18" s="3" t="s">
        <v>18</v>
      </c>
      <c r="J18" s="1" t="s">
        <v>77</v>
      </c>
      <c r="K18" s="1" t="s">
        <v>78</v>
      </c>
      <c r="L18" s="3" t="s">
        <v>12</v>
      </c>
      <c r="M18" s="3" t="s">
        <v>79</v>
      </c>
      <c r="P18" s="4" t="s">
        <v>80</v>
      </c>
      <c r="R18" s="4" t="s">
        <v>25</v>
      </c>
      <c r="S18" s="4" t="s">
        <v>81</v>
      </c>
      <c r="T18" s="4" t="s">
        <v>82</v>
      </c>
      <c r="U18" s="4" t="s">
        <v>83</v>
      </c>
      <c r="X18" s="4" t="s">
        <v>84</v>
      </c>
    </row>
    <row r="19" spans="1:24" x14ac:dyDescent="0.25">
      <c r="B19" s="1"/>
      <c r="I19" s="4"/>
      <c r="L19" s="4"/>
      <c r="M19" s="4"/>
      <c r="P19" s="4"/>
      <c r="R19" s="4"/>
      <c r="S19" s="4"/>
      <c r="T19" s="4"/>
      <c r="U19" s="4"/>
      <c r="X19" s="4"/>
    </row>
    <row r="20" spans="1:24" s="7" customFormat="1" x14ac:dyDescent="0.25">
      <c r="A20" s="7" t="s">
        <v>85</v>
      </c>
    </row>
    <row r="21" spans="1:24" ht="27" customHeight="1" x14ac:dyDescent="0.25">
      <c r="A21" s="7"/>
      <c r="B21" s="1" t="s">
        <v>70</v>
      </c>
      <c r="C21" s="1" t="s">
        <v>71</v>
      </c>
      <c r="D21" s="1" t="s">
        <v>72</v>
      </c>
      <c r="E21" s="1" t="s">
        <v>73</v>
      </c>
      <c r="F21" s="1" t="s">
        <v>74</v>
      </c>
      <c r="G21" s="1" t="s">
        <v>75</v>
      </c>
      <c r="H21" s="1" t="s">
        <v>76</v>
      </c>
      <c r="I21" s="3" t="s">
        <v>18</v>
      </c>
      <c r="J21" s="1" t="s">
        <v>77</v>
      </c>
      <c r="K21" s="1" t="s">
        <v>78</v>
      </c>
      <c r="L21" s="3" t="s">
        <v>12</v>
      </c>
      <c r="M21" s="3" t="s">
        <v>79</v>
      </c>
      <c r="P21" s="4" t="s">
        <v>80</v>
      </c>
      <c r="R21" s="4" t="s">
        <v>25</v>
      </c>
      <c r="S21" s="4" t="s">
        <v>81</v>
      </c>
      <c r="T21" s="4" t="s">
        <v>82</v>
      </c>
      <c r="U21" s="4" t="s">
        <v>83</v>
      </c>
      <c r="X21" s="4" t="s">
        <v>84</v>
      </c>
    </row>
    <row r="22" spans="1:24" x14ac:dyDescent="0.25">
      <c r="A22" s="7">
        <v>31</v>
      </c>
      <c r="F22">
        <f>100*F3/$E3</f>
        <v>91.385719779515441</v>
      </c>
      <c r="G22">
        <f>100*G3/$E3</f>
        <v>76.260878234984119</v>
      </c>
      <c r="H22">
        <f>100*H3/$E3</f>
        <v>45.379509749462322</v>
      </c>
      <c r="I22" s="4">
        <f>100*I3/$E3</f>
        <v>1.9762423620903302</v>
      </c>
      <c r="J22">
        <f t="shared" ref="J22:U22" si="0">100*J3/$E3</f>
        <v>89.005683032089905</v>
      </c>
      <c r="K22">
        <f t="shared" si="0"/>
        <v>38.213049609024488</v>
      </c>
      <c r="L22" s="4">
        <f t="shared" si="0"/>
        <v>28.46216297055933</v>
      </c>
      <c r="M22" s="4">
        <f t="shared" si="0"/>
        <v>21.033628167328974</v>
      </c>
      <c r="N22">
        <f t="shared" si="0"/>
        <v>4.0350952157130848</v>
      </c>
      <c r="O22">
        <f t="shared" si="0"/>
        <v>0.9485963338033585</v>
      </c>
      <c r="P22" s="4">
        <f t="shared" si="0"/>
        <v>6.6230825107892147E-2</v>
      </c>
      <c r="Q22">
        <f t="shared" si="0"/>
        <v>0.41874973294022133</v>
      </c>
      <c r="R22" s="4">
        <f t="shared" si="0"/>
        <v>0.30836502442706776</v>
      </c>
      <c r="S22" s="4">
        <f t="shared" si="0"/>
        <v>0.19370735945534048</v>
      </c>
      <c r="T22" s="4">
        <f t="shared" si="0"/>
        <v>0.36320129897876341</v>
      </c>
      <c r="U22" s="4">
        <f t="shared" si="0"/>
        <v>4.8348502328761267</v>
      </c>
      <c r="X22" s="4">
        <f>100*X3/$E3</f>
        <v>2.350126052215528E-2</v>
      </c>
    </row>
    <row r="23" spans="1:24" x14ac:dyDescent="0.25">
      <c r="A23" s="7">
        <v>32</v>
      </c>
      <c r="F23">
        <f t="shared" ref="F23:U36" si="1">100*F4/$E4</f>
        <v>91.481293351082456</v>
      </c>
      <c r="G23">
        <f t="shared" si="1"/>
        <v>72.673054018076087</v>
      </c>
      <c r="H23">
        <f t="shared" si="1"/>
        <v>49.934316541722133</v>
      </c>
      <c r="I23" s="4">
        <f t="shared" si="1"/>
        <v>2.4924682967841378</v>
      </c>
      <c r="J23">
        <f t="shared" si="1"/>
        <v>88.859209696630003</v>
      </c>
      <c r="K23">
        <f>100*K4/$E4</f>
        <v>25.333671968051565</v>
      </c>
      <c r="L23" s="4">
        <f t="shared" si="1"/>
        <v>18.732922300847754</v>
      </c>
      <c r="M23" s="4">
        <f t="shared" si="1"/>
        <v>10.811497232536958</v>
      </c>
      <c r="N23">
        <f t="shared" si="1"/>
        <v>2.5134870034330552</v>
      </c>
      <c r="O23">
        <f t="shared" si="1"/>
        <v>1.1919358228823653</v>
      </c>
      <c r="P23" s="4">
        <f t="shared" si="1"/>
        <v>1.4888250542983254E-2</v>
      </c>
      <c r="Q23">
        <f t="shared" si="1"/>
        <v>0.5184614306732992</v>
      </c>
      <c r="R23" s="4">
        <f t="shared" si="1"/>
        <v>0.31615637917746797</v>
      </c>
      <c r="S23" s="4">
        <f t="shared" si="1"/>
        <v>0.14713094654242276</v>
      </c>
      <c r="T23" s="4">
        <f t="shared" si="1"/>
        <v>0.16902543263504519</v>
      </c>
      <c r="U23" s="4">
        <f t="shared" si="1"/>
        <v>6.6296503888460734</v>
      </c>
      <c r="X23" s="4">
        <f t="shared" ref="X23:X27" si="2">100*X4/$E4</f>
        <v>7.0062355496391792E-3</v>
      </c>
    </row>
    <row r="24" spans="1:24" x14ac:dyDescent="0.25">
      <c r="A24" s="7">
        <v>33</v>
      </c>
      <c r="F24">
        <f t="shared" si="1"/>
        <v>82.646639932929972</v>
      </c>
      <c r="G24">
        <f t="shared" si="1"/>
        <v>65.658932738053153</v>
      </c>
      <c r="H24">
        <f t="shared" si="1"/>
        <v>39.479399197987902</v>
      </c>
      <c r="I24" s="4">
        <f t="shared" si="1"/>
        <v>1.4969545762164018</v>
      </c>
      <c r="J24">
        <f t="shared" si="1"/>
        <v>80.066868011434224</v>
      </c>
      <c r="K24">
        <f t="shared" si="1"/>
        <v>28.507792850577268</v>
      </c>
      <c r="L24" s="4">
        <f t="shared" si="1"/>
        <v>23.368450823729052</v>
      </c>
      <c r="M24" s="4">
        <f t="shared" si="1"/>
        <v>13.245320754335815</v>
      </c>
      <c r="N24">
        <f t="shared" si="1"/>
        <v>1.3444308643347036</v>
      </c>
      <c r="O24">
        <f t="shared" si="1"/>
        <v>0.37777396187917295</v>
      </c>
      <c r="P24" s="4">
        <f t="shared" si="1"/>
        <v>1.0100908071635641E-2</v>
      </c>
      <c r="Q24">
        <f t="shared" si="1"/>
        <v>0.39090514237229929</v>
      </c>
      <c r="R24" s="4">
        <f t="shared" si="1"/>
        <v>0.27777497196998008</v>
      </c>
      <c r="S24" s="4">
        <f t="shared" si="1"/>
        <v>0.22120988676882053</v>
      </c>
      <c r="T24" s="4">
        <f t="shared" si="1"/>
        <v>0.11616044282380986</v>
      </c>
      <c r="U24" s="4">
        <f t="shared" si="1"/>
        <v>8.5686003171685137</v>
      </c>
      <c r="X24" s="4">
        <f t="shared" si="2"/>
        <v>5.0504540358178203E-3</v>
      </c>
    </row>
    <row r="25" spans="1:24" x14ac:dyDescent="0.25">
      <c r="A25" s="7">
        <v>34</v>
      </c>
      <c r="F25">
        <f t="shared" si="1"/>
        <v>85.096762524868879</v>
      </c>
      <c r="G25">
        <f t="shared" si="1"/>
        <v>62.980318650421744</v>
      </c>
      <c r="H25">
        <f t="shared" si="1"/>
        <v>33.647379930613788</v>
      </c>
      <c r="I25" s="4">
        <f t="shared" si="1"/>
        <v>2.0651441161479145</v>
      </c>
      <c r="J25">
        <f t="shared" si="1"/>
        <v>81.505779443923771</v>
      </c>
      <c r="K25">
        <f t="shared" si="1"/>
        <v>25.521629753859813</v>
      </c>
      <c r="L25" s="4">
        <f t="shared" si="1"/>
        <v>21.111823607754157</v>
      </c>
      <c r="M25" s="4">
        <f t="shared" si="1"/>
        <v>12.893996941745179</v>
      </c>
      <c r="N25">
        <f t="shared" si="1"/>
        <v>2.999062792877226</v>
      </c>
      <c r="O25">
        <f t="shared" si="1"/>
        <v>1.9188082671533566</v>
      </c>
      <c r="P25" s="4">
        <f t="shared" si="1"/>
        <v>0.2285470001150956</v>
      </c>
      <c r="Q25">
        <f t="shared" si="1"/>
        <v>0.79087127377957545</v>
      </c>
      <c r="R25" s="4">
        <f t="shared" si="1"/>
        <v>0.46860356138706655</v>
      </c>
      <c r="S25" s="4">
        <f t="shared" si="1"/>
        <v>0.98817803646886659</v>
      </c>
      <c r="T25" s="4">
        <f t="shared" si="1"/>
        <v>0.43078643187161908</v>
      </c>
      <c r="U25" s="4">
        <f t="shared" si="1"/>
        <v>5.9175586576563246</v>
      </c>
      <c r="X25" s="4">
        <f t="shared" si="2"/>
        <v>3.7817129515447474E-2</v>
      </c>
    </row>
    <row r="26" spans="1:24" x14ac:dyDescent="0.25">
      <c r="A26" s="7">
        <v>35</v>
      </c>
      <c r="F26">
        <f t="shared" si="1"/>
        <v>79.532717982528439</v>
      </c>
      <c r="G26">
        <f t="shared" si="1"/>
        <v>73.409428053403659</v>
      </c>
      <c r="H26">
        <f t="shared" si="1"/>
        <v>42.397395747486399</v>
      </c>
      <c r="I26" s="4">
        <f t="shared" si="1"/>
        <v>5.0436789187407287</v>
      </c>
      <c r="J26">
        <f t="shared" si="1"/>
        <v>74.089335750782922</v>
      </c>
      <c r="K26">
        <f>100*K7/$E7</f>
        <v>29.701664743695403</v>
      </c>
      <c r="L26" s="4">
        <f t="shared" si="1"/>
        <v>22.840777979231909</v>
      </c>
      <c r="M26" s="4">
        <f t="shared" si="1"/>
        <v>12.580352727872095</v>
      </c>
      <c r="N26">
        <f t="shared" si="1"/>
        <v>2.884456897972639</v>
      </c>
      <c r="O26">
        <f t="shared" si="1"/>
        <v>2.0232404812922367</v>
      </c>
      <c r="P26" s="4">
        <f t="shared" si="1"/>
        <v>8.6533706939179167E-2</v>
      </c>
      <c r="Q26">
        <f t="shared" si="1"/>
        <v>0.83237184770067574</v>
      </c>
      <c r="R26" s="4">
        <f t="shared" si="1"/>
        <v>0.57277072688313824</v>
      </c>
      <c r="S26" s="4">
        <f t="shared" si="1"/>
        <v>0.53568485248063291</v>
      </c>
      <c r="T26" s="4">
        <f t="shared" si="1"/>
        <v>0.34201417504532716</v>
      </c>
      <c r="U26" s="4">
        <f t="shared" si="1"/>
        <v>7.0957639690126912</v>
      </c>
      <c r="X26" s="4">
        <f t="shared" si="2"/>
        <v>3.2965221691115876E-2</v>
      </c>
    </row>
    <row r="27" spans="1:24" x14ac:dyDescent="0.25">
      <c r="A27" s="7">
        <v>36</v>
      </c>
      <c r="F27">
        <f t="shared" si="1"/>
        <v>89.093882761234212</v>
      </c>
      <c r="G27">
        <f t="shared" si="1"/>
        <v>48.589265412769016</v>
      </c>
      <c r="H27">
        <f t="shared" si="1"/>
        <v>32.386860003590165</v>
      </c>
      <c r="I27" s="4">
        <f t="shared" si="1"/>
        <v>8.7149211161417721</v>
      </c>
      <c r="J27">
        <f t="shared" si="1"/>
        <v>77.44819195404591</v>
      </c>
      <c r="K27">
        <f t="shared" si="1"/>
        <v>15.175219897480902</v>
      </c>
      <c r="L27" s="4">
        <f t="shared" si="1"/>
        <v>12.743482856971896</v>
      </c>
      <c r="M27" s="4">
        <f t="shared" si="1"/>
        <v>8.8341943075971834</v>
      </c>
      <c r="N27">
        <f t="shared" si="1"/>
        <v>1.0140215808684205</v>
      </c>
      <c r="O27">
        <f t="shared" si="1"/>
        <v>0.4411911362865748</v>
      </c>
      <c r="P27" s="4">
        <f t="shared" si="1"/>
        <v>1.4360651814029559E-2</v>
      </c>
      <c r="Q27">
        <f t="shared" si="1"/>
        <v>0.50302172048586868</v>
      </c>
      <c r="R27" s="4">
        <f t="shared" si="1"/>
        <v>0.33946985260386542</v>
      </c>
      <c r="S27" s="4">
        <f t="shared" si="1"/>
        <v>8.0978119951333347E-2</v>
      </c>
      <c r="T27" s="4">
        <f t="shared" si="1"/>
        <v>0.30596166503779643</v>
      </c>
      <c r="U27" s="4">
        <f t="shared" si="1"/>
        <v>3.5678241617966773</v>
      </c>
      <c r="X27" s="4">
        <f t="shared" si="2"/>
        <v>3.5901629535073898E-3</v>
      </c>
    </row>
    <row r="28" spans="1:24" x14ac:dyDescent="0.25">
      <c r="A28" s="7">
        <v>37</v>
      </c>
      <c r="F28">
        <f t="shared" si="1"/>
        <v>88.653499345824869</v>
      </c>
      <c r="G28">
        <f t="shared" si="1"/>
        <v>62.420487272070062</v>
      </c>
      <c r="H28">
        <f t="shared" si="1"/>
        <v>35.292846506547647</v>
      </c>
      <c r="I28" s="4">
        <f>100*I9/$E9</f>
        <v>7.0529115704525003</v>
      </c>
      <c r="J28">
        <f t="shared" si="1"/>
        <v>80.683956796938546</v>
      </c>
      <c r="K28">
        <f t="shared" si="1"/>
        <v>29.070521257745</v>
      </c>
      <c r="L28" s="4">
        <f t="shared" si="1"/>
        <v>22.757043678468012</v>
      </c>
      <c r="M28" s="4">
        <f t="shared" si="1"/>
        <v>9.9540702265842622</v>
      </c>
      <c r="N28">
        <f t="shared" si="1"/>
        <v>1.0164270643841913</v>
      </c>
      <c r="O28">
        <f t="shared" si="1"/>
        <v>0.33435617773132853</v>
      </c>
      <c r="P28" s="4">
        <f t="shared" si="1"/>
        <v>4.1254287499165092E-2</v>
      </c>
      <c r="Q28">
        <f t="shared" si="1"/>
        <v>0.59209725010706471</v>
      </c>
      <c r="R28" s="4">
        <f t="shared" si="1"/>
        <v>0.36696670975447804</v>
      </c>
      <c r="S28" s="4">
        <f t="shared" si="1"/>
        <v>0.1976276820198099</v>
      </c>
      <c r="T28" s="4">
        <f t="shared" si="1"/>
        <v>0.46165512201446651</v>
      </c>
      <c r="U28" s="4">
        <f t="shared" si="1"/>
        <v>10.803515651090882</v>
      </c>
      <c r="X28" s="4">
        <f>100*X9/$E9</f>
        <v>1.8073306904396135E-2</v>
      </c>
    </row>
    <row r="29" spans="1:24" x14ac:dyDescent="0.25">
      <c r="A29" s="7">
        <v>38</v>
      </c>
      <c r="F29">
        <f t="shared" si="1"/>
        <v>86.609076732029919</v>
      </c>
      <c r="G29">
        <f t="shared" si="1"/>
        <v>66.491466196898372</v>
      </c>
      <c r="H29">
        <f t="shared" si="1"/>
        <v>41.248519941086435</v>
      </c>
      <c r="I29" s="4">
        <f t="shared" si="1"/>
        <v>3.5167643746209607</v>
      </c>
      <c r="J29">
        <f t="shared" si="1"/>
        <v>83.250064978196207</v>
      </c>
      <c r="K29">
        <f t="shared" si="1"/>
        <v>20.113639645363445</v>
      </c>
      <c r="L29" s="4">
        <f t="shared" si="1"/>
        <v>12.050206486267941</v>
      </c>
      <c r="M29" s="4">
        <f t="shared" si="1"/>
        <v>6.6378837323475901</v>
      </c>
      <c r="N29">
        <f t="shared" si="1"/>
        <v>1.3237502526929852</v>
      </c>
      <c r="O29">
        <f t="shared" si="1"/>
        <v>0.57830594622693277</v>
      </c>
      <c r="P29" s="4">
        <f t="shared" si="1"/>
        <v>0.12454154272677391</v>
      </c>
      <c r="Q29">
        <f t="shared" si="1"/>
        <v>0.41766540560834031</v>
      </c>
      <c r="R29" s="4">
        <f t="shared" si="1"/>
        <v>0.29167990296589369</v>
      </c>
      <c r="S29" s="4">
        <f t="shared" si="1"/>
        <v>9.2774424581973602E-2</v>
      </c>
      <c r="T29" s="4">
        <f t="shared" si="1"/>
        <v>0.40791867617754929</v>
      </c>
      <c r="U29" s="4">
        <f t="shared" si="1"/>
        <v>2.6110405175152338</v>
      </c>
      <c r="X29" s="4">
        <f t="shared" ref="X29:X36" si="3">100*X10/$E10</f>
        <v>5.9202356542582379E-2</v>
      </c>
    </row>
    <row r="30" spans="1:24" x14ac:dyDescent="0.25">
      <c r="A30" s="7">
        <v>39</v>
      </c>
      <c r="F30">
        <f t="shared" si="1"/>
        <v>88.958028715932784</v>
      </c>
      <c r="G30">
        <f t="shared" si="1"/>
        <v>56.660993791797502</v>
      </c>
      <c r="H30">
        <f t="shared" si="1"/>
        <v>39.619837484119948</v>
      </c>
      <c r="I30" s="4">
        <f t="shared" si="1"/>
        <v>2.4535583307365947</v>
      </c>
      <c r="J30">
        <f t="shared" si="1"/>
        <v>85.840024928689573</v>
      </c>
      <c r="K30">
        <f t="shared" si="1"/>
        <v>21.454493156595316</v>
      </c>
      <c r="L30" s="4">
        <f t="shared" si="1"/>
        <v>15.636999928090319</v>
      </c>
      <c r="M30" s="4">
        <f t="shared" si="1"/>
        <v>7.7729571657997552</v>
      </c>
      <c r="N30">
        <f t="shared" si="1"/>
        <v>1.5561255063640067</v>
      </c>
      <c r="O30">
        <f t="shared" si="1"/>
        <v>0.64622833720846617</v>
      </c>
      <c r="P30" s="4">
        <f t="shared" si="1"/>
        <v>7.1909681440111223E-3</v>
      </c>
      <c r="Q30">
        <f t="shared" si="1"/>
        <v>0.1941561398883003</v>
      </c>
      <c r="R30" s="4">
        <f t="shared" si="1"/>
        <v>0.14238116925142022</v>
      </c>
      <c r="S30" s="4">
        <f t="shared" si="1"/>
        <v>4.9377981255543039E-2</v>
      </c>
      <c r="T30" s="4">
        <f t="shared" si="1"/>
        <v>9.3482585872144586E-2</v>
      </c>
      <c r="U30" s="4">
        <f t="shared" si="1"/>
        <v>7.4019032095687818</v>
      </c>
      <c r="X30" s="4">
        <f t="shared" si="3"/>
        <v>9.5879575253481628E-4</v>
      </c>
    </row>
    <row r="31" spans="1:24" x14ac:dyDescent="0.25">
      <c r="A31" s="7">
        <v>40</v>
      </c>
      <c r="F31">
        <f t="shared" si="1"/>
        <v>93.465853658536588</v>
      </c>
      <c r="G31">
        <f t="shared" si="1"/>
        <v>82.169512195121953</v>
      </c>
      <c r="H31">
        <f t="shared" si="1"/>
        <v>50.946341463414633</v>
      </c>
      <c r="I31" s="4">
        <f t="shared" si="1"/>
        <v>6.6192682926829267</v>
      </c>
      <c r="J31">
        <f t="shared" si="1"/>
        <v>86.962195121951225</v>
      </c>
      <c r="K31">
        <f t="shared" si="1"/>
        <v>10.551219512195122</v>
      </c>
      <c r="L31" s="4">
        <f t="shared" si="1"/>
        <v>6.8141463414634149</v>
      </c>
      <c r="M31" s="4">
        <f t="shared" si="1"/>
        <v>3.7097560975609758</v>
      </c>
      <c r="N31">
        <f t="shared" si="1"/>
        <v>1.137560975609756</v>
      </c>
      <c r="O31">
        <f t="shared" si="1"/>
        <v>0.36292682926829267</v>
      </c>
      <c r="P31" s="4">
        <f t="shared" si="1"/>
        <v>0.11951219512195121</v>
      </c>
      <c r="Q31">
        <f t="shared" si="1"/>
        <v>5.5853658536585367E-2</v>
      </c>
      <c r="R31" s="4">
        <f t="shared" si="1"/>
        <v>2.5609756097560974E-2</v>
      </c>
      <c r="S31" s="4">
        <f t="shared" si="1"/>
        <v>2.8292682926829269E-2</v>
      </c>
      <c r="T31" s="4">
        <f t="shared" si="1"/>
        <v>0.19829268292682928</v>
      </c>
      <c r="U31" s="4">
        <f t="shared" si="1"/>
        <v>1.7048780487804878</v>
      </c>
      <c r="X31" s="4">
        <f t="shared" si="3"/>
        <v>3.7317073170731706E-2</v>
      </c>
    </row>
    <row r="32" spans="1:24" x14ac:dyDescent="0.25">
      <c r="A32" s="7">
        <v>41</v>
      </c>
      <c r="F32">
        <f t="shared" si="1"/>
        <v>84.788576310903011</v>
      </c>
      <c r="G32">
        <f t="shared" si="1"/>
        <v>53.013480190000045</v>
      </c>
      <c r="H32">
        <f t="shared" si="1"/>
        <v>36.711628831618171</v>
      </c>
      <c r="I32" s="4">
        <f t="shared" si="1"/>
        <v>2.8559222742480577</v>
      </c>
      <c r="J32">
        <f t="shared" si="1"/>
        <v>80.524149715972783</v>
      </c>
      <c r="K32">
        <f t="shared" si="1"/>
        <v>16.705368812415141</v>
      </c>
      <c r="L32" s="4">
        <f t="shared" si="1"/>
        <v>12.193079294986486</v>
      </c>
      <c r="M32" s="4">
        <f t="shared" si="1"/>
        <v>7.6528734757064729</v>
      </c>
      <c r="N32">
        <f t="shared" si="1"/>
        <v>1.0142923005993545</v>
      </c>
      <c r="O32">
        <f t="shared" si="1"/>
        <v>0.36122002698575845</v>
      </c>
      <c r="P32" s="4">
        <f t="shared" si="1"/>
        <v>3.3414967367535034E-2</v>
      </c>
      <c r="Q32">
        <f t="shared" si="1"/>
        <v>0.23728856573654625</v>
      </c>
      <c r="R32" s="4">
        <f t="shared" si="1"/>
        <v>0.13577474082251575</v>
      </c>
      <c r="S32" s="4">
        <f t="shared" si="1"/>
        <v>0.2271371832451432</v>
      </c>
      <c r="T32" s="4">
        <f t="shared" si="1"/>
        <v>0.13365986947014014</v>
      </c>
      <c r="U32" s="4">
        <f t="shared" si="1"/>
        <v>3.6756464104288535</v>
      </c>
      <c r="X32" s="4">
        <f t="shared" si="3"/>
        <v>7.6135368685522863E-3</v>
      </c>
    </row>
    <row r="33" spans="1:24" x14ac:dyDescent="0.25">
      <c r="A33" s="7">
        <v>42</v>
      </c>
      <c r="F33">
        <f t="shared" si="1"/>
        <v>88.788367131583783</v>
      </c>
      <c r="G33">
        <f t="shared" si="1"/>
        <v>64.776793907138924</v>
      </c>
      <c r="H33">
        <f t="shared" si="1"/>
        <v>45.003957148100568</v>
      </c>
      <c r="I33" s="4">
        <f t="shared" si="1"/>
        <v>4.3078431822352723</v>
      </c>
      <c r="J33">
        <f t="shared" si="1"/>
        <v>84.059575151403934</v>
      </c>
      <c r="K33">
        <f t="shared" si="1"/>
        <v>20.350924481556248</v>
      </c>
      <c r="L33" s="4">
        <f t="shared" si="1"/>
        <v>16.234630207377499</v>
      </c>
      <c r="M33" s="4">
        <f t="shared" si="1"/>
        <v>11.652940906588364</v>
      </c>
      <c r="N33">
        <f t="shared" si="1"/>
        <v>1.0626949899064049</v>
      </c>
      <c r="O33">
        <f t="shared" si="1"/>
        <v>0.43528629106258027</v>
      </c>
      <c r="P33" s="4">
        <f t="shared" si="1"/>
        <v>6.0217471095613878E-3</v>
      </c>
      <c r="Q33">
        <f t="shared" si="1"/>
        <v>0.33664433841071756</v>
      </c>
      <c r="R33" s="4">
        <f t="shared" si="1"/>
        <v>0.22968663975041292</v>
      </c>
      <c r="S33" s="4">
        <f t="shared" si="1"/>
        <v>5.763672233437328E-2</v>
      </c>
      <c r="T33" s="4">
        <f t="shared" si="1"/>
        <v>0.11039869700862544</v>
      </c>
      <c r="U33" s="4">
        <f t="shared" si="1"/>
        <v>4.0976555331253444</v>
      </c>
      <c r="X33" s="4">
        <f t="shared" si="3"/>
        <v>1.7204991741603965E-3</v>
      </c>
    </row>
    <row r="34" spans="1:24" x14ac:dyDescent="0.25">
      <c r="A34" s="7">
        <v>43</v>
      </c>
      <c r="F34">
        <f t="shared" si="1"/>
        <v>88.472743171410826</v>
      </c>
      <c r="G34">
        <f t="shared" si="1"/>
        <v>64.998964493637388</v>
      </c>
      <c r="H34">
        <f t="shared" si="1"/>
        <v>40.89053547184573</v>
      </c>
      <c r="I34" s="4">
        <f t="shared" si="1"/>
        <v>4.8866695814253172</v>
      </c>
      <c r="J34">
        <f t="shared" si="1"/>
        <v>83.414869871367102</v>
      </c>
      <c r="K34">
        <f t="shared" si="1"/>
        <v>29.811077616954691</v>
      </c>
      <c r="L34" s="4">
        <f t="shared" si="1"/>
        <v>18.62576800055227</v>
      </c>
      <c r="M34" s="4">
        <f t="shared" si="1"/>
        <v>8.1358584347746046</v>
      </c>
      <c r="N34">
        <f t="shared" si="1"/>
        <v>1.6310375773753365</v>
      </c>
      <c r="O34">
        <f t="shared" si="1"/>
        <v>0.81091653818717357</v>
      </c>
      <c r="P34" s="4">
        <f t="shared" si="1"/>
        <v>0.10447108636123065</v>
      </c>
      <c r="Q34">
        <f t="shared" si="1"/>
        <v>0.240697701175875</v>
      </c>
      <c r="R34" s="4">
        <f t="shared" si="1"/>
        <v>0.17718664426904757</v>
      </c>
      <c r="S34" s="4">
        <f t="shared" si="1"/>
        <v>0.28349863083047611</v>
      </c>
      <c r="T34" s="4">
        <f t="shared" si="1"/>
        <v>0.19053317072048231</v>
      </c>
      <c r="U34" s="4">
        <f t="shared" si="1"/>
        <v>7.4091630807464854</v>
      </c>
      <c r="X34" s="4">
        <f t="shared" si="3"/>
        <v>4.1880479554502151E-2</v>
      </c>
    </row>
    <row r="35" spans="1:24" x14ac:dyDescent="0.25">
      <c r="A35" s="7">
        <v>44</v>
      </c>
      <c r="F35">
        <f t="shared" si="1"/>
        <v>81.823115407445101</v>
      </c>
      <c r="G35">
        <f t="shared" si="1"/>
        <v>71.291444076994821</v>
      </c>
      <c r="H35">
        <f t="shared" si="1"/>
        <v>45.038582209785467</v>
      </c>
      <c r="I35" s="4">
        <f t="shared" si="1"/>
        <v>4.2296277452726194</v>
      </c>
      <c r="J35">
        <f t="shared" si="1"/>
        <v>76.44026117188163</v>
      </c>
      <c r="K35">
        <f t="shared" si="1"/>
        <v>23.943017044009157</v>
      </c>
      <c r="L35" s="4">
        <f t="shared" si="1"/>
        <v>17.799542101246502</v>
      </c>
      <c r="M35" s="4">
        <f t="shared" si="1"/>
        <v>11.051471211735775</v>
      </c>
      <c r="N35">
        <f t="shared" si="1"/>
        <v>3.1484779106249472</v>
      </c>
      <c r="O35">
        <f t="shared" si="1"/>
        <v>1.1515305689815993</v>
      </c>
      <c r="P35" s="4">
        <f t="shared" si="1"/>
        <v>0.15178495717798693</v>
      </c>
      <c r="Q35">
        <f t="shared" si="1"/>
        <v>0.43415585516832017</v>
      </c>
      <c r="R35" s="4">
        <f t="shared" si="1"/>
        <v>0.30696175697447636</v>
      </c>
      <c r="S35" s="4">
        <f t="shared" si="1"/>
        <v>0.11532264902908505</v>
      </c>
      <c r="T35" s="4">
        <f t="shared" si="1"/>
        <v>0.26710760620707197</v>
      </c>
      <c r="U35" s="4">
        <f t="shared" si="1"/>
        <v>5.1606885440515562</v>
      </c>
      <c r="X35" s="4">
        <f t="shared" si="3"/>
        <v>7.2924616297803779E-2</v>
      </c>
    </row>
    <row r="36" spans="1:24" x14ac:dyDescent="0.25">
      <c r="A36" s="7">
        <v>45</v>
      </c>
      <c r="F36">
        <f t="shared" si="1"/>
        <v>87.842290182782619</v>
      </c>
      <c r="G36">
        <f t="shared" si="1"/>
        <v>65.991086442369479</v>
      </c>
      <c r="H36">
        <f t="shared" si="1"/>
        <v>37.393878081124313</v>
      </c>
      <c r="I36" s="4">
        <f>100*I17/$E17</f>
        <v>1.9864109259436478</v>
      </c>
      <c r="J36">
        <f>100*J17/$E17</f>
        <v>84.697253475877346</v>
      </c>
      <c r="K36">
        <f t="shared" si="1"/>
        <v>30.392223877944414</v>
      </c>
      <c r="L36" s="4">
        <f t="shared" si="1"/>
        <v>24.49656171818393</v>
      </c>
      <c r="M36" s="4">
        <f t="shared" si="1"/>
        <v>15.745690185516835</v>
      </c>
      <c r="N36">
        <f t="shared" si="1"/>
        <v>1.3671100660314162</v>
      </c>
      <c r="O36">
        <f t="shared" si="1"/>
        <v>0.53795781098336226</v>
      </c>
      <c r="P36" s="4">
        <f t="shared" si="1"/>
        <v>5.4684402641256645E-2</v>
      </c>
      <c r="Q36">
        <f t="shared" si="1"/>
        <v>0.32810641584753991</v>
      </c>
      <c r="R36" s="4">
        <f t="shared" si="1"/>
        <v>0.23514293135740358</v>
      </c>
      <c r="S36" s="4">
        <f t="shared" si="1"/>
        <v>0.17362297838598986</v>
      </c>
      <c r="T36" s="4">
        <f t="shared" si="1"/>
        <v>0.12919190123996882</v>
      </c>
      <c r="U36" s="4">
        <f t="shared" si="1"/>
        <v>7.3598370404801292</v>
      </c>
      <c r="X36" s="4">
        <f t="shared" si="3"/>
        <v>2.7342201320628323E-2</v>
      </c>
    </row>
    <row r="37" spans="1:24" s="7" customFormat="1" x14ac:dyDescent="0.25"/>
    <row r="38" spans="1:24" s="8" customFormat="1" ht="27" customHeight="1" x14ac:dyDescent="0.25">
      <c r="A38" s="8" t="s">
        <v>86</v>
      </c>
      <c r="B38" s="9" t="s">
        <v>70</v>
      </c>
      <c r="C38" s="9" t="s">
        <v>71</v>
      </c>
      <c r="D38" s="9" t="s">
        <v>72</v>
      </c>
      <c r="E38" s="9" t="s">
        <v>73</v>
      </c>
      <c r="F38" s="9" t="s">
        <v>74</v>
      </c>
      <c r="G38" s="9" t="s">
        <v>75</v>
      </c>
      <c r="H38" s="9" t="s">
        <v>76</v>
      </c>
      <c r="I38" s="3" t="s">
        <v>18</v>
      </c>
      <c r="J38" s="9" t="s">
        <v>77</v>
      </c>
      <c r="K38" s="9" t="s">
        <v>78</v>
      </c>
      <c r="L38" s="3" t="s">
        <v>12</v>
      </c>
      <c r="M38" s="3" t="s">
        <v>79</v>
      </c>
      <c r="P38" s="4" t="s">
        <v>80</v>
      </c>
      <c r="R38" s="4" t="s">
        <v>25</v>
      </c>
      <c r="S38" s="4" t="s">
        <v>81</v>
      </c>
      <c r="T38" s="4" t="s">
        <v>82</v>
      </c>
      <c r="U38" s="4" t="s">
        <v>83</v>
      </c>
      <c r="X38" s="4" t="s">
        <v>84</v>
      </c>
    </row>
    <row r="39" spans="1:24" x14ac:dyDescent="0.25">
      <c r="A39" s="8">
        <v>31</v>
      </c>
      <c r="G39">
        <f t="shared" ref="G39:V53" si="4">100*(G3/$F3)</f>
        <v>83.449447483673879</v>
      </c>
      <c r="H39">
        <f t="shared" si="4"/>
        <v>49.657112576175564</v>
      </c>
      <c r="I39" s="4">
        <f t="shared" si="4"/>
        <v>2.1625286388927853</v>
      </c>
      <c r="J39">
        <f t="shared" si="4"/>
        <v>97.395614158133441</v>
      </c>
      <c r="K39">
        <f t="shared" si="4"/>
        <v>41.815121335390657</v>
      </c>
      <c r="L39" s="4">
        <f t="shared" si="4"/>
        <v>31.145088137653715</v>
      </c>
      <c r="M39" s="4">
        <f>100*(M3/$F3)</f>
        <v>23.016318324215646</v>
      </c>
      <c r="N39">
        <f t="shared" ref="N39:X53" si="5">100*(N3/$F3)</f>
        <v>4.4154548713392874</v>
      </c>
      <c r="O39">
        <f t="shared" si="5"/>
        <v>1.0380137466685371</v>
      </c>
      <c r="P39" s="4">
        <f t="shared" si="5"/>
        <v>7.2473932762893351E-2</v>
      </c>
      <c r="Q39">
        <f t="shared" si="5"/>
        <v>0.45822228456539021</v>
      </c>
      <c r="R39" s="4">
        <f t="shared" si="5"/>
        <v>0.33743239662723462</v>
      </c>
      <c r="S39" s="4">
        <f t="shared" si="5"/>
        <v>0.21196677109147302</v>
      </c>
      <c r="T39" s="4">
        <f t="shared" si="5"/>
        <v>0.39743769579651189</v>
      </c>
      <c r="U39" s="4">
        <f t="shared" si="5"/>
        <v>5.2905970916912137</v>
      </c>
      <c r="V39">
        <f t="shared" si="5"/>
        <v>1.0029457146864917</v>
      </c>
      <c r="W39">
        <f t="shared" si="5"/>
        <v>0.15507863032059974</v>
      </c>
      <c r="X39" s="4">
        <f t="shared" si="5"/>
        <v>2.5716556786833124E-2</v>
      </c>
    </row>
    <row r="40" spans="1:24" x14ac:dyDescent="0.25">
      <c r="A40" s="8">
        <v>32</v>
      </c>
      <c r="G40">
        <f t="shared" si="4"/>
        <v>79.440343873555634</v>
      </c>
      <c r="H40">
        <f t="shared" si="4"/>
        <v>54.584182965239279</v>
      </c>
      <c r="I40" s="4">
        <f>100*(I4/$F4)</f>
        <v>2.7245660893956365</v>
      </c>
      <c r="J40">
        <f t="shared" si="4"/>
        <v>97.133748815301985</v>
      </c>
      <c r="K40">
        <f t="shared" si="4"/>
        <v>27.692734809538855</v>
      </c>
      <c r="L40" s="4">
        <f t="shared" si="4"/>
        <v>20.477325598092996</v>
      </c>
      <c r="M40" s="4">
        <f t="shared" si="4"/>
        <v>11.818260145322956</v>
      </c>
      <c r="N40">
        <f t="shared" si="4"/>
        <v>2.7475420507960213</v>
      </c>
      <c r="O40">
        <f t="shared" si="4"/>
        <v>1.3029284777468242</v>
      </c>
      <c r="P40" s="4">
        <f t="shared" si="4"/>
        <v>1.6274639325272601E-2</v>
      </c>
      <c r="Q40">
        <f t="shared" si="4"/>
        <v>0.56674038120949288</v>
      </c>
      <c r="R40" s="4">
        <f t="shared" si="4"/>
        <v>0.34559675273078871</v>
      </c>
      <c r="S40" s="4">
        <f t="shared" si="4"/>
        <v>0.16083172980269392</v>
      </c>
      <c r="T40" s="4">
        <f t="shared" si="4"/>
        <v>0.18476502292809482</v>
      </c>
      <c r="U40" s="4">
        <f t="shared" si="4"/>
        <v>7.2470011583713871</v>
      </c>
      <c r="V40">
        <f t="shared" si="4"/>
        <v>3.0117656069004473</v>
      </c>
      <c r="W40">
        <f t="shared" si="5"/>
        <v>1.4790775151497746</v>
      </c>
      <c r="X40" s="4">
        <f t="shared" si="5"/>
        <v>7.6586538001282818E-3</v>
      </c>
    </row>
    <row r="41" spans="1:24" x14ac:dyDescent="0.25">
      <c r="A41" s="8">
        <v>33</v>
      </c>
      <c r="G41">
        <f t="shared" si="4"/>
        <v>79.445374659317295</v>
      </c>
      <c r="H41">
        <f t="shared" si="4"/>
        <v>47.768910181982619</v>
      </c>
      <c r="I41" s="4">
        <f t="shared" si="4"/>
        <v>1.8112709451118907</v>
      </c>
      <c r="J41">
        <f t="shared" si="4"/>
        <v>96.87855196098802</v>
      </c>
      <c r="K41">
        <f t="shared" si="4"/>
        <v>34.493589665244862</v>
      </c>
      <c r="L41" s="4">
        <f t="shared" si="4"/>
        <v>28.275137189719018</v>
      </c>
      <c r="M41" s="4">
        <f t="shared" si="4"/>
        <v>16.026447977902983</v>
      </c>
      <c r="N41">
        <f t="shared" si="4"/>
        <v>1.6267217462509624</v>
      </c>
      <c r="O41">
        <f t="shared" si="4"/>
        <v>0.4570953667151465</v>
      </c>
      <c r="P41" s="4">
        <f t="shared" si="4"/>
        <v>1.2221801249068088E-2</v>
      </c>
      <c r="Q41">
        <f t="shared" si="4"/>
        <v>0.47298370833893499</v>
      </c>
      <c r="R41" s="4">
        <f t="shared" si="4"/>
        <v>0.3360995343493724</v>
      </c>
      <c r="S41" s="4">
        <f t="shared" si="4"/>
        <v>0.26765744735459113</v>
      </c>
      <c r="T41" s="4">
        <f t="shared" si="4"/>
        <v>0.14055071436428301</v>
      </c>
      <c r="U41" s="4">
        <f t="shared" si="4"/>
        <v>10.367753999584458</v>
      </c>
      <c r="V41">
        <f t="shared" si="4"/>
        <v>0.66731034819911761</v>
      </c>
      <c r="W41">
        <f t="shared" si="5"/>
        <v>9.2885689492917464E-2</v>
      </c>
      <c r="X41" s="4">
        <f t="shared" si="5"/>
        <v>6.1109006245340441E-3</v>
      </c>
    </row>
    <row r="42" spans="1:24" x14ac:dyDescent="0.25">
      <c r="A42" s="8">
        <v>34</v>
      </c>
      <c r="G42">
        <f t="shared" si="4"/>
        <v>74.010240556467977</v>
      </c>
      <c r="H42">
        <f t="shared" si="4"/>
        <v>39.540141049173997</v>
      </c>
      <c r="I42" s="4">
        <f t="shared" si="4"/>
        <v>2.4268186648632981</v>
      </c>
      <c r="J42">
        <f t="shared" si="4"/>
        <v>95.780117863008414</v>
      </c>
      <c r="K42">
        <f t="shared" si="4"/>
        <v>29.991305187904548</v>
      </c>
      <c r="L42" s="4">
        <f t="shared" si="4"/>
        <v>24.809197179016522</v>
      </c>
      <c r="M42" s="4">
        <f t="shared" si="4"/>
        <v>15.152159211670371</v>
      </c>
      <c r="N42">
        <f t="shared" si="4"/>
        <v>3.5242971693556178</v>
      </c>
      <c r="O42">
        <f t="shared" si="4"/>
        <v>2.2548546034199592</v>
      </c>
      <c r="P42" s="4">
        <f t="shared" si="4"/>
        <v>0.26857308472611346</v>
      </c>
      <c r="Q42">
        <f t="shared" si="4"/>
        <v>0.92937880398029171</v>
      </c>
      <c r="R42" s="4">
        <f t="shared" si="4"/>
        <v>0.55067143271181529</v>
      </c>
      <c r="S42" s="4">
        <f t="shared" si="4"/>
        <v>1.1612404598589507</v>
      </c>
      <c r="T42" s="4">
        <f t="shared" si="4"/>
        <v>0.50623128200173895</v>
      </c>
      <c r="U42" s="4">
        <f t="shared" si="4"/>
        <v>6.9539174958941175</v>
      </c>
      <c r="V42">
        <f t="shared" si="4"/>
        <v>0.78253308859047443</v>
      </c>
      <c r="W42">
        <f t="shared" si="5"/>
        <v>0.33619940102405566</v>
      </c>
      <c r="X42" s="4">
        <f t="shared" si="5"/>
        <v>4.4440150710076322E-2</v>
      </c>
    </row>
    <row r="43" spans="1:24" x14ac:dyDescent="0.25">
      <c r="A43" s="8">
        <v>35</v>
      </c>
      <c r="G43">
        <f t="shared" si="4"/>
        <v>92.300917050929996</v>
      </c>
      <c r="H43">
        <f t="shared" si="4"/>
        <v>53.308118750323821</v>
      </c>
      <c r="I43" s="4">
        <f t="shared" si="4"/>
        <v>6.3416403295166051</v>
      </c>
      <c r="J43">
        <f t="shared" si="4"/>
        <v>93.155795036526598</v>
      </c>
      <c r="K43">
        <f t="shared" si="4"/>
        <v>37.34521527382001</v>
      </c>
      <c r="L43" s="4">
        <f t="shared" si="4"/>
        <v>28.718719237345212</v>
      </c>
      <c r="M43" s="4">
        <f t="shared" si="4"/>
        <v>15.817833272887416</v>
      </c>
      <c r="N43">
        <f t="shared" si="4"/>
        <v>3.6267550904098238</v>
      </c>
      <c r="O43">
        <f t="shared" si="4"/>
        <v>2.5439096419874621</v>
      </c>
      <c r="P43" s="4">
        <f t="shared" si="4"/>
        <v>0.10880265271229471</v>
      </c>
      <c r="Q43">
        <f t="shared" si="4"/>
        <v>1.0465778975182634</v>
      </c>
      <c r="R43" s="4">
        <f t="shared" si="4"/>
        <v>0.72016993938137919</v>
      </c>
      <c r="S43" s="4">
        <f t="shared" si="4"/>
        <v>0.67354023107611005</v>
      </c>
      <c r="T43" s="4">
        <f t="shared" si="4"/>
        <v>0.43002953214859335</v>
      </c>
      <c r="U43" s="4">
        <f t="shared" si="4"/>
        <v>8.9218175224081655</v>
      </c>
      <c r="V43">
        <f t="shared" si="4"/>
        <v>0.87042122169835767</v>
      </c>
      <c r="W43">
        <f t="shared" si="5"/>
        <v>0.27977824983161498</v>
      </c>
      <c r="X43" s="4">
        <f t="shared" si="5"/>
        <v>4.1448629604683693E-2</v>
      </c>
    </row>
    <row r="44" spans="1:24" x14ac:dyDescent="0.25">
      <c r="A44" s="8">
        <v>36</v>
      </c>
      <c r="G44">
        <f t="shared" si="4"/>
        <v>54.537151044348434</v>
      </c>
      <c r="H44">
        <f t="shared" si="4"/>
        <v>36.351384629161167</v>
      </c>
      <c r="I44" s="4">
        <f t="shared" si="4"/>
        <v>9.7817278201884967</v>
      </c>
      <c r="J44">
        <f t="shared" si="4"/>
        <v>86.928742528375381</v>
      </c>
      <c r="K44">
        <f t="shared" si="4"/>
        <v>17.03284156797779</v>
      </c>
      <c r="L44" s="4">
        <f t="shared" si="4"/>
        <v>14.303431910273343</v>
      </c>
      <c r="M44" s="4">
        <f t="shared" si="4"/>
        <v>9.9156014238062191</v>
      </c>
      <c r="N44">
        <f t="shared" si="4"/>
        <v>1.1381494996530033</v>
      </c>
      <c r="O44">
        <f t="shared" si="4"/>
        <v>0.49519801204414693</v>
      </c>
      <c r="P44" s="4">
        <f t="shared" si="4"/>
        <v>1.6118560970695559E-2</v>
      </c>
      <c r="Q44">
        <f t="shared" si="4"/>
        <v>0.5645973717790862</v>
      </c>
      <c r="R44" s="4">
        <f t="shared" si="4"/>
        <v>0.3810248718350534</v>
      </c>
      <c r="S44" s="4">
        <f t="shared" si="4"/>
        <v>9.0890774362533303E-2</v>
      </c>
      <c r="T44" s="4">
        <f t="shared" si="4"/>
        <v>0.34341489623676374</v>
      </c>
      <c r="U44" s="4">
        <f t="shared" si="4"/>
        <v>4.0045669256083638</v>
      </c>
      <c r="V44">
        <f t="shared" si="4"/>
        <v>0.40296402426738898</v>
      </c>
      <c r="W44">
        <f t="shared" si="5"/>
        <v>2.8207481698717229E-2</v>
      </c>
      <c r="X44" s="4">
        <f t="shared" si="5"/>
        <v>4.0296402426738898E-3</v>
      </c>
    </row>
    <row r="45" spans="1:24" x14ac:dyDescent="0.25">
      <c r="A45" s="8">
        <v>37</v>
      </c>
      <c r="G45">
        <f t="shared" si="4"/>
        <v>70.409501861372092</v>
      </c>
      <c r="H45">
        <f t="shared" si="4"/>
        <v>39.809874135791532</v>
      </c>
      <c r="I45" s="4">
        <f t="shared" si="4"/>
        <v>7.95559297996809</v>
      </c>
      <c r="J45">
        <f t="shared" si="4"/>
        <v>91.010459138450628</v>
      </c>
      <c r="K45">
        <f t="shared" si="4"/>
        <v>32.791171778053538</v>
      </c>
      <c r="L45" s="4">
        <f t="shared" si="4"/>
        <v>25.669650771139867</v>
      </c>
      <c r="M45" s="4">
        <f t="shared" si="4"/>
        <v>11.228062400283639</v>
      </c>
      <c r="N45">
        <f t="shared" si="4"/>
        <v>1.1465165750753412</v>
      </c>
      <c r="O45">
        <f t="shared" si="4"/>
        <v>0.37714944158837083</v>
      </c>
      <c r="P45" s="4">
        <f t="shared" si="4"/>
        <v>4.6534302428647402E-2</v>
      </c>
      <c r="Q45">
        <f t="shared" si="4"/>
        <v>0.66787803580925376</v>
      </c>
      <c r="R45" s="4">
        <f t="shared" si="4"/>
        <v>0.41393369969863497</v>
      </c>
      <c r="S45" s="4">
        <f t="shared" si="4"/>
        <v>0.22292146782485373</v>
      </c>
      <c r="T45" s="4">
        <f t="shared" si="4"/>
        <v>0.52074100336819718</v>
      </c>
      <c r="U45" s="4">
        <f t="shared" si="4"/>
        <v>12.18622584648112</v>
      </c>
      <c r="V45">
        <f t="shared" si="4"/>
        <v>1.134550611593689</v>
      </c>
      <c r="W45">
        <f t="shared" si="5"/>
        <v>0.16973940790639958</v>
      </c>
      <c r="X45" s="4">
        <f t="shared" si="5"/>
        <v>2.0386456302074099E-2</v>
      </c>
    </row>
    <row r="46" spans="1:24" x14ac:dyDescent="0.25">
      <c r="A46" s="8">
        <v>38</v>
      </c>
      <c r="G46">
        <f t="shared" si="4"/>
        <v>76.771937429403849</v>
      </c>
      <c r="H46">
        <f t="shared" si="4"/>
        <v>47.626093589139757</v>
      </c>
      <c r="I46" s="4">
        <f t="shared" si="4"/>
        <v>4.0605032489861248</v>
      </c>
      <c r="J46">
        <f t="shared" si="4"/>
        <v>96.12164003984644</v>
      </c>
      <c r="K46">
        <f t="shared" si="4"/>
        <v>23.223477728085495</v>
      </c>
      <c r="L46" s="4">
        <f t="shared" si="4"/>
        <v>13.913329804393944</v>
      </c>
      <c r="M46" s="4">
        <f t="shared" si="4"/>
        <v>7.6641894623646953</v>
      </c>
      <c r="N46">
        <f t="shared" si="4"/>
        <v>1.5284197715081214</v>
      </c>
      <c r="O46">
        <f t="shared" si="4"/>
        <v>0.66771979109790303</v>
      </c>
      <c r="P46" s="4">
        <f t="shared" si="4"/>
        <v>0.14379733328887426</v>
      </c>
      <c r="Q46">
        <f t="shared" si="4"/>
        <v>0.48224207134848551</v>
      </c>
      <c r="R46" s="4">
        <f t="shared" si="4"/>
        <v>0.33677752260118959</v>
      </c>
      <c r="S46" s="4">
        <f t="shared" si="4"/>
        <v>0.10711859320359618</v>
      </c>
      <c r="T46" s="4">
        <f t="shared" si="4"/>
        <v>0.47098836700413882</v>
      </c>
      <c r="U46" s="4">
        <f t="shared" si="4"/>
        <v>3.0147423526910941</v>
      </c>
      <c r="V46">
        <f t="shared" si="4"/>
        <v>0.88779223160957155</v>
      </c>
      <c r="W46">
        <f t="shared" si="5"/>
        <v>0.28551064725472136</v>
      </c>
      <c r="X46" s="4">
        <f t="shared" si="5"/>
        <v>6.8355833795290949E-2</v>
      </c>
    </row>
    <row r="47" spans="1:24" x14ac:dyDescent="0.25">
      <c r="A47" s="8">
        <v>39</v>
      </c>
      <c r="G47">
        <f t="shared" si="4"/>
        <v>63.69407529558854</v>
      </c>
      <c r="H47">
        <f t="shared" si="4"/>
        <v>44.537674739440185</v>
      </c>
      <c r="I47" s="4">
        <f t="shared" si="4"/>
        <v>2.7581078022439942</v>
      </c>
      <c r="J47">
        <f t="shared" si="4"/>
        <v>96.494972030911498</v>
      </c>
      <c r="K47">
        <f t="shared" si="4"/>
        <v>24.117545618176134</v>
      </c>
      <c r="L47" s="4">
        <f t="shared" si="4"/>
        <v>17.577952382492104</v>
      </c>
      <c r="M47" s="4">
        <f t="shared" si="4"/>
        <v>8.7377803645142862</v>
      </c>
      <c r="N47">
        <f t="shared" si="4"/>
        <v>1.7492805639085591</v>
      </c>
      <c r="O47">
        <f t="shared" si="4"/>
        <v>0.72644183615179825</v>
      </c>
      <c r="P47" s="4">
        <f t="shared" si="4"/>
        <v>8.0835515892262438E-3</v>
      </c>
      <c r="Q47">
        <f t="shared" si="4"/>
        <v>0.21825589290910855</v>
      </c>
      <c r="R47" s="4">
        <f t="shared" si="4"/>
        <v>0.16005432146667958</v>
      </c>
      <c r="S47" s="4">
        <f t="shared" si="4"/>
        <v>5.550705424602019E-2</v>
      </c>
      <c r="T47" s="4">
        <f t="shared" si="4"/>
        <v>0.10508617065994115</v>
      </c>
      <c r="U47" s="4">
        <f t="shared" si="4"/>
        <v>8.3206691025102124</v>
      </c>
      <c r="V47">
        <f t="shared" si="4"/>
        <v>1.2405557172265873</v>
      </c>
      <c r="W47">
        <f t="shared" si="5"/>
        <v>0.2166391825912633</v>
      </c>
      <c r="X47" s="4">
        <f t="shared" si="5"/>
        <v>1.077806878563499E-3</v>
      </c>
    </row>
    <row r="48" spans="1:24" x14ac:dyDescent="0.25">
      <c r="A48" s="8">
        <v>40</v>
      </c>
      <c r="G48">
        <f t="shared" si="4"/>
        <v>87.913937527726318</v>
      </c>
      <c r="H48">
        <f t="shared" si="4"/>
        <v>54.507972130163616</v>
      </c>
      <c r="I48" s="4">
        <f t="shared" si="4"/>
        <v>7.0820176926489395</v>
      </c>
      <c r="J48">
        <f t="shared" si="4"/>
        <v>93.041674277811126</v>
      </c>
      <c r="K48">
        <f t="shared" si="4"/>
        <v>11.288849455911903</v>
      </c>
      <c r="L48" s="4">
        <f t="shared" si="4"/>
        <v>7.290519558466638</v>
      </c>
      <c r="M48" s="4">
        <f t="shared" si="4"/>
        <v>3.9691031027374022</v>
      </c>
      <c r="N48">
        <f t="shared" si="4"/>
        <v>1.2170872367631325</v>
      </c>
      <c r="O48">
        <f t="shared" si="4"/>
        <v>0.38829884397588788</v>
      </c>
      <c r="P48" s="4">
        <f t="shared" si="4"/>
        <v>0.12786722684689858</v>
      </c>
      <c r="Q48">
        <f t="shared" si="4"/>
        <v>5.9758357036611781E-2</v>
      </c>
      <c r="R48" s="4">
        <f t="shared" si="4"/>
        <v>2.740012003862112E-2</v>
      </c>
      <c r="S48" s="4">
        <f t="shared" si="4"/>
        <v>3.0270608804571907E-2</v>
      </c>
      <c r="T48" s="4">
        <f t="shared" si="4"/>
        <v>0.21215521515618069</v>
      </c>
      <c r="U48" s="4">
        <f t="shared" si="4"/>
        <v>1.8240651339996348</v>
      </c>
      <c r="V48">
        <f t="shared" si="4"/>
        <v>0.36324730565486291</v>
      </c>
      <c r="W48">
        <f t="shared" si="5"/>
        <v>7.4110800866365706E-2</v>
      </c>
      <c r="X48" s="4">
        <f t="shared" si="5"/>
        <v>3.9925889199133639E-2</v>
      </c>
    </row>
    <row r="49" spans="1:24" x14ac:dyDescent="0.25">
      <c r="A49" s="8">
        <v>41</v>
      </c>
      <c r="G49">
        <f t="shared" si="4"/>
        <v>62.524319308782886</v>
      </c>
      <c r="H49">
        <f t="shared" si="4"/>
        <v>43.297847928244323</v>
      </c>
      <c r="I49" s="4">
        <f t="shared" si="4"/>
        <v>3.3682866236318834</v>
      </c>
      <c r="J49">
        <f t="shared" si="4"/>
        <v>94.970517514890901</v>
      </c>
      <c r="K49">
        <f t="shared" si="4"/>
        <v>19.702381546259069</v>
      </c>
      <c r="L49" s="4">
        <f t="shared" si="4"/>
        <v>14.380568498139262</v>
      </c>
      <c r="M49" s="4">
        <f t="shared" si="4"/>
        <v>9.025830847359547</v>
      </c>
      <c r="N49">
        <f t="shared" si="4"/>
        <v>1.1962605633100201</v>
      </c>
      <c r="O49">
        <f t="shared" si="4"/>
        <v>0.42602440411457759</v>
      </c>
      <c r="P49" s="4">
        <f t="shared" si="4"/>
        <v>3.9409751668678723E-2</v>
      </c>
      <c r="Q49">
        <f t="shared" si="4"/>
        <v>0.27985912260922485</v>
      </c>
      <c r="R49" s="4">
        <f t="shared" si="4"/>
        <v>0.16013329475501104</v>
      </c>
      <c r="S49" s="4">
        <f t="shared" si="4"/>
        <v>0.2678865398238035</v>
      </c>
      <c r="T49" s="4">
        <f t="shared" si="4"/>
        <v>0.15763900667471489</v>
      </c>
      <c r="U49" s="4">
        <f t="shared" si="4"/>
        <v>4.3350726835546594</v>
      </c>
      <c r="V49">
        <f t="shared" si="4"/>
        <v>0.44797413922118345</v>
      </c>
      <c r="W49">
        <f t="shared" si="5"/>
        <v>4.4897185445330196E-2</v>
      </c>
      <c r="X49" s="4">
        <f t="shared" si="5"/>
        <v>8.9794370890660391E-3</v>
      </c>
    </row>
    <row r="50" spans="1:24" x14ac:dyDescent="0.25">
      <c r="A50" s="8">
        <v>42</v>
      </c>
      <c r="G50">
        <f t="shared" si="4"/>
        <v>72.956397329776479</v>
      </c>
      <c r="H50">
        <f t="shared" si="4"/>
        <v>50.686771929711242</v>
      </c>
      <c r="I50" s="4">
        <f t="shared" si="4"/>
        <v>4.8518103456628241</v>
      </c>
      <c r="J50">
        <f t="shared" si="4"/>
        <v>94.674086107280459</v>
      </c>
      <c r="K50">
        <f t="shared" si="4"/>
        <v>22.920710380219418</v>
      </c>
      <c r="L50" s="4">
        <f t="shared" si="4"/>
        <v>18.284636525996572</v>
      </c>
      <c r="M50" s="4">
        <f t="shared" si="4"/>
        <v>13.124400507691265</v>
      </c>
      <c r="N50">
        <f t="shared" si="4"/>
        <v>1.1968853851445402</v>
      </c>
      <c r="O50">
        <f t="shared" si="4"/>
        <v>0.49025148803276097</v>
      </c>
      <c r="P50" s="4">
        <f t="shared" si="4"/>
        <v>6.78213520993938E-3</v>
      </c>
      <c r="Q50">
        <f t="shared" si="4"/>
        <v>0.37915365411756347</v>
      </c>
      <c r="R50" s="4">
        <f t="shared" si="4"/>
        <v>0.25869001443625922</v>
      </c>
      <c r="S50" s="4">
        <f t="shared" si="4"/>
        <v>6.4914722723705506E-2</v>
      </c>
      <c r="T50" s="4">
        <f t="shared" si="4"/>
        <v>0.12433914551555532</v>
      </c>
      <c r="U50" s="4">
        <f t="shared" si="4"/>
        <v>4.6150815309539874</v>
      </c>
      <c r="V50">
        <f t="shared" si="4"/>
        <v>0.24609462047494327</v>
      </c>
      <c r="W50">
        <f t="shared" si="5"/>
        <v>6.0393299250412584E-2</v>
      </c>
      <c r="X50" s="4">
        <f t="shared" si="5"/>
        <v>1.9377529171255372E-3</v>
      </c>
    </row>
    <row r="51" spans="1:24" x14ac:dyDescent="0.25">
      <c r="A51" s="8">
        <v>43</v>
      </c>
      <c r="G51">
        <f t="shared" si="4"/>
        <v>73.467784725184401</v>
      </c>
      <c r="H51">
        <f t="shared" si="4"/>
        <v>46.218229486365857</v>
      </c>
      <c r="I51" s="4">
        <f t="shared" si="4"/>
        <v>5.5233616662678555</v>
      </c>
      <c r="J51">
        <f t="shared" si="4"/>
        <v>94.28312820566174</v>
      </c>
      <c r="K51">
        <f t="shared" si="4"/>
        <v>33.695211144518773</v>
      </c>
      <c r="L51" s="4">
        <f t="shared" si="4"/>
        <v>21.052549443918476</v>
      </c>
      <c r="M51" s="4">
        <f t="shared" si="4"/>
        <v>9.1958925914751504</v>
      </c>
      <c r="N51">
        <f t="shared" si="4"/>
        <v>1.8435481018321038</v>
      </c>
      <c r="O51">
        <f t="shared" si="4"/>
        <v>0.91657216575286882</v>
      </c>
      <c r="P51" s="4">
        <f t="shared" si="4"/>
        <v>0.11808279320425721</v>
      </c>
      <c r="Q51">
        <f t="shared" si="4"/>
        <v>0.27205859403447807</v>
      </c>
      <c r="R51" s="4">
        <f t="shared" si="4"/>
        <v>0.20027257878255078</v>
      </c>
      <c r="S51" s="4">
        <f t="shared" si="4"/>
        <v>0.32043612605208127</v>
      </c>
      <c r="T51" s="4">
        <f t="shared" si="4"/>
        <v>0.21535804575578188</v>
      </c>
      <c r="U51" s="4">
        <f t="shared" si="4"/>
        <v>8.3745149242085333</v>
      </c>
      <c r="V51">
        <f t="shared" si="4"/>
        <v>0.95038441931355921</v>
      </c>
      <c r="W51">
        <f t="shared" si="5"/>
        <v>0.16021806302604064</v>
      </c>
      <c r="X51" s="4">
        <f>100*(X15/$F15)</f>
        <v>4.7337154984966552E-2</v>
      </c>
    </row>
    <row r="52" spans="1:24" x14ac:dyDescent="0.25">
      <c r="A52" s="8">
        <v>44</v>
      </c>
      <c r="G52">
        <f t="shared" si="4"/>
        <v>87.128733392749808</v>
      </c>
      <c r="H52">
        <f t="shared" si="4"/>
        <v>55.043836922502955</v>
      </c>
      <c r="I52" s="4">
        <f t="shared" si="4"/>
        <v>5.1692333202064376</v>
      </c>
      <c r="J52">
        <f t="shared" si="4"/>
        <v>93.421352622961024</v>
      </c>
      <c r="K52">
        <f t="shared" si="4"/>
        <v>29.261923021120484</v>
      </c>
      <c r="L52" s="4">
        <f t="shared" si="4"/>
        <v>21.753684166891205</v>
      </c>
      <c r="M52" s="4">
        <f t="shared" si="4"/>
        <v>13.506539266690156</v>
      </c>
      <c r="N52">
        <f t="shared" si="4"/>
        <v>3.8479076419259224</v>
      </c>
      <c r="O52">
        <f t="shared" si="4"/>
        <v>1.4073413891019131</v>
      </c>
      <c r="P52" s="4">
        <f t="shared" si="4"/>
        <v>0.1855037618919311</v>
      </c>
      <c r="Q52">
        <f t="shared" si="4"/>
        <v>0.53060293904284206</v>
      </c>
      <c r="R52" s="4">
        <f t="shared" si="4"/>
        <v>0.37515285924513442</v>
      </c>
      <c r="S52" s="4">
        <f t="shared" si="4"/>
        <v>0.14094140568325492</v>
      </c>
      <c r="T52" s="4">
        <f t="shared" si="4"/>
        <v>0.32644516757518599</v>
      </c>
      <c r="U52" s="4">
        <f t="shared" si="4"/>
        <v>6.3071279043256574</v>
      </c>
      <c r="V52">
        <f t="shared" si="4"/>
        <v>1.2021472837689391</v>
      </c>
      <c r="W52">
        <f t="shared" si="5"/>
        <v>0.29431881775032642</v>
      </c>
      <c r="X52" s="4">
        <f t="shared" si="5"/>
        <v>8.912471241735237E-2</v>
      </c>
    </row>
    <row r="53" spans="1:24" x14ac:dyDescent="0.25">
      <c r="A53" s="8">
        <v>45</v>
      </c>
      <c r="G53">
        <f>100*(G17/$F17)</f>
        <v>75.124505867338996</v>
      </c>
      <c r="H53">
        <f t="shared" si="4"/>
        <v>42.569334204874401</v>
      </c>
      <c r="I53" s="4">
        <f t="shared" si="4"/>
        <v>2.2613378155445578</v>
      </c>
      <c r="J53">
        <f t="shared" si="4"/>
        <v>96.419678152332935</v>
      </c>
      <c r="K53">
        <f t="shared" si="4"/>
        <v>34.598624210165902</v>
      </c>
      <c r="L53" s="4">
        <f t="shared" si="4"/>
        <v>27.886979798923022</v>
      </c>
      <c r="M53" s="4">
        <f t="shared" si="4"/>
        <v>17.924954088461419</v>
      </c>
      <c r="N53">
        <f t="shared" si="4"/>
        <v>1.5563233417374793</v>
      </c>
      <c r="O53">
        <f t="shared" si="4"/>
        <v>0.61241323497369815</v>
      </c>
      <c r="P53" s="4">
        <f t="shared" si="4"/>
        <v>6.2252933669499182E-2</v>
      </c>
      <c r="Q53">
        <f t="shared" si="4"/>
        <v>0.37351760201699508</v>
      </c>
      <c r="R53" s="4">
        <f t="shared" si="4"/>
        <v>0.26768761477884645</v>
      </c>
      <c r="S53" s="4">
        <f t="shared" si="4"/>
        <v>0.19765306440065988</v>
      </c>
      <c r="T53" s="4">
        <f t="shared" si="4"/>
        <v>0.14707255579419179</v>
      </c>
      <c r="U53" s="4">
        <f t="shared" si="4"/>
        <v>8.3784667102437211</v>
      </c>
      <c r="V53">
        <f t="shared" si="4"/>
        <v>0.84819622124692617</v>
      </c>
      <c r="W53">
        <f t="shared" si="5"/>
        <v>0.16185762754069785</v>
      </c>
      <c r="X53" s="4">
        <f t="shared" si="5"/>
        <v>3.1126466834749591E-2</v>
      </c>
    </row>
    <row r="54" spans="1:24" s="10" customFormat="1" x14ac:dyDescent="0.25">
      <c r="A54" s="10" t="s">
        <v>87</v>
      </c>
    </row>
    <row r="55" spans="1:24" ht="27" customHeight="1" x14ac:dyDescent="0.25">
      <c r="A55" s="10" t="s">
        <v>87</v>
      </c>
      <c r="B55" s="1" t="s">
        <v>70</v>
      </c>
      <c r="C55" s="1" t="s">
        <v>88</v>
      </c>
      <c r="D55" s="1" t="s">
        <v>89</v>
      </c>
      <c r="E55" s="11" t="s">
        <v>90</v>
      </c>
      <c r="F55" s="1"/>
      <c r="G55" s="1"/>
      <c r="H55" s="1"/>
      <c r="I55" s="3" t="s">
        <v>18</v>
      </c>
      <c r="J55" s="1" t="s">
        <v>77</v>
      </c>
      <c r="K55" s="1" t="s">
        <v>78</v>
      </c>
      <c r="L55" s="3" t="s">
        <v>12</v>
      </c>
      <c r="M55" s="3" t="s">
        <v>79</v>
      </c>
      <c r="P55" s="4" t="s">
        <v>80</v>
      </c>
      <c r="R55" s="4" t="s">
        <v>25</v>
      </c>
      <c r="S55" s="4" t="s">
        <v>81</v>
      </c>
      <c r="T55" s="4" t="s">
        <v>82</v>
      </c>
      <c r="U55" s="4" t="s">
        <v>83</v>
      </c>
      <c r="X55" s="4" t="s">
        <v>84</v>
      </c>
    </row>
    <row r="56" spans="1:24" s="6" customFormat="1" ht="20.100000000000001" customHeight="1" x14ac:dyDescent="0.25">
      <c r="A56" s="12">
        <v>31</v>
      </c>
      <c r="B56" s="6">
        <v>565000</v>
      </c>
      <c r="C56" s="6">
        <v>140418</v>
      </c>
      <c r="D56" s="6">
        <v>1015000</v>
      </c>
      <c r="E56" s="6">
        <f>(C56/B56)*D56</f>
        <v>252255.34513274336</v>
      </c>
      <c r="I56" s="6">
        <f>I22*$E56</f>
        <v>498517.6991150442</v>
      </c>
      <c r="L56" s="6">
        <f>L22*$E56</f>
        <v>7179732.7433628319</v>
      </c>
      <c r="M56" s="6">
        <f>M22*$E56</f>
        <v>5305845.1327433623</v>
      </c>
      <c r="P56" s="6">
        <f>P22*$E56</f>
        <v>16707.079646017697</v>
      </c>
      <c r="R56" s="6">
        <f>R22*$E56</f>
        <v>77786.725663716818</v>
      </c>
      <c r="S56" s="6">
        <f>S22*$E56</f>
        <v>48863.716814159292</v>
      </c>
      <c r="T56" s="6">
        <f>T22*$E56</f>
        <v>91619.469026548672</v>
      </c>
      <c r="U56" s="6">
        <f>U22*$E56</f>
        <v>1219616.814159292</v>
      </c>
      <c r="X56" s="6">
        <f>X22*$E56</f>
        <v>5928.3185840707965</v>
      </c>
    </row>
    <row r="57" spans="1:24" s="6" customFormat="1" x14ac:dyDescent="0.25">
      <c r="A57" s="12">
        <v>32</v>
      </c>
      <c r="B57" s="6">
        <v>554000</v>
      </c>
      <c r="C57" s="6">
        <v>114184</v>
      </c>
      <c r="D57" s="6">
        <v>885000</v>
      </c>
      <c r="E57" s="6">
        <f t="shared" ref="E57:E70" si="6">(C57/B57)*D57</f>
        <v>182405.84837545129</v>
      </c>
      <c r="I57" s="6">
        <f t="shared" ref="I57:I70" si="7">I23*$E57</f>
        <v>454640.79422382679</v>
      </c>
      <c r="L57" s="6">
        <f t="shared" ref="L57:M70" si="8">L23*$E57</f>
        <v>3416994.5848375456</v>
      </c>
      <c r="M57" s="6">
        <f t="shared" si="8"/>
        <v>1972080.3249097476</v>
      </c>
      <c r="P57" s="6">
        <f t="shared" ref="P57:P70" si="9">P23*$E57</f>
        <v>2715.7039711191337</v>
      </c>
      <c r="R57" s="6">
        <f t="shared" ref="R57:U70" si="10">R23*$E57</f>
        <v>57668.772563176906</v>
      </c>
      <c r="S57" s="6">
        <f t="shared" si="10"/>
        <v>26837.545126353794</v>
      </c>
      <c r="T57" s="6">
        <f t="shared" si="10"/>
        <v>30831.227436823108</v>
      </c>
      <c r="U57" s="6">
        <f t="shared" si="10"/>
        <v>1209287.0036101085</v>
      </c>
      <c r="X57" s="6">
        <f t="shared" ref="X57:X70" si="11">X23*$E57</f>
        <v>1277.9783393501807</v>
      </c>
    </row>
    <row r="58" spans="1:24" s="6" customFormat="1" x14ac:dyDescent="0.25">
      <c r="A58" s="12">
        <v>33</v>
      </c>
      <c r="B58" s="6">
        <v>495000</v>
      </c>
      <c r="C58" s="6">
        <v>99001</v>
      </c>
      <c r="D58" s="6">
        <v>690000</v>
      </c>
      <c r="E58" s="6">
        <f t="shared" si="6"/>
        <v>138001.39393939395</v>
      </c>
      <c r="I58" s="6">
        <f t="shared" si="7"/>
        <v>206581.81818181821</v>
      </c>
      <c r="L58" s="6">
        <f t="shared" si="8"/>
        <v>3224878.7878787881</v>
      </c>
      <c r="M58" s="6">
        <f t="shared" si="8"/>
        <v>1827872.7272727273</v>
      </c>
      <c r="P58" s="6">
        <f t="shared" si="9"/>
        <v>1393.9393939393942</v>
      </c>
      <c r="R58" s="6">
        <f t="shared" si="10"/>
        <v>38333.333333333336</v>
      </c>
      <c r="S58" s="6">
        <f t="shared" si="10"/>
        <v>30527.272727272732</v>
      </c>
      <c r="T58" s="6">
        <f t="shared" si="10"/>
        <v>16030.303030303032</v>
      </c>
      <c r="U58" s="6">
        <f t="shared" si="10"/>
        <v>1182478.7878787881</v>
      </c>
      <c r="X58" s="6">
        <f t="shared" si="11"/>
        <v>696.96969696969711</v>
      </c>
    </row>
    <row r="59" spans="1:24" s="6" customFormat="1" x14ac:dyDescent="0.25">
      <c r="A59" s="12">
        <v>34</v>
      </c>
      <c r="B59" s="6">
        <v>281192</v>
      </c>
      <c r="C59" s="6">
        <v>60819</v>
      </c>
      <c r="D59" s="6">
        <v>725000</v>
      </c>
      <c r="E59" s="6">
        <f t="shared" si="6"/>
        <v>156810.20441548835</v>
      </c>
      <c r="I59" s="6">
        <f t="shared" si="7"/>
        <v>323835.67100059747</v>
      </c>
      <c r="L59" s="6">
        <f t="shared" si="8"/>
        <v>3310549.3755156621</v>
      </c>
      <c r="M59" s="6">
        <f t="shared" si="8"/>
        <v>2021910.2961677432</v>
      </c>
      <c r="P59" s="6">
        <f t="shared" si="9"/>
        <v>35838.501806594781</v>
      </c>
      <c r="R59" s="6">
        <f t="shared" si="10"/>
        <v>73481.820250931749</v>
      </c>
      <c r="S59" s="6">
        <f t="shared" si="10"/>
        <v>154956.39989757887</v>
      </c>
      <c r="T59" s="6">
        <f t="shared" si="10"/>
        <v>67551.708441207433</v>
      </c>
      <c r="U59" s="6">
        <f t="shared" si="10"/>
        <v>927933.58274773112</v>
      </c>
      <c r="X59" s="6">
        <f t="shared" si="11"/>
        <v>5930.1118097243161</v>
      </c>
    </row>
    <row r="60" spans="1:24" s="6" customFormat="1" x14ac:dyDescent="0.25">
      <c r="A60" s="12">
        <v>35</v>
      </c>
      <c r="B60" s="6">
        <v>325528</v>
      </c>
      <c r="C60" s="6">
        <v>24268</v>
      </c>
      <c r="D60" s="6">
        <v>287500</v>
      </c>
      <c r="E60" s="6">
        <f t="shared" si="6"/>
        <v>21433.025730505517</v>
      </c>
      <c r="I60" s="6">
        <f t="shared" si="7"/>
        <v>108101.30004177828</v>
      </c>
      <c r="L60" s="6">
        <f t="shared" si="8"/>
        <v>489546.98213364132</v>
      </c>
      <c r="M60" s="6">
        <f t="shared" si="8"/>
        <v>269635.02371531789</v>
      </c>
      <c r="P60" s="6">
        <f t="shared" si="9"/>
        <v>1854.6791673834509</v>
      </c>
      <c r="R60" s="6">
        <f t="shared" si="10"/>
        <v>12276.20972696665</v>
      </c>
      <c r="S60" s="6">
        <f t="shared" si="10"/>
        <v>11481.347226659456</v>
      </c>
      <c r="T60" s="6">
        <f t="shared" si="10"/>
        <v>7330.3986139441149</v>
      </c>
      <c r="U60" s="6">
        <f t="shared" si="10"/>
        <v>152083.69172544297</v>
      </c>
      <c r="X60" s="6">
        <f t="shared" si="11"/>
        <v>706.54444471750514</v>
      </c>
    </row>
    <row r="61" spans="1:24" s="6" customFormat="1" x14ac:dyDescent="0.25">
      <c r="A61" s="12">
        <v>36</v>
      </c>
      <c r="B61" s="6">
        <v>1200000</v>
      </c>
      <c r="C61" s="6">
        <v>250685</v>
      </c>
      <c r="D61" s="6">
        <v>2075000</v>
      </c>
      <c r="E61" s="6">
        <f t="shared" si="6"/>
        <v>433476.14583333331</v>
      </c>
      <c r="I61" s="6">
        <f t="shared" si="7"/>
        <v>3777710.416666667</v>
      </c>
      <c r="L61" s="6">
        <f t="shared" si="8"/>
        <v>5523995.833333333</v>
      </c>
      <c r="M61" s="6">
        <f t="shared" si="8"/>
        <v>3829412.4999999995</v>
      </c>
      <c r="P61" s="6">
        <f t="shared" si="9"/>
        <v>6225</v>
      </c>
      <c r="R61" s="6">
        <f t="shared" si="10"/>
        <v>147152.08333333334</v>
      </c>
      <c r="S61" s="6">
        <f t="shared" si="10"/>
        <v>35102.083333333328</v>
      </c>
      <c r="T61" s="6">
        <f t="shared" si="10"/>
        <v>132627.08333333331</v>
      </c>
      <c r="U61" s="6">
        <f t="shared" si="10"/>
        <v>1546566.6666666667</v>
      </c>
      <c r="X61" s="6">
        <f t="shared" si="11"/>
        <v>1556.25</v>
      </c>
    </row>
    <row r="62" spans="1:24" s="6" customFormat="1" x14ac:dyDescent="0.25">
      <c r="A62" s="12">
        <v>37</v>
      </c>
      <c r="B62" s="6">
        <v>1000000</v>
      </c>
      <c r="C62" s="6">
        <v>254519</v>
      </c>
      <c r="D62" s="6">
        <v>965000</v>
      </c>
      <c r="E62" s="6">
        <f t="shared" si="6"/>
        <v>245610.83499999999</v>
      </c>
      <c r="I62" s="6">
        <f t="shared" si="7"/>
        <v>1732271.4999999998</v>
      </c>
      <c r="L62" s="6">
        <f t="shared" si="8"/>
        <v>5589376.5</v>
      </c>
      <c r="M62" s="6">
        <f t="shared" si="8"/>
        <v>2444827.4999999995</v>
      </c>
      <c r="P62" s="6">
        <f t="shared" si="9"/>
        <v>10132.5</v>
      </c>
      <c r="R62" s="6">
        <f t="shared" si="10"/>
        <v>90131</v>
      </c>
      <c r="S62" s="6">
        <f t="shared" si="10"/>
        <v>48539.499999999993</v>
      </c>
      <c r="T62" s="6">
        <f t="shared" si="10"/>
        <v>113387.5</v>
      </c>
      <c r="U62" s="6">
        <f t="shared" si="10"/>
        <v>2653460.5</v>
      </c>
      <c r="X62" s="6">
        <f t="shared" si="11"/>
        <v>4439</v>
      </c>
    </row>
    <row r="63" spans="1:24" s="6" customFormat="1" x14ac:dyDescent="0.25">
      <c r="A63" s="12">
        <v>38</v>
      </c>
      <c r="B63" s="6">
        <v>1140000</v>
      </c>
      <c r="C63" s="6">
        <v>277016</v>
      </c>
      <c r="D63" s="6">
        <v>1930000</v>
      </c>
      <c r="E63" s="6">
        <f t="shared" si="6"/>
        <v>468983.22807017545</v>
      </c>
      <c r="I63" s="6">
        <f t="shared" si="7"/>
        <v>1649303.5087719299</v>
      </c>
      <c r="L63" s="6">
        <f t="shared" si="8"/>
        <v>5651344.7368421052</v>
      </c>
      <c r="M63" s="6">
        <f t="shared" si="8"/>
        <v>3113056.1403508773</v>
      </c>
      <c r="P63" s="6">
        <f t="shared" si="9"/>
        <v>58407.894736842107</v>
      </c>
      <c r="R63" s="6">
        <f t="shared" si="10"/>
        <v>136792.98245614037</v>
      </c>
      <c r="S63" s="6">
        <f t="shared" si="10"/>
        <v>43509.649122807015</v>
      </c>
      <c r="T63" s="6">
        <f t="shared" si="10"/>
        <v>191307.01754385963</v>
      </c>
      <c r="U63" s="6">
        <f t="shared" si="10"/>
        <v>1224534.2105263157</v>
      </c>
      <c r="X63" s="6">
        <f t="shared" si="11"/>
        <v>27764.912280701756</v>
      </c>
    </row>
    <row r="64" spans="1:24" s="6" customFormat="1" x14ac:dyDescent="0.25">
      <c r="A64" s="12">
        <v>39</v>
      </c>
      <c r="B64" s="6">
        <v>892000</v>
      </c>
      <c r="C64" s="6">
        <v>208595</v>
      </c>
      <c r="D64" s="6">
        <v>1365000</v>
      </c>
      <c r="E64" s="6">
        <f t="shared" si="6"/>
        <v>319206.47421524662</v>
      </c>
      <c r="I64" s="6">
        <f t="shared" si="7"/>
        <v>783191.70403587434</v>
      </c>
      <c r="L64" s="6">
        <f t="shared" si="8"/>
        <v>4991431.6143497759</v>
      </c>
      <c r="M64" s="6">
        <f t="shared" si="8"/>
        <v>2481178.2511210758</v>
      </c>
      <c r="P64" s="6">
        <f t="shared" si="9"/>
        <v>2295.403587443946</v>
      </c>
      <c r="R64" s="6">
        <f t="shared" si="10"/>
        <v>45448.991031390135</v>
      </c>
      <c r="S64" s="6">
        <f t="shared" si="10"/>
        <v>15761.77130044843</v>
      </c>
      <c r="T64" s="6">
        <f t="shared" si="10"/>
        <v>29840.246636771299</v>
      </c>
      <c r="U64" s="6">
        <f t="shared" si="10"/>
        <v>2362735.4260089686</v>
      </c>
      <c r="X64" s="6">
        <f t="shared" si="11"/>
        <v>306.05381165919283</v>
      </c>
    </row>
    <row r="65" spans="1:24" s="6" customFormat="1" x14ac:dyDescent="0.25">
      <c r="A65" s="12">
        <v>40</v>
      </c>
      <c r="B65" s="6">
        <v>1200000</v>
      </c>
      <c r="C65" s="6">
        <v>410000</v>
      </c>
      <c r="D65" s="6">
        <v>5900000</v>
      </c>
      <c r="E65" s="6">
        <f t="shared" si="6"/>
        <v>2015833.3333333335</v>
      </c>
      <c r="I65" s="6">
        <f t="shared" si="7"/>
        <v>13343341.666666668</v>
      </c>
      <c r="L65" s="6">
        <f t="shared" si="8"/>
        <v>13736183.333333336</v>
      </c>
      <c r="M65" s="6">
        <f t="shared" si="8"/>
        <v>7478250.0000000009</v>
      </c>
      <c r="P65" s="6">
        <f t="shared" si="9"/>
        <v>240916.66666666669</v>
      </c>
      <c r="R65" s="6">
        <f t="shared" si="10"/>
        <v>51625</v>
      </c>
      <c r="S65" s="6">
        <f t="shared" si="10"/>
        <v>57033.333333333343</v>
      </c>
      <c r="T65" s="6">
        <f t="shared" si="10"/>
        <v>399725.00000000006</v>
      </c>
      <c r="U65" s="6">
        <f t="shared" si="10"/>
        <v>3436750</v>
      </c>
      <c r="X65" s="6">
        <f t="shared" si="11"/>
        <v>75225</v>
      </c>
    </row>
    <row r="66" spans="1:24" s="6" customFormat="1" x14ac:dyDescent="0.25">
      <c r="A66" s="12">
        <v>41</v>
      </c>
      <c r="B66" s="6">
        <v>1200000</v>
      </c>
      <c r="C66" s="6">
        <v>236421</v>
      </c>
      <c r="D66" s="6">
        <v>2335000</v>
      </c>
      <c r="E66" s="6">
        <f t="shared" si="6"/>
        <v>460035.86250000005</v>
      </c>
      <c r="I66" s="6">
        <f t="shared" si="7"/>
        <v>1313826.666666667</v>
      </c>
      <c r="L66" s="6">
        <f t="shared" si="8"/>
        <v>5609253.7500000009</v>
      </c>
      <c r="M66" s="6">
        <f t="shared" si="8"/>
        <v>3520596.2500000005</v>
      </c>
      <c r="P66" s="6">
        <f t="shared" si="9"/>
        <v>15372.083333333336</v>
      </c>
      <c r="R66" s="6">
        <f t="shared" si="10"/>
        <v>62461.25</v>
      </c>
      <c r="S66" s="6">
        <f t="shared" si="10"/>
        <v>104491.25000000001</v>
      </c>
      <c r="T66" s="6">
        <f t="shared" si="10"/>
        <v>61488.333333333343</v>
      </c>
      <c r="U66" s="6">
        <f t="shared" si="10"/>
        <v>1690929.1666666667</v>
      </c>
      <c r="X66" s="6">
        <f t="shared" si="11"/>
        <v>3502.5000000000005</v>
      </c>
    </row>
    <row r="67" spans="1:24" s="6" customFormat="1" x14ac:dyDescent="0.25">
      <c r="A67" s="12">
        <v>42</v>
      </c>
      <c r="B67" s="6">
        <v>1130000</v>
      </c>
      <c r="C67" s="6">
        <v>348736</v>
      </c>
      <c r="D67" s="6">
        <v>2615000</v>
      </c>
      <c r="E67" s="6">
        <f t="shared" si="6"/>
        <v>807030.65486725664</v>
      </c>
      <c r="I67" s="6">
        <f t="shared" si="7"/>
        <v>3476561.5044247787</v>
      </c>
      <c r="L67" s="6">
        <f t="shared" si="8"/>
        <v>13101844.24778761</v>
      </c>
      <c r="M67" s="6">
        <f t="shared" si="8"/>
        <v>9404280.5309734512</v>
      </c>
      <c r="P67" s="6">
        <f t="shared" si="9"/>
        <v>4859.7345132743367</v>
      </c>
      <c r="R67" s="6">
        <f t="shared" si="10"/>
        <v>185364.15929203542</v>
      </c>
      <c r="S67" s="6">
        <f t="shared" si="10"/>
        <v>46514.601769911504</v>
      </c>
      <c r="T67" s="6">
        <f t="shared" si="10"/>
        <v>89095.132743362832</v>
      </c>
      <c r="U67" s="6">
        <f t="shared" si="10"/>
        <v>3306933.6283185845</v>
      </c>
      <c r="X67" s="6">
        <f t="shared" si="11"/>
        <v>1388.4955752212391</v>
      </c>
    </row>
    <row r="68" spans="1:24" s="6" customFormat="1" x14ac:dyDescent="0.25">
      <c r="A68" s="12">
        <v>43</v>
      </c>
      <c r="B68" s="6">
        <v>1150000</v>
      </c>
      <c r="C68" s="6">
        <v>217285</v>
      </c>
      <c r="D68" s="6">
        <v>1730000</v>
      </c>
      <c r="E68" s="6">
        <f t="shared" si="6"/>
        <v>326872.21739130438</v>
      </c>
      <c r="I68" s="6">
        <f t="shared" si="7"/>
        <v>1597316.5217391306</v>
      </c>
      <c r="L68" s="6">
        <f t="shared" si="8"/>
        <v>6088246.0869565224</v>
      </c>
      <c r="M68" s="6">
        <f t="shared" si="8"/>
        <v>2659386.086956522</v>
      </c>
      <c r="P68" s="6">
        <f t="shared" si="9"/>
        <v>34148.695652173919</v>
      </c>
      <c r="R68" s="6">
        <f t="shared" si="10"/>
        <v>57917.391304347831</v>
      </c>
      <c r="S68" s="6">
        <f t="shared" si="10"/>
        <v>92667.826086956527</v>
      </c>
      <c r="T68" s="6">
        <f t="shared" si="10"/>
        <v>62280.000000000007</v>
      </c>
      <c r="U68" s="6">
        <f t="shared" si="10"/>
        <v>2421849.5652173916</v>
      </c>
      <c r="X68" s="6">
        <f t="shared" si="11"/>
        <v>13689.565217391306</v>
      </c>
    </row>
    <row r="69" spans="1:24" s="6" customFormat="1" x14ac:dyDescent="0.25">
      <c r="A69" s="12">
        <v>44</v>
      </c>
      <c r="B69" s="6">
        <v>937000</v>
      </c>
      <c r="C69" s="6">
        <v>117930</v>
      </c>
      <c r="D69" s="6">
        <v>1125000</v>
      </c>
      <c r="E69" s="6">
        <f t="shared" si="6"/>
        <v>141591.51547491996</v>
      </c>
      <c r="I69" s="6">
        <f t="shared" si="7"/>
        <v>598879.40234791895</v>
      </c>
      <c r="L69" s="6">
        <f t="shared" si="8"/>
        <v>2520264.1408751332</v>
      </c>
      <c r="M69" s="6">
        <f t="shared" si="8"/>
        <v>1564794.5570971183</v>
      </c>
      <c r="P69" s="6">
        <f t="shared" si="9"/>
        <v>21491.462113127</v>
      </c>
      <c r="R69" s="6">
        <f t="shared" si="10"/>
        <v>43463.180362860192</v>
      </c>
      <c r="S69" s="6">
        <f t="shared" si="10"/>
        <v>16328.708644610459</v>
      </c>
      <c r="T69" s="6">
        <f t="shared" si="10"/>
        <v>37820.170757737455</v>
      </c>
      <c r="U69" s="6">
        <f t="shared" si="10"/>
        <v>730709.7118463181</v>
      </c>
      <c r="X69" s="6">
        <f t="shared" si="11"/>
        <v>10325.506937033084</v>
      </c>
    </row>
    <row r="70" spans="1:24" s="6" customFormat="1" x14ac:dyDescent="0.25">
      <c r="A70" s="12">
        <v>45</v>
      </c>
      <c r="B70" s="6">
        <v>704000</v>
      </c>
      <c r="C70" s="6">
        <v>146294</v>
      </c>
      <c r="D70" s="6">
        <v>1814999.9999999998</v>
      </c>
      <c r="E70" s="6">
        <f t="shared" si="6"/>
        <v>377164.21875</v>
      </c>
      <c r="I70" s="6">
        <f t="shared" si="7"/>
        <v>749203.125</v>
      </c>
      <c r="L70" s="6">
        <f t="shared" si="8"/>
        <v>9239226.5625</v>
      </c>
      <c r="M70" s="6">
        <f t="shared" si="8"/>
        <v>5938710.9375</v>
      </c>
      <c r="P70" s="6">
        <f t="shared" si="9"/>
        <v>20625</v>
      </c>
      <c r="R70" s="6">
        <f t="shared" si="10"/>
        <v>88687.5</v>
      </c>
      <c r="S70" s="6">
        <f t="shared" si="10"/>
        <v>65484.375</v>
      </c>
      <c r="T70" s="6">
        <f t="shared" si="10"/>
        <v>48726.5625</v>
      </c>
      <c r="U70" s="6">
        <f t="shared" si="10"/>
        <v>2775867.1875</v>
      </c>
      <c r="X70" s="6">
        <f t="shared" si="11"/>
        <v>10312.5</v>
      </c>
    </row>
    <row r="71" spans="1:24" s="10" customForma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2D7FC-1EB2-164A-9DA1-7126F04C94A8}">
  <dimension ref="A1:X71"/>
  <sheetViews>
    <sheetView topLeftCell="A19" zoomScale="70" zoomScaleNormal="70" workbookViewId="0">
      <selection activeCell="A54" sqref="A54:XFD54"/>
    </sheetView>
  </sheetViews>
  <sheetFormatPr defaultColWidth="11" defaultRowHeight="15.75" x14ac:dyDescent="0.25"/>
  <cols>
    <col min="5" max="5" width="19.125" customWidth="1"/>
  </cols>
  <sheetData>
    <row r="1" spans="1:24" x14ac:dyDescent="0.25">
      <c r="A1" t="s">
        <v>31</v>
      </c>
      <c r="B1" t="s">
        <v>32</v>
      </c>
      <c r="C1" t="s">
        <v>33</v>
      </c>
      <c r="D1" t="s">
        <v>34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</row>
    <row r="3" spans="1:24" x14ac:dyDescent="0.25">
      <c r="A3" t="s">
        <v>142</v>
      </c>
      <c r="B3" s="1">
        <v>1010000</v>
      </c>
      <c r="C3" s="1">
        <v>509000</v>
      </c>
      <c r="D3" s="1">
        <v>447000</v>
      </c>
      <c r="E3">
        <v>167262</v>
      </c>
      <c r="F3">
        <v>133769</v>
      </c>
      <c r="G3">
        <v>100693</v>
      </c>
      <c r="H3">
        <v>60652</v>
      </c>
      <c r="I3">
        <v>6943</v>
      </c>
      <c r="J3">
        <v>125061</v>
      </c>
      <c r="K3">
        <v>44421</v>
      </c>
      <c r="L3">
        <v>33000</v>
      </c>
      <c r="M3">
        <v>20871</v>
      </c>
      <c r="N3">
        <v>9895</v>
      </c>
      <c r="O3">
        <v>1330</v>
      </c>
      <c r="P3">
        <v>22</v>
      </c>
      <c r="Q3">
        <v>595</v>
      </c>
      <c r="R3">
        <v>337</v>
      </c>
      <c r="S3">
        <v>206</v>
      </c>
      <c r="T3">
        <v>573</v>
      </c>
      <c r="U3">
        <v>10520</v>
      </c>
      <c r="V3">
        <v>4514</v>
      </c>
      <c r="W3">
        <v>152</v>
      </c>
      <c r="X3">
        <v>5</v>
      </c>
    </row>
    <row r="4" spans="1:24" x14ac:dyDescent="0.25">
      <c r="A4" t="s">
        <v>143</v>
      </c>
      <c r="B4" s="1">
        <v>699000</v>
      </c>
      <c r="C4">
        <v>349130</v>
      </c>
      <c r="D4">
        <v>314151</v>
      </c>
      <c r="E4">
        <v>139243</v>
      </c>
      <c r="F4">
        <v>122645</v>
      </c>
      <c r="G4">
        <v>90857</v>
      </c>
      <c r="H4">
        <v>61753</v>
      </c>
      <c r="I4">
        <v>16098</v>
      </c>
      <c r="J4">
        <v>102797</v>
      </c>
      <c r="K4">
        <v>23220</v>
      </c>
      <c r="L4">
        <v>18813</v>
      </c>
      <c r="M4">
        <v>13003</v>
      </c>
      <c r="N4">
        <v>4930</v>
      </c>
      <c r="O4">
        <v>536</v>
      </c>
      <c r="P4">
        <v>58</v>
      </c>
      <c r="Q4">
        <v>413</v>
      </c>
      <c r="R4">
        <v>263</v>
      </c>
      <c r="S4">
        <v>89</v>
      </c>
      <c r="T4">
        <v>287</v>
      </c>
      <c r="U4">
        <v>5169</v>
      </c>
      <c r="V4">
        <v>1823</v>
      </c>
      <c r="W4">
        <v>164</v>
      </c>
      <c r="X4">
        <v>41</v>
      </c>
    </row>
    <row r="5" spans="1:24" x14ac:dyDescent="0.25">
      <c r="A5" t="s">
        <v>144</v>
      </c>
      <c r="B5" s="1">
        <v>1070000</v>
      </c>
      <c r="C5" s="1">
        <v>566000</v>
      </c>
      <c r="D5" s="1">
        <v>483000</v>
      </c>
      <c r="E5">
        <v>215931</v>
      </c>
      <c r="F5">
        <v>174274</v>
      </c>
      <c r="G5">
        <v>134969</v>
      </c>
      <c r="H5">
        <v>113454</v>
      </c>
      <c r="I5">
        <v>8243</v>
      </c>
      <c r="J5">
        <v>165328</v>
      </c>
      <c r="K5">
        <v>33200</v>
      </c>
      <c r="L5">
        <v>20069</v>
      </c>
      <c r="M5">
        <v>9986</v>
      </c>
      <c r="N5">
        <v>5383</v>
      </c>
      <c r="O5">
        <v>1033</v>
      </c>
      <c r="P5">
        <v>61</v>
      </c>
      <c r="Q5">
        <v>225</v>
      </c>
      <c r="R5">
        <v>144</v>
      </c>
      <c r="S5">
        <v>50</v>
      </c>
      <c r="T5">
        <v>213</v>
      </c>
      <c r="U5">
        <v>9728</v>
      </c>
      <c r="V5">
        <v>3736</v>
      </c>
      <c r="W5">
        <v>227</v>
      </c>
      <c r="X5">
        <v>30</v>
      </c>
    </row>
    <row r="6" spans="1:24" x14ac:dyDescent="0.25">
      <c r="A6" t="s">
        <v>145</v>
      </c>
      <c r="B6" s="1">
        <v>1090000</v>
      </c>
      <c r="C6" s="1">
        <v>585000</v>
      </c>
      <c r="D6" s="1">
        <v>513000</v>
      </c>
      <c r="E6">
        <v>249504</v>
      </c>
      <c r="F6">
        <v>209841</v>
      </c>
      <c r="G6">
        <v>142097</v>
      </c>
      <c r="H6">
        <v>100617</v>
      </c>
      <c r="I6">
        <v>9824</v>
      </c>
      <c r="J6">
        <v>199836</v>
      </c>
      <c r="K6">
        <v>46979</v>
      </c>
      <c r="L6">
        <v>32750</v>
      </c>
      <c r="M6">
        <v>18900</v>
      </c>
      <c r="N6">
        <v>6090</v>
      </c>
      <c r="O6">
        <v>1283</v>
      </c>
      <c r="P6">
        <v>119</v>
      </c>
      <c r="Q6">
        <v>836</v>
      </c>
      <c r="R6">
        <v>569</v>
      </c>
      <c r="S6">
        <v>280</v>
      </c>
      <c r="T6">
        <v>1221</v>
      </c>
      <c r="U6">
        <v>11666</v>
      </c>
      <c r="V6">
        <v>2709</v>
      </c>
      <c r="W6">
        <v>225</v>
      </c>
      <c r="X6">
        <v>30</v>
      </c>
    </row>
    <row r="7" spans="1:24" x14ac:dyDescent="0.25">
      <c r="A7" t="s">
        <v>146</v>
      </c>
      <c r="B7" s="1">
        <v>1120000</v>
      </c>
      <c r="C7" s="1">
        <v>633000</v>
      </c>
      <c r="D7" s="1">
        <v>529000</v>
      </c>
      <c r="E7">
        <v>260500</v>
      </c>
      <c r="F7">
        <v>217771</v>
      </c>
      <c r="G7">
        <v>164855</v>
      </c>
      <c r="H7">
        <v>133648</v>
      </c>
      <c r="I7">
        <v>17721</v>
      </c>
      <c r="J7">
        <v>199353</v>
      </c>
      <c r="K7">
        <v>31070</v>
      </c>
      <c r="L7">
        <v>21467</v>
      </c>
      <c r="M7">
        <v>15345</v>
      </c>
      <c r="N7">
        <v>4353</v>
      </c>
      <c r="O7">
        <v>859</v>
      </c>
      <c r="P7">
        <v>106</v>
      </c>
      <c r="Q7">
        <v>662</v>
      </c>
      <c r="R7">
        <v>451</v>
      </c>
      <c r="S7">
        <v>402</v>
      </c>
      <c r="T7">
        <v>582</v>
      </c>
      <c r="U7">
        <v>5453</v>
      </c>
      <c r="V7">
        <v>1048</v>
      </c>
      <c r="W7">
        <v>123</v>
      </c>
      <c r="X7">
        <v>37</v>
      </c>
    </row>
    <row r="8" spans="1:24" x14ac:dyDescent="0.25">
      <c r="A8" t="s">
        <v>147</v>
      </c>
      <c r="B8" s="1">
        <v>1230000</v>
      </c>
      <c r="C8" s="1">
        <v>668000</v>
      </c>
      <c r="D8" s="1">
        <v>546000</v>
      </c>
      <c r="E8">
        <v>293807</v>
      </c>
      <c r="F8">
        <v>246449</v>
      </c>
      <c r="G8">
        <v>174112</v>
      </c>
      <c r="H8">
        <v>128943</v>
      </c>
      <c r="I8">
        <v>6576</v>
      </c>
      <c r="J8">
        <v>238525</v>
      </c>
      <c r="K8">
        <v>60120</v>
      </c>
      <c r="L8">
        <v>42170</v>
      </c>
      <c r="M8">
        <v>23885</v>
      </c>
      <c r="N8">
        <v>6468</v>
      </c>
      <c r="O8">
        <v>727</v>
      </c>
      <c r="P8">
        <v>41</v>
      </c>
      <c r="Q8">
        <v>884</v>
      </c>
      <c r="R8">
        <v>457</v>
      </c>
      <c r="S8">
        <v>338</v>
      </c>
      <c r="T8">
        <v>737</v>
      </c>
      <c r="U8">
        <v>17013</v>
      </c>
      <c r="V8">
        <v>4149</v>
      </c>
      <c r="W8">
        <v>122</v>
      </c>
      <c r="X8">
        <v>5</v>
      </c>
    </row>
    <row r="9" spans="1:24" x14ac:dyDescent="0.25">
      <c r="A9" t="s">
        <v>148</v>
      </c>
      <c r="B9" s="1">
        <v>886000</v>
      </c>
      <c r="C9" s="1">
        <v>481000</v>
      </c>
      <c r="D9" s="1">
        <v>407000</v>
      </c>
      <c r="E9">
        <v>196307</v>
      </c>
      <c r="F9">
        <v>169803</v>
      </c>
      <c r="G9">
        <v>125806</v>
      </c>
      <c r="H9">
        <v>107926</v>
      </c>
      <c r="I9">
        <v>8456</v>
      </c>
      <c r="J9">
        <v>160206</v>
      </c>
      <c r="K9">
        <v>32076</v>
      </c>
      <c r="L9">
        <v>17379</v>
      </c>
      <c r="M9">
        <v>10798</v>
      </c>
      <c r="N9">
        <v>3878</v>
      </c>
      <c r="O9">
        <v>606</v>
      </c>
      <c r="P9">
        <v>45</v>
      </c>
      <c r="Q9">
        <v>223</v>
      </c>
      <c r="R9">
        <v>146</v>
      </c>
      <c r="S9">
        <v>39</v>
      </c>
      <c r="T9">
        <v>201</v>
      </c>
      <c r="U9">
        <v>6083</v>
      </c>
      <c r="V9">
        <v>2039</v>
      </c>
      <c r="W9">
        <v>174</v>
      </c>
      <c r="X9">
        <v>24</v>
      </c>
    </row>
    <row r="10" spans="1:24" x14ac:dyDescent="0.25">
      <c r="A10" t="s">
        <v>149</v>
      </c>
      <c r="B10" s="1">
        <v>1010000</v>
      </c>
      <c r="C10" s="1">
        <v>562000</v>
      </c>
      <c r="D10" s="1">
        <v>494000</v>
      </c>
      <c r="E10">
        <v>251116</v>
      </c>
      <c r="F10">
        <v>221403</v>
      </c>
      <c r="G10">
        <v>159154</v>
      </c>
      <c r="H10">
        <v>121743</v>
      </c>
      <c r="I10">
        <v>16269</v>
      </c>
      <c r="J10">
        <v>200178</v>
      </c>
      <c r="K10">
        <v>22520</v>
      </c>
      <c r="L10">
        <v>17383</v>
      </c>
      <c r="M10">
        <v>10694</v>
      </c>
      <c r="N10">
        <v>2835</v>
      </c>
      <c r="O10">
        <v>740</v>
      </c>
      <c r="P10">
        <v>33</v>
      </c>
      <c r="Q10">
        <v>401</v>
      </c>
      <c r="R10">
        <v>303</v>
      </c>
      <c r="S10">
        <v>74</v>
      </c>
      <c r="T10">
        <v>293</v>
      </c>
      <c r="U10">
        <v>5786</v>
      </c>
      <c r="V10">
        <v>1115</v>
      </c>
      <c r="W10">
        <v>44</v>
      </c>
      <c r="X10">
        <v>3</v>
      </c>
    </row>
    <row r="11" spans="1:24" x14ac:dyDescent="0.25">
      <c r="A11" t="s">
        <v>150</v>
      </c>
      <c r="B11" s="1">
        <v>905000</v>
      </c>
      <c r="C11" s="1">
        <v>476000</v>
      </c>
      <c r="D11" s="1">
        <v>416000</v>
      </c>
      <c r="E11">
        <v>189390</v>
      </c>
      <c r="F11">
        <v>150242</v>
      </c>
      <c r="G11">
        <v>118446</v>
      </c>
      <c r="H11">
        <v>88309</v>
      </c>
      <c r="I11">
        <v>13693</v>
      </c>
      <c r="J11">
        <v>135583</v>
      </c>
      <c r="K11">
        <v>31030</v>
      </c>
      <c r="L11">
        <v>17382</v>
      </c>
      <c r="M11">
        <v>11577</v>
      </c>
      <c r="N11">
        <v>2975</v>
      </c>
      <c r="O11">
        <v>959</v>
      </c>
      <c r="P11">
        <v>80</v>
      </c>
      <c r="Q11">
        <v>689</v>
      </c>
      <c r="R11">
        <v>450</v>
      </c>
      <c r="S11">
        <v>166</v>
      </c>
      <c r="T11">
        <v>382</v>
      </c>
      <c r="U11">
        <v>3726</v>
      </c>
      <c r="V11">
        <v>1258</v>
      </c>
      <c r="W11">
        <v>483</v>
      </c>
      <c r="X11">
        <v>63</v>
      </c>
    </row>
    <row r="12" spans="1:24" x14ac:dyDescent="0.25">
      <c r="A12" t="s">
        <v>151</v>
      </c>
      <c r="B12" s="1">
        <v>436000</v>
      </c>
      <c r="C12">
        <v>214290</v>
      </c>
      <c r="D12">
        <v>190158</v>
      </c>
      <c r="E12">
        <v>53611</v>
      </c>
      <c r="F12">
        <v>42136</v>
      </c>
      <c r="G12">
        <v>35509</v>
      </c>
      <c r="H12">
        <v>21035</v>
      </c>
      <c r="I12">
        <v>1795</v>
      </c>
      <c r="J12">
        <v>39936</v>
      </c>
      <c r="K12">
        <v>13598</v>
      </c>
      <c r="L12">
        <v>9773</v>
      </c>
      <c r="M12">
        <v>6060</v>
      </c>
      <c r="N12">
        <v>3264</v>
      </c>
      <c r="O12">
        <v>616</v>
      </c>
      <c r="P12">
        <v>23</v>
      </c>
      <c r="Q12">
        <v>348</v>
      </c>
      <c r="R12">
        <v>205</v>
      </c>
      <c r="S12">
        <v>279</v>
      </c>
      <c r="T12">
        <v>174</v>
      </c>
      <c r="U12">
        <v>2664</v>
      </c>
      <c r="V12">
        <v>1326</v>
      </c>
      <c r="W12">
        <v>166</v>
      </c>
      <c r="X12">
        <v>11</v>
      </c>
    </row>
    <row r="13" spans="1:24" x14ac:dyDescent="0.25">
      <c r="A13" t="s">
        <v>152</v>
      </c>
      <c r="B13" s="1">
        <v>711000</v>
      </c>
      <c r="C13" s="1">
        <v>406000</v>
      </c>
      <c r="D13">
        <v>355368</v>
      </c>
      <c r="E13">
        <v>177696</v>
      </c>
      <c r="F13">
        <v>160722</v>
      </c>
      <c r="G13">
        <v>97781</v>
      </c>
      <c r="H13">
        <v>67525</v>
      </c>
      <c r="I13">
        <v>2543</v>
      </c>
      <c r="J13">
        <v>157672</v>
      </c>
      <c r="K13">
        <v>38220</v>
      </c>
      <c r="L13">
        <v>26766</v>
      </c>
      <c r="M13">
        <v>15776</v>
      </c>
      <c r="N13">
        <v>2292</v>
      </c>
      <c r="O13">
        <v>766</v>
      </c>
      <c r="P13">
        <v>40</v>
      </c>
      <c r="Q13">
        <v>1595</v>
      </c>
      <c r="R13">
        <v>1039</v>
      </c>
      <c r="S13">
        <v>132</v>
      </c>
      <c r="T13">
        <v>468</v>
      </c>
      <c r="U13">
        <v>9034</v>
      </c>
      <c r="V13">
        <v>1141</v>
      </c>
      <c r="W13">
        <v>152</v>
      </c>
      <c r="X13">
        <v>10</v>
      </c>
    </row>
    <row r="14" spans="1:24" x14ac:dyDescent="0.25">
      <c r="A14" t="s">
        <v>153</v>
      </c>
      <c r="B14" s="1">
        <v>1110000</v>
      </c>
      <c r="C14" s="1">
        <v>657000</v>
      </c>
      <c r="D14" s="1">
        <v>571000</v>
      </c>
      <c r="E14">
        <v>301278</v>
      </c>
      <c r="F14">
        <v>274568</v>
      </c>
      <c r="G14">
        <v>164611</v>
      </c>
      <c r="H14">
        <v>108637</v>
      </c>
      <c r="I14">
        <v>15592</v>
      </c>
      <c r="J14">
        <v>255835</v>
      </c>
      <c r="K14">
        <v>59363</v>
      </c>
      <c r="L14">
        <v>46605</v>
      </c>
      <c r="M14">
        <v>27943</v>
      </c>
      <c r="N14">
        <v>7411</v>
      </c>
      <c r="O14">
        <v>1563</v>
      </c>
      <c r="P14">
        <v>10</v>
      </c>
      <c r="Q14">
        <v>761</v>
      </c>
      <c r="R14">
        <v>481</v>
      </c>
      <c r="S14">
        <v>217</v>
      </c>
      <c r="T14">
        <v>548</v>
      </c>
      <c r="U14">
        <v>15997</v>
      </c>
      <c r="V14">
        <v>2852</v>
      </c>
      <c r="W14">
        <v>213</v>
      </c>
      <c r="X14">
        <v>7</v>
      </c>
    </row>
    <row r="15" spans="1:24" x14ac:dyDescent="0.25">
      <c r="A15" t="s">
        <v>154</v>
      </c>
      <c r="B15" s="1">
        <v>467000</v>
      </c>
      <c r="C15">
        <v>226144</v>
      </c>
      <c r="D15">
        <v>208624</v>
      </c>
      <c r="E15">
        <v>78562</v>
      </c>
      <c r="F15">
        <v>63355</v>
      </c>
      <c r="G15">
        <v>48541</v>
      </c>
      <c r="H15">
        <v>27459</v>
      </c>
      <c r="I15">
        <v>2884</v>
      </c>
      <c r="J15">
        <v>60191</v>
      </c>
      <c r="K15">
        <v>18143</v>
      </c>
      <c r="L15">
        <v>13239</v>
      </c>
      <c r="M15">
        <v>8745</v>
      </c>
      <c r="N15">
        <v>1913</v>
      </c>
      <c r="O15">
        <v>702</v>
      </c>
      <c r="P15">
        <v>53</v>
      </c>
      <c r="Q15">
        <v>777</v>
      </c>
      <c r="R15">
        <v>421</v>
      </c>
      <c r="S15">
        <v>218</v>
      </c>
      <c r="T15">
        <v>378</v>
      </c>
      <c r="U15">
        <v>3211</v>
      </c>
      <c r="V15">
        <v>548</v>
      </c>
      <c r="W15">
        <v>130</v>
      </c>
      <c r="X15">
        <v>33</v>
      </c>
    </row>
    <row r="16" spans="1:24" x14ac:dyDescent="0.25">
      <c r="A16" t="s">
        <v>155</v>
      </c>
      <c r="B16" s="1">
        <v>722000</v>
      </c>
      <c r="C16">
        <v>344308</v>
      </c>
      <c r="D16">
        <v>312135</v>
      </c>
      <c r="E16">
        <v>117087</v>
      </c>
      <c r="F16">
        <v>93941</v>
      </c>
      <c r="G16">
        <v>75764</v>
      </c>
      <c r="H16">
        <v>45905</v>
      </c>
      <c r="I16">
        <v>2338</v>
      </c>
      <c r="J16">
        <v>91466</v>
      </c>
      <c r="K16">
        <v>25706</v>
      </c>
      <c r="L16">
        <v>19151</v>
      </c>
      <c r="M16">
        <v>12578</v>
      </c>
      <c r="N16">
        <v>2215</v>
      </c>
      <c r="O16">
        <v>883</v>
      </c>
      <c r="P16">
        <v>140</v>
      </c>
      <c r="Q16">
        <v>1156</v>
      </c>
      <c r="R16">
        <v>764</v>
      </c>
      <c r="S16">
        <v>191</v>
      </c>
      <c r="T16">
        <v>921</v>
      </c>
      <c r="U16">
        <v>3981</v>
      </c>
      <c r="V16">
        <v>523</v>
      </c>
      <c r="W16">
        <v>142</v>
      </c>
      <c r="X16">
        <v>48</v>
      </c>
    </row>
    <row r="17" spans="1:24" x14ac:dyDescent="0.25">
      <c r="A17" t="s">
        <v>156</v>
      </c>
      <c r="B17" s="1">
        <v>531000</v>
      </c>
      <c r="C17">
        <v>255699</v>
      </c>
      <c r="D17">
        <v>228944</v>
      </c>
      <c r="E17">
        <v>98978</v>
      </c>
      <c r="F17">
        <v>82548</v>
      </c>
      <c r="G17">
        <v>54954</v>
      </c>
      <c r="H17">
        <v>32254</v>
      </c>
      <c r="I17">
        <v>3884</v>
      </c>
      <c r="J17">
        <v>77242</v>
      </c>
      <c r="K17">
        <v>23534</v>
      </c>
      <c r="L17">
        <v>18590</v>
      </c>
      <c r="M17">
        <v>11002</v>
      </c>
      <c r="N17">
        <v>3838</v>
      </c>
      <c r="O17">
        <v>665</v>
      </c>
      <c r="P17">
        <v>23</v>
      </c>
      <c r="Q17">
        <v>496</v>
      </c>
      <c r="R17">
        <v>310</v>
      </c>
      <c r="S17">
        <v>56</v>
      </c>
      <c r="T17">
        <v>287</v>
      </c>
      <c r="U17">
        <v>7183</v>
      </c>
      <c r="V17">
        <v>1912</v>
      </c>
      <c r="W17">
        <v>99</v>
      </c>
      <c r="X17">
        <v>10</v>
      </c>
    </row>
    <row r="18" spans="1:24" ht="27" customHeight="1" x14ac:dyDescent="0.25">
      <c r="B18" s="1" t="s">
        <v>70</v>
      </c>
      <c r="C18" s="1" t="s">
        <v>71</v>
      </c>
      <c r="D18" s="1" t="s">
        <v>72</v>
      </c>
      <c r="E18" s="1" t="s">
        <v>73</v>
      </c>
      <c r="F18" s="1" t="s">
        <v>74</v>
      </c>
      <c r="G18" s="1" t="s">
        <v>75</v>
      </c>
      <c r="H18" s="1" t="s">
        <v>76</v>
      </c>
      <c r="I18" s="3" t="s">
        <v>18</v>
      </c>
      <c r="J18" s="1" t="s">
        <v>77</v>
      </c>
      <c r="K18" s="1" t="s">
        <v>78</v>
      </c>
      <c r="L18" s="3" t="s">
        <v>12</v>
      </c>
      <c r="M18" s="3" t="s">
        <v>79</v>
      </c>
      <c r="P18" s="4" t="s">
        <v>80</v>
      </c>
      <c r="R18" s="4" t="s">
        <v>25</v>
      </c>
      <c r="S18" s="4" t="s">
        <v>81</v>
      </c>
      <c r="T18" s="4" t="s">
        <v>82</v>
      </c>
      <c r="U18" s="4" t="s">
        <v>83</v>
      </c>
      <c r="X18" s="4" t="s">
        <v>84</v>
      </c>
    </row>
    <row r="19" spans="1:24" x14ac:dyDescent="0.25">
      <c r="B19" s="1"/>
      <c r="I19" s="4"/>
      <c r="L19" s="4"/>
      <c r="M19" s="4"/>
      <c r="P19" s="4"/>
      <c r="R19" s="4"/>
      <c r="S19" s="4"/>
      <c r="T19" s="4"/>
      <c r="U19" s="4"/>
      <c r="X19" s="4"/>
    </row>
    <row r="20" spans="1:24" s="7" customFormat="1" x14ac:dyDescent="0.25">
      <c r="A20" s="7" t="s">
        <v>85</v>
      </c>
    </row>
    <row r="21" spans="1:24" ht="27" customHeight="1" x14ac:dyDescent="0.25">
      <c r="A21" s="7"/>
      <c r="B21" s="1" t="s">
        <v>70</v>
      </c>
      <c r="C21" s="1" t="s">
        <v>71</v>
      </c>
      <c r="D21" s="1" t="s">
        <v>72</v>
      </c>
      <c r="E21" s="1" t="s">
        <v>73</v>
      </c>
      <c r="F21" s="1" t="s">
        <v>74</v>
      </c>
      <c r="G21" s="1" t="s">
        <v>75</v>
      </c>
      <c r="H21" s="1" t="s">
        <v>76</v>
      </c>
      <c r="I21" s="3" t="s">
        <v>18</v>
      </c>
      <c r="J21" s="1" t="s">
        <v>77</v>
      </c>
      <c r="K21" s="1" t="s">
        <v>78</v>
      </c>
      <c r="L21" s="3" t="s">
        <v>12</v>
      </c>
      <c r="M21" s="3" t="s">
        <v>79</v>
      </c>
      <c r="P21" s="4" t="s">
        <v>80</v>
      </c>
      <c r="R21" s="4" t="s">
        <v>25</v>
      </c>
      <c r="S21" s="4" t="s">
        <v>81</v>
      </c>
      <c r="T21" s="4" t="s">
        <v>82</v>
      </c>
      <c r="U21" s="4" t="s">
        <v>83</v>
      </c>
      <c r="X21" s="4" t="s">
        <v>84</v>
      </c>
    </row>
    <row r="22" spans="1:24" x14ac:dyDescent="0.25">
      <c r="A22" s="7">
        <v>16</v>
      </c>
      <c r="F22">
        <f>100*F3/$E3</f>
        <v>79.975726704212548</v>
      </c>
      <c r="G22">
        <f>100*G3/$E3</f>
        <v>60.200762875010462</v>
      </c>
      <c r="H22">
        <f>100*H3/$E3</f>
        <v>36.261673302961817</v>
      </c>
      <c r="I22" s="4">
        <f>100*I3/$E3</f>
        <v>4.1509727254247828</v>
      </c>
      <c r="J22">
        <f t="shared" ref="J22:U22" si="0">100*J3/$E3</f>
        <v>74.769523262904897</v>
      </c>
      <c r="K22">
        <f t="shared" si="0"/>
        <v>26.557735767837286</v>
      </c>
      <c r="L22" s="4">
        <f t="shared" si="0"/>
        <v>19.729526132654158</v>
      </c>
      <c r="M22" s="4">
        <f t="shared" si="0"/>
        <v>12.478028482261362</v>
      </c>
      <c r="N22">
        <f t="shared" si="0"/>
        <v>5.9158685176549364</v>
      </c>
      <c r="O22">
        <f t="shared" si="0"/>
        <v>0.7951596895887888</v>
      </c>
      <c r="P22" s="4">
        <f t="shared" si="0"/>
        <v>1.315301742176944E-2</v>
      </c>
      <c r="Q22">
        <f t="shared" si="0"/>
        <v>0.35572933481603713</v>
      </c>
      <c r="R22" s="4">
        <f t="shared" si="0"/>
        <v>0.20148031232437733</v>
      </c>
      <c r="S22" s="4">
        <f t="shared" si="0"/>
        <v>0.12316007222202294</v>
      </c>
      <c r="T22" s="4">
        <f t="shared" si="0"/>
        <v>0.34257631739426769</v>
      </c>
      <c r="U22" s="4">
        <f t="shared" si="0"/>
        <v>6.2895337853188407</v>
      </c>
      <c r="X22" s="4">
        <f>100*X3/$E3</f>
        <v>2.9893221413112361E-3</v>
      </c>
    </row>
    <row r="23" spans="1:24" x14ac:dyDescent="0.25">
      <c r="A23" s="7">
        <v>17</v>
      </c>
      <c r="F23">
        <f t="shared" ref="F23:U36" si="1">100*F4/$E4</f>
        <v>88.079831661196607</v>
      </c>
      <c r="G23">
        <f t="shared" si="1"/>
        <v>65.250676874241435</v>
      </c>
      <c r="H23">
        <f t="shared" si="1"/>
        <v>44.349087566340856</v>
      </c>
      <c r="I23" s="4">
        <f t="shared" si="1"/>
        <v>11.561083860589042</v>
      </c>
      <c r="J23">
        <f t="shared" si="1"/>
        <v>73.825614213999984</v>
      </c>
      <c r="K23">
        <f>100*K4/$E4</f>
        <v>16.675883168274169</v>
      </c>
      <c r="L23" s="4">
        <f t="shared" si="1"/>
        <v>13.510912577292935</v>
      </c>
      <c r="M23" s="4">
        <f t="shared" si="1"/>
        <v>9.3383509404422487</v>
      </c>
      <c r="N23">
        <f t="shared" si="1"/>
        <v>3.5405729551934386</v>
      </c>
      <c r="O23">
        <f t="shared" si="1"/>
        <v>0.38493856064577753</v>
      </c>
      <c r="P23" s="4">
        <f t="shared" si="1"/>
        <v>4.1653799472863989E-2</v>
      </c>
      <c r="Q23">
        <f t="shared" si="1"/>
        <v>0.29660377900504875</v>
      </c>
      <c r="R23" s="4">
        <f t="shared" si="1"/>
        <v>0.18887843554074532</v>
      </c>
      <c r="S23" s="4">
        <f t="shared" si="1"/>
        <v>6.3917037122153353E-2</v>
      </c>
      <c r="T23" s="4">
        <f t="shared" si="1"/>
        <v>0.20611449049503386</v>
      </c>
      <c r="U23" s="4">
        <f t="shared" si="1"/>
        <v>3.7122153357798955</v>
      </c>
      <c r="X23" s="4">
        <f t="shared" ref="X23:X27" si="2">100*X4/$E4</f>
        <v>2.9444927213576267E-2</v>
      </c>
    </row>
    <row r="24" spans="1:24" x14ac:dyDescent="0.25">
      <c r="A24" s="7">
        <v>18</v>
      </c>
      <c r="F24">
        <f t="shared" si="1"/>
        <v>80.70818919006534</v>
      </c>
      <c r="G24">
        <f t="shared" si="1"/>
        <v>62.505615219676656</v>
      </c>
      <c r="H24">
        <f t="shared" si="1"/>
        <v>52.541784181057835</v>
      </c>
      <c r="I24" s="4">
        <f t="shared" si="1"/>
        <v>3.8174231583237237</v>
      </c>
      <c r="J24">
        <f t="shared" si="1"/>
        <v>76.565199068220863</v>
      </c>
      <c r="K24">
        <f t="shared" si="1"/>
        <v>15.375281918761086</v>
      </c>
      <c r="L24" s="4">
        <f t="shared" si="1"/>
        <v>9.2941726755306089</v>
      </c>
      <c r="M24" s="4">
        <f t="shared" si="1"/>
        <v>4.6246254590586808</v>
      </c>
      <c r="N24">
        <f t="shared" si="1"/>
        <v>2.4929259809846664</v>
      </c>
      <c r="O24">
        <f t="shared" si="1"/>
        <v>0.47839356090603019</v>
      </c>
      <c r="P24" s="4">
        <f t="shared" si="1"/>
        <v>2.8249764971217659E-2</v>
      </c>
      <c r="Q24">
        <f t="shared" si="1"/>
        <v>0.10419995276268808</v>
      </c>
      <c r="R24" s="4">
        <f t="shared" si="1"/>
        <v>6.6687969768120373E-2</v>
      </c>
      <c r="S24" s="4">
        <f t="shared" si="1"/>
        <v>2.3155545058375131E-2</v>
      </c>
      <c r="T24" s="4">
        <f t="shared" si="1"/>
        <v>9.8642621948678053E-2</v>
      </c>
      <c r="U24" s="4">
        <f t="shared" si="1"/>
        <v>4.5051428465574652</v>
      </c>
      <c r="X24" s="4">
        <f t="shared" si="2"/>
        <v>1.3893327035025077E-2</v>
      </c>
    </row>
    <row r="25" spans="1:24" x14ac:dyDescent="0.25">
      <c r="A25" s="7">
        <v>19</v>
      </c>
      <c r="F25">
        <f t="shared" si="1"/>
        <v>84.103260869565219</v>
      </c>
      <c r="G25">
        <f t="shared" si="1"/>
        <v>56.951792356034375</v>
      </c>
      <c r="H25">
        <f t="shared" si="1"/>
        <v>40.326808387841474</v>
      </c>
      <c r="I25" s="4">
        <f t="shared" si="1"/>
        <v>3.9374118250609209</v>
      </c>
      <c r="J25">
        <f t="shared" si="1"/>
        <v>80.093305117352827</v>
      </c>
      <c r="K25">
        <f t="shared" si="1"/>
        <v>18.828956649993586</v>
      </c>
      <c r="L25" s="4">
        <f>100*L6/$E6</f>
        <v>13.126042067461844</v>
      </c>
      <c r="M25" s="4">
        <f t="shared" si="1"/>
        <v>7.5750288572527893</v>
      </c>
      <c r="N25">
        <f t="shared" si="1"/>
        <v>2.4408426317814542</v>
      </c>
      <c r="O25">
        <f t="shared" si="1"/>
        <v>0.51422021290239839</v>
      </c>
      <c r="P25" s="4">
        <f t="shared" si="1"/>
        <v>4.7694626138258304E-2</v>
      </c>
      <c r="Q25">
        <f t="shared" si="1"/>
        <v>0.33506476850070538</v>
      </c>
      <c r="R25" s="4">
        <f t="shared" si="1"/>
        <v>0.22805245607284852</v>
      </c>
      <c r="S25" s="4">
        <f t="shared" si="1"/>
        <v>0.11222264973707836</v>
      </c>
      <c r="T25" s="4">
        <f t="shared" si="1"/>
        <v>0.48937091188918813</v>
      </c>
      <c r="U25" s="4">
        <f t="shared" si="1"/>
        <v>4.6756765422598434</v>
      </c>
      <c r="X25" s="4">
        <f t="shared" si="2"/>
        <v>1.2023855328972682E-2</v>
      </c>
    </row>
    <row r="26" spans="1:24" x14ac:dyDescent="0.25">
      <c r="A26" s="7">
        <v>20</v>
      </c>
      <c r="F26">
        <f t="shared" si="1"/>
        <v>83.597312859884838</v>
      </c>
      <c r="G26">
        <f t="shared" si="1"/>
        <v>63.284069097888676</v>
      </c>
      <c r="H26">
        <f t="shared" si="1"/>
        <v>51.304414587332055</v>
      </c>
      <c r="I26" s="4">
        <f t="shared" si="1"/>
        <v>6.8026871401151627</v>
      </c>
      <c r="J26">
        <f t="shared" si="1"/>
        <v>76.527063339731285</v>
      </c>
      <c r="K26">
        <f>100*K7/$E7</f>
        <v>11.927063339731285</v>
      </c>
      <c r="L26" s="4">
        <f t="shared" si="1"/>
        <v>8.2406909788867555</v>
      </c>
      <c r="M26" s="4">
        <f t="shared" si="1"/>
        <v>5.8905950095969288</v>
      </c>
      <c r="N26">
        <f t="shared" si="1"/>
        <v>1.671017274472169</v>
      </c>
      <c r="O26">
        <f t="shared" si="1"/>
        <v>0.32975047984644912</v>
      </c>
      <c r="P26" s="4">
        <f t="shared" si="1"/>
        <v>4.0690978886756241E-2</v>
      </c>
      <c r="Q26">
        <f t="shared" si="1"/>
        <v>0.254126679462572</v>
      </c>
      <c r="R26" s="4">
        <f t="shared" si="1"/>
        <v>0.17312859884836851</v>
      </c>
      <c r="S26" s="4">
        <f t="shared" si="1"/>
        <v>0.15431861804222649</v>
      </c>
      <c r="T26" s="4">
        <f t="shared" si="1"/>
        <v>0.22341650671785029</v>
      </c>
      <c r="U26" s="4">
        <f t="shared" si="1"/>
        <v>2.0932821497120919</v>
      </c>
      <c r="X26" s="4">
        <f t="shared" si="2"/>
        <v>1.4203454894433781E-2</v>
      </c>
    </row>
    <row r="27" spans="1:24" x14ac:dyDescent="0.25">
      <c r="A27" s="7">
        <v>21</v>
      </c>
      <c r="F27">
        <f t="shared" si="1"/>
        <v>83.881255381934395</v>
      </c>
      <c r="G27">
        <f t="shared" si="1"/>
        <v>59.260671120837827</v>
      </c>
      <c r="H27">
        <f t="shared" si="1"/>
        <v>43.886973421327603</v>
      </c>
      <c r="I27" s="4">
        <f t="shared" si="1"/>
        <v>2.2382039910553528</v>
      </c>
      <c r="J27">
        <f t="shared" si="1"/>
        <v>81.184246801471716</v>
      </c>
      <c r="K27">
        <f t="shared" si="1"/>
        <v>20.462412399976856</v>
      </c>
      <c r="L27" s="4">
        <f t="shared" si="1"/>
        <v>14.352959595925217</v>
      </c>
      <c r="M27" s="4">
        <f t="shared" si="1"/>
        <v>8.1294863634971257</v>
      </c>
      <c r="N27">
        <f t="shared" si="1"/>
        <v>2.2014451663847354</v>
      </c>
      <c r="O27">
        <f t="shared" si="1"/>
        <v>0.24744134755128366</v>
      </c>
      <c r="P27" s="4">
        <f t="shared" si="1"/>
        <v>1.3954738995326864E-2</v>
      </c>
      <c r="Q27">
        <f t="shared" si="1"/>
        <v>0.30087778711875485</v>
      </c>
      <c r="R27" s="4">
        <f t="shared" si="1"/>
        <v>0.1555442858747409</v>
      </c>
      <c r="S27" s="4">
        <f t="shared" si="1"/>
        <v>0.11504150683952391</v>
      </c>
      <c r="T27" s="4">
        <f t="shared" si="1"/>
        <v>0.25084494242819266</v>
      </c>
      <c r="U27" s="4">
        <f t="shared" si="1"/>
        <v>5.7905359640852669</v>
      </c>
      <c r="X27" s="4">
        <f t="shared" si="2"/>
        <v>1.7017974384544957E-3</v>
      </c>
    </row>
    <row r="28" spans="1:24" x14ac:dyDescent="0.25">
      <c r="A28" s="7">
        <v>22</v>
      </c>
      <c r="F28">
        <f t="shared" si="1"/>
        <v>86.498698467196789</v>
      </c>
      <c r="G28">
        <f t="shared" si="1"/>
        <v>64.086354536516779</v>
      </c>
      <c r="H28">
        <f t="shared" si="1"/>
        <v>54.978171944963755</v>
      </c>
      <c r="I28" s="4">
        <f>100*I9/$E9</f>
        <v>4.307538702134921</v>
      </c>
      <c r="J28">
        <f t="shared" si="1"/>
        <v>81.609927307737365</v>
      </c>
      <c r="K28">
        <f t="shared" si="1"/>
        <v>16.339712796792778</v>
      </c>
      <c r="L28" s="4">
        <f t="shared" si="1"/>
        <v>8.8529700927628667</v>
      </c>
      <c r="M28" s="4">
        <f t="shared" si="1"/>
        <v>5.5005679878965088</v>
      </c>
      <c r="N28">
        <f t="shared" si="1"/>
        <v>1.9754771862439953</v>
      </c>
      <c r="O28">
        <f t="shared" si="1"/>
        <v>0.30870014823719988</v>
      </c>
      <c r="P28" s="4">
        <f t="shared" si="1"/>
        <v>2.2923278334445536E-2</v>
      </c>
      <c r="Q28">
        <f t="shared" si="1"/>
        <v>0.11359757930180789</v>
      </c>
      <c r="R28" s="4">
        <f t="shared" si="1"/>
        <v>7.4373303040645516E-2</v>
      </c>
      <c r="S28" s="4">
        <f t="shared" si="1"/>
        <v>1.9866841223186132E-2</v>
      </c>
      <c r="T28" s="4">
        <f t="shared" si="1"/>
        <v>0.10239064322719006</v>
      </c>
      <c r="U28" s="4">
        <f t="shared" si="1"/>
        <v>3.0987178246318265</v>
      </c>
      <c r="X28" s="4">
        <f>100*X9/$E9</f>
        <v>1.2225748445037619E-2</v>
      </c>
    </row>
    <row r="29" spans="1:24" x14ac:dyDescent="0.25">
      <c r="A29" s="7">
        <v>23</v>
      </c>
      <c r="F29">
        <f t="shared" si="1"/>
        <v>88.167619745456278</v>
      </c>
      <c r="G29">
        <f t="shared" si="1"/>
        <v>63.378677583268292</v>
      </c>
      <c r="H29">
        <f t="shared" si="1"/>
        <v>48.48078179008904</v>
      </c>
      <c r="I29" s="4">
        <f t="shared" si="1"/>
        <v>6.4786791761576321</v>
      </c>
      <c r="J29">
        <f t="shared" si="1"/>
        <v>79.715350674588635</v>
      </c>
      <c r="K29">
        <f t="shared" si="1"/>
        <v>8.9679669953328336</v>
      </c>
      <c r="L29" s="4">
        <f t="shared" si="1"/>
        <v>6.9222988578983422</v>
      </c>
      <c r="M29" s="4">
        <f t="shared" si="1"/>
        <v>4.2585896557766132</v>
      </c>
      <c r="N29">
        <f t="shared" si="1"/>
        <v>1.1289603211264914</v>
      </c>
      <c r="O29">
        <f t="shared" si="1"/>
        <v>0.29468452826582137</v>
      </c>
      <c r="P29" s="4">
        <f t="shared" si="1"/>
        <v>1.3141337071313656E-2</v>
      </c>
      <c r="Q29">
        <f t="shared" si="1"/>
        <v>0.15968715653323565</v>
      </c>
      <c r="R29" s="4">
        <f t="shared" si="1"/>
        <v>0.12066136765478902</v>
      </c>
      <c r="S29" s="4">
        <f t="shared" si="1"/>
        <v>2.9468452826582139E-2</v>
      </c>
      <c r="T29" s="4">
        <f t="shared" si="1"/>
        <v>0.11667914429984549</v>
      </c>
      <c r="U29" s="4">
        <f t="shared" si="1"/>
        <v>2.3041144331703278</v>
      </c>
      <c r="X29" s="4">
        <f t="shared" ref="X29:X36" si="3">100*X10/$E10</f>
        <v>1.1946670064830597E-3</v>
      </c>
    </row>
    <row r="30" spans="1:24" x14ac:dyDescent="0.25">
      <c r="A30" s="7">
        <v>24</v>
      </c>
      <c r="F30">
        <f t="shared" si="1"/>
        <v>79.329426052061876</v>
      </c>
      <c r="G30">
        <f t="shared" si="1"/>
        <v>62.540788848408049</v>
      </c>
      <c r="H30">
        <f t="shared" si="1"/>
        <v>46.628121864934791</v>
      </c>
      <c r="I30" s="4">
        <f t="shared" si="1"/>
        <v>7.2300543851312105</v>
      </c>
      <c r="J30">
        <f t="shared" si="1"/>
        <v>71.589313057711607</v>
      </c>
      <c r="K30">
        <f t="shared" si="1"/>
        <v>16.384180790960453</v>
      </c>
      <c r="L30" s="4">
        <f t="shared" si="1"/>
        <v>9.1778869000475218</v>
      </c>
      <c r="M30" s="4">
        <f t="shared" si="1"/>
        <v>6.1127831458894342</v>
      </c>
      <c r="N30">
        <f t="shared" si="1"/>
        <v>1.570832673319605</v>
      </c>
      <c r="O30">
        <f t="shared" si="1"/>
        <v>0.50636253234067263</v>
      </c>
      <c r="P30" s="4">
        <f t="shared" si="1"/>
        <v>4.2240878610275097E-2</v>
      </c>
      <c r="Q30">
        <f t="shared" si="1"/>
        <v>0.36379956703099425</v>
      </c>
      <c r="R30" s="4">
        <f t="shared" si="1"/>
        <v>0.2376049421827974</v>
      </c>
      <c r="S30" s="4">
        <f t="shared" si="1"/>
        <v>8.7649823116320816E-2</v>
      </c>
      <c r="T30" s="4">
        <f t="shared" si="1"/>
        <v>0.20170019536406358</v>
      </c>
      <c r="U30" s="4">
        <f t="shared" si="1"/>
        <v>1.9673689212735626</v>
      </c>
      <c r="X30" s="4">
        <f t="shared" si="3"/>
        <v>3.3264691905591635E-2</v>
      </c>
    </row>
    <row r="31" spans="1:24" x14ac:dyDescent="0.25">
      <c r="A31" s="7">
        <v>25</v>
      </c>
      <c r="F31">
        <f t="shared" si="1"/>
        <v>78.595810561265409</v>
      </c>
      <c r="G31">
        <f t="shared" si="1"/>
        <v>66.234541418738687</v>
      </c>
      <c r="H31">
        <f t="shared" si="1"/>
        <v>39.236350748913466</v>
      </c>
      <c r="I31" s="4">
        <f t="shared" si="1"/>
        <v>3.3481934677584824</v>
      </c>
      <c r="J31">
        <f t="shared" si="1"/>
        <v>74.492175113316293</v>
      </c>
      <c r="K31">
        <f t="shared" si="1"/>
        <v>25.364197646005483</v>
      </c>
      <c r="L31" s="4">
        <f t="shared" si="1"/>
        <v>18.229467833093956</v>
      </c>
      <c r="M31" s="4">
        <f t="shared" si="1"/>
        <v>11.303650370259835</v>
      </c>
      <c r="N31">
        <f t="shared" si="1"/>
        <v>6.0883027736845055</v>
      </c>
      <c r="O31">
        <f t="shared" si="1"/>
        <v>1.1490179254257522</v>
      </c>
      <c r="P31" s="4">
        <f t="shared" si="1"/>
        <v>4.2901643319468018E-2</v>
      </c>
      <c r="Q31">
        <f t="shared" si="1"/>
        <v>0.64912051631195089</v>
      </c>
      <c r="R31" s="4">
        <f t="shared" si="1"/>
        <v>0.38238421219525842</v>
      </c>
      <c r="S31" s="4">
        <f t="shared" si="1"/>
        <v>0.5204155863535469</v>
      </c>
      <c r="T31" s="4">
        <f t="shared" si="1"/>
        <v>0.32456025815597545</v>
      </c>
      <c r="U31" s="4">
        <f t="shared" si="1"/>
        <v>4.969129469698383</v>
      </c>
      <c r="X31" s="4">
        <f t="shared" si="3"/>
        <v>2.0518177239745576E-2</v>
      </c>
    </row>
    <row r="32" spans="1:24" x14ac:dyDescent="0.25">
      <c r="A32" s="7">
        <v>26</v>
      </c>
      <c r="F32">
        <f t="shared" si="1"/>
        <v>90.447730956239866</v>
      </c>
      <c r="G32">
        <f t="shared" si="1"/>
        <v>55.027124977489642</v>
      </c>
      <c r="H32">
        <f t="shared" si="1"/>
        <v>38.000292634611924</v>
      </c>
      <c r="I32" s="4">
        <f t="shared" si="1"/>
        <v>1.4310958040698722</v>
      </c>
      <c r="J32">
        <f t="shared" si="1"/>
        <v>88.731316405546551</v>
      </c>
      <c r="K32">
        <f t="shared" si="1"/>
        <v>21.508643976229067</v>
      </c>
      <c r="L32" s="4">
        <f t="shared" si="1"/>
        <v>15.062803889789302</v>
      </c>
      <c r="M32" s="4">
        <f t="shared" si="1"/>
        <v>8.8780839186025577</v>
      </c>
      <c r="N32">
        <f t="shared" si="1"/>
        <v>1.2898433279308481</v>
      </c>
      <c r="O32">
        <f t="shared" si="1"/>
        <v>0.43107329371510894</v>
      </c>
      <c r="P32" s="4">
        <f t="shared" si="1"/>
        <v>2.2510354763191069E-2</v>
      </c>
      <c r="Q32">
        <f t="shared" si="1"/>
        <v>0.89760039618224385</v>
      </c>
      <c r="R32" s="4">
        <f t="shared" si="1"/>
        <v>0.58470646497388801</v>
      </c>
      <c r="S32" s="4">
        <f t="shared" si="1"/>
        <v>7.4284170718530523E-2</v>
      </c>
      <c r="T32" s="4">
        <f t="shared" si="1"/>
        <v>0.26337115072933548</v>
      </c>
      <c r="U32" s="4">
        <f t="shared" si="1"/>
        <v>5.0839636232667029</v>
      </c>
      <c r="X32" s="4">
        <f t="shared" si="3"/>
        <v>5.6275886907977673E-3</v>
      </c>
    </row>
    <row r="33" spans="1:24" x14ac:dyDescent="0.25">
      <c r="A33" s="7">
        <v>27</v>
      </c>
      <c r="F33">
        <f t="shared" si="1"/>
        <v>91.134433977920722</v>
      </c>
      <c r="G33">
        <f t="shared" si="1"/>
        <v>54.637577254230315</v>
      </c>
      <c r="H33">
        <f t="shared" si="1"/>
        <v>36.058723172617981</v>
      </c>
      <c r="I33" s="4">
        <f t="shared" si="1"/>
        <v>5.1752866123646601</v>
      </c>
      <c r="J33">
        <f t="shared" si="1"/>
        <v>84.916588665617795</v>
      </c>
      <c r="K33">
        <f t="shared" si="1"/>
        <v>19.703728782055112</v>
      </c>
      <c r="L33" s="4">
        <f t="shared" si="1"/>
        <v>15.469101627068687</v>
      </c>
      <c r="M33" s="4">
        <f t="shared" si="1"/>
        <v>9.274822589103751</v>
      </c>
      <c r="N33">
        <f t="shared" si="1"/>
        <v>2.4598543537862043</v>
      </c>
      <c r="O33">
        <f t="shared" si="1"/>
        <v>0.51878995479258361</v>
      </c>
      <c r="P33" s="4">
        <f t="shared" si="1"/>
        <v>3.3191935687305412E-3</v>
      </c>
      <c r="Q33">
        <f t="shared" si="1"/>
        <v>0.25259063058039416</v>
      </c>
      <c r="R33" s="4">
        <f t="shared" si="1"/>
        <v>0.15965321065593904</v>
      </c>
      <c r="S33" s="4">
        <f t="shared" si="1"/>
        <v>7.2026500441452743E-2</v>
      </c>
      <c r="T33" s="4">
        <f t="shared" si="1"/>
        <v>0.18189180756643367</v>
      </c>
      <c r="U33" s="4">
        <f t="shared" si="1"/>
        <v>5.3097139518982468</v>
      </c>
      <c r="X33" s="4">
        <f t="shared" si="3"/>
        <v>2.323435498111379E-3</v>
      </c>
    </row>
    <row r="34" spans="1:24" x14ac:dyDescent="0.25">
      <c r="A34" s="7">
        <v>28</v>
      </c>
      <c r="F34">
        <f t="shared" si="1"/>
        <v>80.64331356126371</v>
      </c>
      <c r="G34">
        <f t="shared" si="1"/>
        <v>61.786868969730911</v>
      </c>
      <c r="H34">
        <f t="shared" si="1"/>
        <v>34.952012423308979</v>
      </c>
      <c r="I34" s="4">
        <f t="shared" si="1"/>
        <v>3.6709859728621979</v>
      </c>
      <c r="J34">
        <f t="shared" si="1"/>
        <v>76.615921183269265</v>
      </c>
      <c r="K34">
        <f t="shared" si="1"/>
        <v>23.093862172551614</v>
      </c>
      <c r="L34" s="4">
        <f t="shared" si="1"/>
        <v>16.851658562663882</v>
      </c>
      <c r="M34" s="4">
        <f t="shared" si="1"/>
        <v>11.131335760291234</v>
      </c>
      <c r="N34">
        <f t="shared" si="1"/>
        <v>2.4350194750642804</v>
      </c>
      <c r="O34">
        <f t="shared" si="1"/>
        <v>0.89356177286728955</v>
      </c>
      <c r="P34" s="4">
        <f t="shared" si="1"/>
        <v>6.7462640971462026E-2</v>
      </c>
      <c r="Q34">
        <f t="shared" si="1"/>
        <v>0.98902777424199995</v>
      </c>
      <c r="R34" s="4">
        <f t="shared" si="1"/>
        <v>0.53588248771670788</v>
      </c>
      <c r="S34" s="4">
        <f t="shared" si="1"/>
        <v>0.27748784399582493</v>
      </c>
      <c r="T34" s="4">
        <f t="shared" si="1"/>
        <v>0.48114864692854054</v>
      </c>
      <c r="U34" s="4">
        <f t="shared" si="1"/>
        <v>4.0872177388559354</v>
      </c>
      <c r="X34" s="4">
        <f t="shared" si="3"/>
        <v>4.2005040604872583E-2</v>
      </c>
    </row>
    <row r="35" spans="1:24" x14ac:dyDescent="0.25">
      <c r="A35" s="7">
        <v>29</v>
      </c>
      <c r="F35">
        <f t="shared" si="1"/>
        <v>80.231793452731736</v>
      </c>
      <c r="G35">
        <f t="shared" si="1"/>
        <v>64.707439767010854</v>
      </c>
      <c r="H35">
        <f t="shared" si="1"/>
        <v>39.20588963761989</v>
      </c>
      <c r="I35" s="4">
        <f t="shared" si="1"/>
        <v>1.9968057939822526</v>
      </c>
      <c r="J35">
        <f t="shared" si="1"/>
        <v>78.117980646869427</v>
      </c>
      <c r="K35">
        <f t="shared" si="1"/>
        <v>21.954614944443023</v>
      </c>
      <c r="L35" s="4">
        <f t="shared" si="1"/>
        <v>16.356213755583454</v>
      </c>
      <c r="M35" s="4">
        <f t="shared" si="1"/>
        <v>10.742439382681255</v>
      </c>
      <c r="N35">
        <f t="shared" si="1"/>
        <v>1.8917557030242469</v>
      </c>
      <c r="O35">
        <f t="shared" si="1"/>
        <v>0.75414008386925957</v>
      </c>
      <c r="P35" s="4">
        <f t="shared" si="1"/>
        <v>0.11956920922049416</v>
      </c>
      <c r="Q35">
        <f t="shared" si="1"/>
        <v>0.98730004184922326</v>
      </c>
      <c r="R35" s="4">
        <f t="shared" si="1"/>
        <v>0.65250625603183954</v>
      </c>
      <c r="S35" s="4">
        <f t="shared" si="1"/>
        <v>0.16312656400795988</v>
      </c>
      <c r="T35" s="4">
        <f t="shared" si="1"/>
        <v>0.78659458351482237</v>
      </c>
      <c r="U35" s="4">
        <f t="shared" si="1"/>
        <v>3.4000358707627663</v>
      </c>
      <c r="X35" s="4">
        <f t="shared" si="3"/>
        <v>4.0995157447026573E-2</v>
      </c>
    </row>
    <row r="36" spans="1:24" x14ac:dyDescent="0.25">
      <c r="A36" s="7">
        <v>30</v>
      </c>
      <c r="F36">
        <f t="shared" si="1"/>
        <v>83.400351593283361</v>
      </c>
      <c r="G36">
        <f t="shared" si="1"/>
        <v>55.521429004425222</v>
      </c>
      <c r="H36">
        <f t="shared" si="1"/>
        <v>32.58703954414112</v>
      </c>
      <c r="I36" s="4">
        <f>100*I17/$E17</f>
        <v>3.9241043464204166</v>
      </c>
      <c r="J36">
        <f>100*J17/$E17</f>
        <v>78.039564347632805</v>
      </c>
      <c r="K36">
        <f t="shared" si="1"/>
        <v>23.777000949705997</v>
      </c>
      <c r="L36" s="4">
        <f t="shared" si="1"/>
        <v>18.781951544787731</v>
      </c>
      <c r="M36" s="4">
        <f t="shared" si="1"/>
        <v>11.115601446786155</v>
      </c>
      <c r="N36">
        <f t="shared" si="1"/>
        <v>3.8776293721837174</v>
      </c>
      <c r="O36">
        <f t="shared" si="1"/>
        <v>0.67186647537836686</v>
      </c>
      <c r="P36" s="4">
        <f t="shared" si="1"/>
        <v>2.3237487118349533E-2</v>
      </c>
      <c r="Q36">
        <f t="shared" si="1"/>
        <v>0.50112146133484203</v>
      </c>
      <c r="R36" s="4">
        <f t="shared" si="1"/>
        <v>0.3132009133342763</v>
      </c>
      <c r="S36" s="4">
        <f t="shared" si="1"/>
        <v>5.6578229505546689E-2</v>
      </c>
      <c r="T36" s="4">
        <f t="shared" si="1"/>
        <v>0.28996342621592675</v>
      </c>
      <c r="U36" s="4">
        <f t="shared" si="1"/>
        <v>7.2571682596132474</v>
      </c>
      <c r="X36" s="4">
        <f t="shared" si="3"/>
        <v>1.0103255268847623E-2</v>
      </c>
    </row>
    <row r="37" spans="1:24" s="7" customFormat="1" x14ac:dyDescent="0.25"/>
    <row r="38" spans="1:24" s="8" customFormat="1" ht="27" customHeight="1" x14ac:dyDescent="0.25">
      <c r="A38" s="8" t="s">
        <v>86</v>
      </c>
      <c r="B38" s="9" t="s">
        <v>70</v>
      </c>
      <c r="C38" s="9" t="s">
        <v>71</v>
      </c>
      <c r="D38" s="9" t="s">
        <v>72</v>
      </c>
      <c r="E38" s="9" t="s">
        <v>73</v>
      </c>
      <c r="F38" s="9" t="s">
        <v>74</v>
      </c>
      <c r="G38" s="9" t="s">
        <v>75</v>
      </c>
      <c r="H38" s="9" t="s">
        <v>76</v>
      </c>
      <c r="I38" s="3" t="s">
        <v>18</v>
      </c>
      <c r="J38" s="9" t="s">
        <v>77</v>
      </c>
      <c r="K38" s="9" t="s">
        <v>78</v>
      </c>
      <c r="L38" s="3" t="s">
        <v>12</v>
      </c>
      <c r="M38" s="3" t="s">
        <v>79</v>
      </c>
      <c r="P38" s="4" t="s">
        <v>80</v>
      </c>
      <c r="R38" s="4" t="s">
        <v>25</v>
      </c>
      <c r="S38" s="4" t="s">
        <v>81</v>
      </c>
      <c r="T38" s="4" t="s">
        <v>82</v>
      </c>
      <c r="U38" s="4" t="s">
        <v>83</v>
      </c>
      <c r="X38" s="4" t="s">
        <v>84</v>
      </c>
    </row>
    <row r="39" spans="1:24" x14ac:dyDescent="0.25">
      <c r="A39" s="8">
        <v>16</v>
      </c>
      <c r="G39">
        <f t="shared" ref="G39:V53" si="4">100*(G3/$F3)</f>
        <v>75.273792881758851</v>
      </c>
      <c r="H39">
        <f t="shared" si="4"/>
        <v>45.340848776622387</v>
      </c>
      <c r="I39" s="4">
        <f t="shared" si="4"/>
        <v>5.1902907250558803</v>
      </c>
      <c r="J39">
        <f t="shared" si="4"/>
        <v>93.490270541007263</v>
      </c>
      <c r="K39">
        <f t="shared" si="4"/>
        <v>33.207245325897631</v>
      </c>
      <c r="L39" s="4">
        <f t="shared" si="4"/>
        <v>24.669392759159447</v>
      </c>
      <c r="M39" s="4">
        <f>100*(M3/$F3)</f>
        <v>15.602269584133843</v>
      </c>
      <c r="N39">
        <f t="shared" ref="N39:X53" si="5">100*(N3/$F3)</f>
        <v>7.3970800409661432</v>
      </c>
      <c r="O39">
        <f t="shared" si="5"/>
        <v>0.99425128392975959</v>
      </c>
      <c r="P39" s="4">
        <f t="shared" si="5"/>
        <v>1.6446261839439629E-2</v>
      </c>
      <c r="Q39">
        <f t="shared" si="5"/>
        <v>0.4447966270212082</v>
      </c>
      <c r="R39" s="4">
        <f t="shared" si="5"/>
        <v>0.25192682908596165</v>
      </c>
      <c r="S39" s="4">
        <f t="shared" si="5"/>
        <v>0.15399681540566199</v>
      </c>
      <c r="T39" s="4">
        <f t="shared" si="5"/>
        <v>0.42835036518176861</v>
      </c>
      <c r="U39" s="4">
        <f t="shared" si="5"/>
        <v>7.864303388677496</v>
      </c>
      <c r="V39">
        <f t="shared" si="5"/>
        <v>3.374473906510477</v>
      </c>
      <c r="W39">
        <f t="shared" si="5"/>
        <v>0.11362871816340109</v>
      </c>
      <c r="X39" s="4">
        <f t="shared" si="5"/>
        <v>3.7377867816908252E-3</v>
      </c>
    </row>
    <row r="40" spans="1:24" x14ac:dyDescent="0.25">
      <c r="A40" s="8">
        <v>17</v>
      </c>
      <c r="G40">
        <f t="shared" si="4"/>
        <v>74.081291532471766</v>
      </c>
      <c r="H40">
        <f t="shared" si="4"/>
        <v>50.351013086550608</v>
      </c>
      <c r="I40" s="4">
        <f>100*(I4/$F4)</f>
        <v>13.125687961188797</v>
      </c>
      <c r="J40">
        <f t="shared" si="4"/>
        <v>83.81670675526928</v>
      </c>
      <c r="K40">
        <f t="shared" si="4"/>
        <v>18.932691915691631</v>
      </c>
      <c r="L40" s="4">
        <f t="shared" si="4"/>
        <v>15.339394186473154</v>
      </c>
      <c r="M40" s="4">
        <f t="shared" si="4"/>
        <v>10.602144400505525</v>
      </c>
      <c r="N40">
        <f t="shared" si="4"/>
        <v>4.0197317460964577</v>
      </c>
      <c r="O40">
        <f t="shared" si="4"/>
        <v>0.43703371519425982</v>
      </c>
      <c r="P40" s="4">
        <f t="shared" si="4"/>
        <v>4.7290961718781853E-2</v>
      </c>
      <c r="Q40">
        <f t="shared" si="4"/>
        <v>0.33674426189408457</v>
      </c>
      <c r="R40" s="4">
        <f t="shared" si="4"/>
        <v>0.21444005055240734</v>
      </c>
      <c r="S40" s="4">
        <f t="shared" si="4"/>
        <v>7.2567165396061811E-2</v>
      </c>
      <c r="T40" s="4">
        <f t="shared" si="4"/>
        <v>0.2340087243670757</v>
      </c>
      <c r="U40" s="4">
        <f t="shared" si="4"/>
        <v>4.2146031228341965</v>
      </c>
      <c r="V40">
        <f t="shared" si="4"/>
        <v>1.4864038485058502</v>
      </c>
      <c r="W40">
        <f t="shared" si="5"/>
        <v>0.1337192710669004</v>
      </c>
      <c r="X40" s="4">
        <f t="shared" si="5"/>
        <v>3.3429817766725101E-2</v>
      </c>
    </row>
    <row r="41" spans="1:24" x14ac:dyDescent="0.25">
      <c r="A41" s="8">
        <v>18</v>
      </c>
      <c r="G41">
        <f t="shared" si="4"/>
        <v>77.446434924314588</v>
      </c>
      <c r="H41">
        <f t="shared" si="4"/>
        <v>65.100933013530408</v>
      </c>
      <c r="I41" s="4">
        <f t="shared" si="4"/>
        <v>4.7299080757887006</v>
      </c>
      <c r="J41">
        <f t="shared" si="4"/>
        <v>94.866704155525213</v>
      </c>
      <c r="K41">
        <f t="shared" si="4"/>
        <v>19.050460768674615</v>
      </c>
      <c r="L41" s="4">
        <f t="shared" si="4"/>
        <v>11.515774011040087</v>
      </c>
      <c r="M41" s="4">
        <f t="shared" si="4"/>
        <v>5.7300572661441178</v>
      </c>
      <c r="N41">
        <f t="shared" si="4"/>
        <v>3.0888141661980559</v>
      </c>
      <c r="O41">
        <f t="shared" si="4"/>
        <v>0.59274475825424333</v>
      </c>
      <c r="P41" s="4">
        <f t="shared" si="4"/>
        <v>3.5002352617143122E-2</v>
      </c>
      <c r="Q41">
        <f t="shared" si="4"/>
        <v>0.12910703834192133</v>
      </c>
      <c r="R41" s="4">
        <f t="shared" si="4"/>
        <v>8.2628504538829653E-2</v>
      </c>
      <c r="S41" s="4">
        <f t="shared" si="4"/>
        <v>2.869045296487141E-2</v>
      </c>
      <c r="T41" s="4">
        <f t="shared" si="4"/>
        <v>0.1222213296303522</v>
      </c>
      <c r="U41" s="4">
        <f t="shared" si="4"/>
        <v>5.5820145288453809</v>
      </c>
      <c r="V41">
        <f t="shared" si="4"/>
        <v>2.1437506455351918</v>
      </c>
      <c r="W41">
        <f t="shared" si="5"/>
        <v>0.1302546564605162</v>
      </c>
      <c r="X41" s="4">
        <f t="shared" si="5"/>
        <v>1.7214271778922846E-2</v>
      </c>
    </row>
    <row r="42" spans="1:24" x14ac:dyDescent="0.25">
      <c r="A42" s="8">
        <v>19</v>
      </c>
      <c r="G42">
        <f t="shared" si="4"/>
        <v>67.716509166464135</v>
      </c>
      <c r="H42">
        <f t="shared" si="4"/>
        <v>47.949161507998909</v>
      </c>
      <c r="I42" s="4">
        <f t="shared" si="4"/>
        <v>4.6816399083115305</v>
      </c>
      <c r="J42">
        <f t="shared" si="4"/>
        <v>95.232104307547132</v>
      </c>
      <c r="K42">
        <f t="shared" si="4"/>
        <v>22.387903221963295</v>
      </c>
      <c r="L42" s="4">
        <f t="shared" si="4"/>
        <v>15.607054865350431</v>
      </c>
      <c r="M42" s="4">
        <f t="shared" si="4"/>
        <v>9.0068194490113935</v>
      </c>
      <c r="N42">
        <f t="shared" si="4"/>
        <v>2.9021973780147827</v>
      </c>
      <c r="O42">
        <f t="shared" si="4"/>
        <v>0.6114153096868582</v>
      </c>
      <c r="P42" s="4">
        <f t="shared" si="4"/>
        <v>5.6709603938219888E-2</v>
      </c>
      <c r="Q42">
        <f t="shared" si="4"/>
        <v>0.39839688144833474</v>
      </c>
      <c r="R42" s="4">
        <f t="shared" si="4"/>
        <v>0.27115768605753882</v>
      </c>
      <c r="S42" s="4">
        <f t="shared" si="4"/>
        <v>0.13343436220757621</v>
      </c>
      <c r="T42" s="4">
        <f t="shared" si="4"/>
        <v>0.58186912948375202</v>
      </c>
      <c r="U42" s="4">
        <f t="shared" si="4"/>
        <v>5.5594473911199431</v>
      </c>
      <c r="V42">
        <f t="shared" si="4"/>
        <v>1.2909774543582999</v>
      </c>
      <c r="W42">
        <f t="shared" si="5"/>
        <v>0.10722404105965946</v>
      </c>
      <c r="X42" s="4">
        <f t="shared" si="5"/>
        <v>1.4296538807954595E-2</v>
      </c>
    </row>
    <row r="43" spans="1:24" x14ac:dyDescent="0.25">
      <c r="A43" s="8">
        <v>20</v>
      </c>
      <c r="G43">
        <f t="shared" si="4"/>
        <v>75.701080492811258</v>
      </c>
      <c r="H43">
        <f t="shared" si="4"/>
        <v>61.370889604217268</v>
      </c>
      <c r="I43" s="4">
        <f t="shared" si="4"/>
        <v>8.1374471348342983</v>
      </c>
      <c r="J43">
        <f t="shared" si="4"/>
        <v>91.542491883675964</v>
      </c>
      <c r="K43">
        <f t="shared" si="4"/>
        <v>14.267280767411638</v>
      </c>
      <c r="L43" s="4">
        <f t="shared" si="4"/>
        <v>9.8576027111047857</v>
      </c>
      <c r="M43" s="4">
        <f t="shared" si="4"/>
        <v>7.0463927703872411</v>
      </c>
      <c r="N43">
        <f t="shared" si="4"/>
        <v>1.9988887409251002</v>
      </c>
      <c r="O43">
        <f t="shared" si="4"/>
        <v>0.39445105179293843</v>
      </c>
      <c r="P43" s="4">
        <f t="shared" si="4"/>
        <v>4.8674984272469704E-2</v>
      </c>
      <c r="Q43">
        <f t="shared" si="4"/>
        <v>0.30398905272051835</v>
      </c>
      <c r="R43" s="4">
        <f t="shared" si="4"/>
        <v>0.20709828214041356</v>
      </c>
      <c r="S43" s="4">
        <f t="shared" si="4"/>
        <v>0.18459758186351719</v>
      </c>
      <c r="T43" s="4">
        <f t="shared" si="4"/>
        <v>0.26725321553374876</v>
      </c>
      <c r="U43" s="4">
        <f t="shared" si="4"/>
        <v>2.5040065022431821</v>
      </c>
      <c r="V43">
        <f t="shared" si="4"/>
        <v>0.48123946714668164</v>
      </c>
      <c r="W43">
        <f t="shared" si="5"/>
        <v>5.6481349674658239E-2</v>
      </c>
      <c r="X43" s="4">
        <f t="shared" si="5"/>
        <v>1.6990324698880933E-2</v>
      </c>
    </row>
    <row r="44" spans="1:24" x14ac:dyDescent="0.25">
      <c r="A44" s="8">
        <v>21</v>
      </c>
      <c r="G44">
        <f t="shared" si="4"/>
        <v>70.648288286826073</v>
      </c>
      <c r="H44">
        <f t="shared" si="4"/>
        <v>52.320358370291622</v>
      </c>
      <c r="I44" s="4">
        <f t="shared" si="4"/>
        <v>2.6683005408826976</v>
      </c>
      <c r="J44">
        <f t="shared" si="4"/>
        <v>96.784730309313488</v>
      </c>
      <c r="K44">
        <f t="shared" si="4"/>
        <v>24.394499470478678</v>
      </c>
      <c r="L44" s="4">
        <f t="shared" si="4"/>
        <v>17.111045287260247</v>
      </c>
      <c r="M44" s="4">
        <f t="shared" si="4"/>
        <v>9.6916603435193487</v>
      </c>
      <c r="N44">
        <f t="shared" si="4"/>
        <v>2.6244780867441135</v>
      </c>
      <c r="O44">
        <f t="shared" si="4"/>
        <v>0.29499003850695277</v>
      </c>
      <c r="P44" s="4">
        <f t="shared" si="4"/>
        <v>1.6636302034092245E-2</v>
      </c>
      <c r="Q44">
        <f t="shared" si="4"/>
        <v>0.35869490239359869</v>
      </c>
      <c r="R44" s="4">
        <f t="shared" si="4"/>
        <v>0.1854339031604916</v>
      </c>
      <c r="S44" s="4">
        <f t="shared" si="4"/>
        <v>0.13714805091519949</v>
      </c>
      <c r="T44" s="4">
        <f t="shared" si="4"/>
        <v>0.29904767314941427</v>
      </c>
      <c r="U44" s="4">
        <f t="shared" si="4"/>
        <v>6.9032538172197899</v>
      </c>
      <c r="V44">
        <f t="shared" si="4"/>
        <v>1.6835126131572862</v>
      </c>
      <c r="W44">
        <f t="shared" si="5"/>
        <v>4.9503142638030587E-2</v>
      </c>
      <c r="X44" s="4">
        <f t="shared" si="5"/>
        <v>2.0288173212307616E-3</v>
      </c>
    </row>
    <row r="45" spans="1:24" x14ac:dyDescent="0.25">
      <c r="A45" s="8">
        <v>22</v>
      </c>
      <c r="G45">
        <f t="shared" si="4"/>
        <v>74.089385935466396</v>
      </c>
      <c r="H45">
        <f t="shared" si="4"/>
        <v>63.559536639517553</v>
      </c>
      <c r="I45" s="4">
        <f t="shared" si="4"/>
        <v>4.9798884589789347</v>
      </c>
      <c r="J45">
        <f t="shared" si="4"/>
        <v>94.348156392996586</v>
      </c>
      <c r="K45">
        <f t="shared" si="4"/>
        <v>18.890125616155192</v>
      </c>
      <c r="L45" s="4">
        <f t="shared" si="4"/>
        <v>10.234801505273758</v>
      </c>
      <c r="M45" s="4">
        <f t="shared" si="4"/>
        <v>6.3591338197793918</v>
      </c>
      <c r="N45">
        <f t="shared" si="4"/>
        <v>2.2838230184390147</v>
      </c>
      <c r="O45">
        <f t="shared" si="4"/>
        <v>0.35688415399021217</v>
      </c>
      <c r="P45" s="4">
        <f t="shared" si="4"/>
        <v>2.6501298563629618E-2</v>
      </c>
      <c r="Q45">
        <f t="shared" si="4"/>
        <v>0.13132865732643123</v>
      </c>
      <c r="R45" s="4">
        <f t="shared" si="4"/>
        <v>8.598199089533165E-2</v>
      </c>
      <c r="S45" s="4">
        <f t="shared" si="4"/>
        <v>2.2967792088479003E-2</v>
      </c>
      <c r="T45" s="4">
        <f t="shared" si="4"/>
        <v>0.11837246691754563</v>
      </c>
      <c r="U45" s="4">
        <f t="shared" si="4"/>
        <v>3.5823866480568656</v>
      </c>
      <c r="V45">
        <f t="shared" si="4"/>
        <v>1.2008032838053508</v>
      </c>
      <c r="W45">
        <f t="shared" si="5"/>
        <v>0.10247168777936787</v>
      </c>
      <c r="X45" s="4">
        <f t="shared" si="5"/>
        <v>1.4134025900602464E-2</v>
      </c>
    </row>
    <row r="46" spans="1:24" x14ac:dyDescent="0.25">
      <c r="A46" s="8">
        <v>23</v>
      </c>
      <c r="G46">
        <f t="shared" si="4"/>
        <v>71.88430147739642</v>
      </c>
      <c r="H46">
        <f t="shared" si="4"/>
        <v>54.987059795937718</v>
      </c>
      <c r="I46" s="4">
        <f t="shared" si="4"/>
        <v>7.3481389141068556</v>
      </c>
      <c r="J46">
        <f t="shared" si="4"/>
        <v>90.413409032397936</v>
      </c>
      <c r="K46">
        <f t="shared" si="4"/>
        <v>10.171497224518186</v>
      </c>
      <c r="L46" s="4">
        <f t="shared" si="4"/>
        <v>7.8512937945736967</v>
      </c>
      <c r="M46" s="4">
        <f t="shared" si="4"/>
        <v>4.830106186456371</v>
      </c>
      <c r="N46">
        <f t="shared" si="4"/>
        <v>1.280470454329887</v>
      </c>
      <c r="O46">
        <f t="shared" si="4"/>
        <v>0.33423214680921215</v>
      </c>
      <c r="P46" s="4">
        <f t="shared" si="4"/>
        <v>1.490494708743784E-2</v>
      </c>
      <c r="Q46">
        <f t="shared" si="4"/>
        <v>0.18111769036553255</v>
      </c>
      <c r="R46" s="4">
        <f t="shared" si="4"/>
        <v>0.13685451416647471</v>
      </c>
      <c r="S46" s="4">
        <f t="shared" si="4"/>
        <v>3.3423214680921215E-2</v>
      </c>
      <c r="T46" s="4">
        <f t="shared" si="4"/>
        <v>0.13233786353391777</v>
      </c>
      <c r="U46" s="4">
        <f t="shared" si="4"/>
        <v>2.6133340559974347</v>
      </c>
      <c r="V46">
        <f t="shared" si="4"/>
        <v>0.50360654553009676</v>
      </c>
      <c r="W46">
        <f t="shared" si="5"/>
        <v>1.9873262783250453E-2</v>
      </c>
      <c r="X46" s="4">
        <f t="shared" si="5"/>
        <v>1.3549951897670763E-3</v>
      </c>
    </row>
    <row r="47" spans="1:24" x14ac:dyDescent="0.25">
      <c r="A47" s="8">
        <v>24</v>
      </c>
      <c r="G47">
        <f t="shared" si="4"/>
        <v>78.836809946619454</v>
      </c>
      <c r="H47">
        <f t="shared" si="4"/>
        <v>58.777838420681306</v>
      </c>
      <c r="I47" s="4">
        <f t="shared" si="4"/>
        <v>9.1139628066719034</v>
      </c>
      <c r="J47">
        <f t="shared" si="4"/>
        <v>90.243074506462904</v>
      </c>
      <c r="K47">
        <f t="shared" si="4"/>
        <v>20.653345935224504</v>
      </c>
      <c r="L47" s="4">
        <f t="shared" si="4"/>
        <v>11.56933480651216</v>
      </c>
      <c r="M47" s="4">
        <f t="shared" si="4"/>
        <v>7.7055683497291039</v>
      </c>
      <c r="N47">
        <f t="shared" si="4"/>
        <v>1.9801387095485949</v>
      </c>
      <c r="O47">
        <f t="shared" si="4"/>
        <v>0.63830353696037057</v>
      </c>
      <c r="P47" s="4">
        <f t="shared" si="4"/>
        <v>5.3247427483659696E-2</v>
      </c>
      <c r="Q47">
        <f t="shared" si="4"/>
        <v>0.45859346920301919</v>
      </c>
      <c r="R47" s="4">
        <f t="shared" si="4"/>
        <v>0.29951677959558581</v>
      </c>
      <c r="S47" s="4">
        <f t="shared" si="4"/>
        <v>0.11048841202859387</v>
      </c>
      <c r="T47" s="4">
        <f t="shared" si="4"/>
        <v>0.25425646623447506</v>
      </c>
      <c r="U47" s="4">
        <f t="shared" si="4"/>
        <v>2.4799989350514506</v>
      </c>
      <c r="V47">
        <f t="shared" si="4"/>
        <v>0.83731579718054872</v>
      </c>
      <c r="W47">
        <f t="shared" si="5"/>
        <v>0.32148134343259538</v>
      </c>
      <c r="X47" s="4">
        <f t="shared" si="5"/>
        <v>4.1932349143382008E-2</v>
      </c>
    </row>
    <row r="48" spans="1:24" x14ac:dyDescent="0.25">
      <c r="A48" s="8">
        <v>25</v>
      </c>
      <c r="G48">
        <f t="shared" si="4"/>
        <v>84.272356179988606</v>
      </c>
      <c r="H48">
        <f t="shared" si="4"/>
        <v>49.921682172014428</v>
      </c>
      <c r="I48" s="4">
        <f t="shared" si="4"/>
        <v>4.2600151889120941</v>
      </c>
      <c r="J48">
        <f t="shared" si="4"/>
        <v>94.778811467628628</v>
      </c>
      <c r="K48">
        <f t="shared" si="4"/>
        <v>32.271691665084489</v>
      </c>
      <c r="L48" s="4">
        <f t="shared" si="4"/>
        <v>23.19394342130245</v>
      </c>
      <c r="M48" s="4">
        <f t="shared" si="4"/>
        <v>14.382001139168407</v>
      </c>
      <c r="N48">
        <f t="shared" si="4"/>
        <v>7.7463451680273394</v>
      </c>
      <c r="O48">
        <f t="shared" si="4"/>
        <v>1.4619327890639833</v>
      </c>
      <c r="P48" s="4">
        <f t="shared" si="4"/>
        <v>5.4585152838427943E-2</v>
      </c>
      <c r="Q48">
        <f t="shared" si="4"/>
        <v>0.82589709512056209</v>
      </c>
      <c r="R48" s="4">
        <f t="shared" si="4"/>
        <v>0.48651984051642294</v>
      </c>
      <c r="S48" s="4">
        <f t="shared" si="4"/>
        <v>0.66214163660527814</v>
      </c>
      <c r="T48" s="4">
        <f t="shared" si="4"/>
        <v>0.41294854756028104</v>
      </c>
      <c r="U48" s="4">
        <f t="shared" si="4"/>
        <v>6.3223846591987849</v>
      </c>
      <c r="V48">
        <f t="shared" si="4"/>
        <v>3.1469527245111069</v>
      </c>
      <c r="W48">
        <f t="shared" si="5"/>
        <v>0.39396240744256689</v>
      </c>
      <c r="X48" s="4">
        <f t="shared" si="5"/>
        <v>2.6105942661856844E-2</v>
      </c>
    </row>
    <row r="49" spans="1:24" x14ac:dyDescent="0.25">
      <c r="A49" s="8">
        <v>26</v>
      </c>
      <c r="G49">
        <f t="shared" si="4"/>
        <v>60.838590858749889</v>
      </c>
      <c r="H49">
        <f t="shared" si="4"/>
        <v>42.01353890568808</v>
      </c>
      <c r="I49" s="4">
        <f t="shared" si="4"/>
        <v>1.5822351638232475</v>
      </c>
      <c r="J49">
        <f t="shared" si="4"/>
        <v>98.102313311183281</v>
      </c>
      <c r="K49">
        <f t="shared" si="4"/>
        <v>23.780191884122896</v>
      </c>
      <c r="L49" s="4">
        <f t="shared" si="4"/>
        <v>16.653600627169894</v>
      </c>
      <c r="M49" s="4">
        <f t="shared" si="4"/>
        <v>9.8157066238598318</v>
      </c>
      <c r="N49">
        <f t="shared" si="4"/>
        <v>1.426064882218987</v>
      </c>
      <c r="O49">
        <f t="shared" si="4"/>
        <v>0.47659934545364047</v>
      </c>
      <c r="P49" s="4">
        <f t="shared" si="4"/>
        <v>2.4887694279563468E-2</v>
      </c>
      <c r="Q49">
        <f t="shared" si="4"/>
        <v>0.99239680939759334</v>
      </c>
      <c r="R49" s="4">
        <f t="shared" si="4"/>
        <v>0.64645785891166108</v>
      </c>
      <c r="S49" s="4">
        <f t="shared" si="4"/>
        <v>8.2129391122559445E-2</v>
      </c>
      <c r="T49" s="4">
        <f t="shared" si="4"/>
        <v>0.29118602307089259</v>
      </c>
      <c r="U49" s="4">
        <f t="shared" si="4"/>
        <v>5.6208857530394098</v>
      </c>
      <c r="V49">
        <f t="shared" si="4"/>
        <v>0.70992147932454797</v>
      </c>
      <c r="W49">
        <f t="shared" si="5"/>
        <v>9.457323826234118E-2</v>
      </c>
      <c r="X49" s="4">
        <f t="shared" si="5"/>
        <v>6.221923569890867E-3</v>
      </c>
    </row>
    <row r="50" spans="1:24" x14ac:dyDescent="0.25">
      <c r="A50" s="8">
        <v>27</v>
      </c>
      <c r="G50">
        <f t="shared" si="4"/>
        <v>59.952725736429592</v>
      </c>
      <c r="H50">
        <f t="shared" si="4"/>
        <v>39.566519040820495</v>
      </c>
      <c r="I50" s="4">
        <f t="shared" si="4"/>
        <v>5.6787389644823865</v>
      </c>
      <c r="J50">
        <f t="shared" si="4"/>
        <v>93.177282130474055</v>
      </c>
      <c r="K50">
        <f t="shared" si="4"/>
        <v>21.620509309169314</v>
      </c>
      <c r="L50" s="4">
        <f t="shared" si="4"/>
        <v>16.973937239590921</v>
      </c>
      <c r="M50" s="4">
        <f t="shared" si="4"/>
        <v>10.177078173712887</v>
      </c>
      <c r="N50">
        <f t="shared" si="4"/>
        <v>2.6991492089391333</v>
      </c>
      <c r="O50">
        <f t="shared" si="4"/>
        <v>0.56925788875615513</v>
      </c>
      <c r="P50" s="4">
        <f t="shared" si="4"/>
        <v>3.6420850208327264E-3</v>
      </c>
      <c r="Q50">
        <f t="shared" si="4"/>
        <v>0.27716267008537049</v>
      </c>
      <c r="R50" s="4">
        <f t="shared" si="4"/>
        <v>0.17518428950205414</v>
      </c>
      <c r="S50" s="4">
        <f t="shared" si="4"/>
        <v>7.9033244952070161E-2</v>
      </c>
      <c r="T50" s="4">
        <f t="shared" si="4"/>
        <v>0.19958625914163342</v>
      </c>
      <c r="U50" s="4">
        <f t="shared" si="4"/>
        <v>5.8262434078261123</v>
      </c>
      <c r="V50">
        <f t="shared" si="4"/>
        <v>1.0387226479414935</v>
      </c>
      <c r="W50">
        <f t="shared" si="5"/>
        <v>7.7576410943737073E-2</v>
      </c>
      <c r="X50" s="4">
        <f t="shared" si="5"/>
        <v>2.5494595145829084E-3</v>
      </c>
    </row>
    <row r="51" spans="1:24" x14ac:dyDescent="0.25">
      <c r="A51" s="8">
        <v>28</v>
      </c>
      <c r="G51">
        <f t="shared" si="4"/>
        <v>76.617472969773502</v>
      </c>
      <c r="H51">
        <f t="shared" si="4"/>
        <v>43.341488438165889</v>
      </c>
      <c r="I51" s="4">
        <f t="shared" si="4"/>
        <v>4.5521269039539103</v>
      </c>
      <c r="J51">
        <f t="shared" si="4"/>
        <v>95.00591902770104</v>
      </c>
      <c r="K51">
        <f t="shared" si="4"/>
        <v>28.637045221371636</v>
      </c>
      <c r="L51" s="4">
        <f t="shared" si="4"/>
        <v>20.896535395785651</v>
      </c>
      <c r="M51" s="4">
        <f t="shared" si="4"/>
        <v>13.803172598847762</v>
      </c>
      <c r="N51">
        <f t="shared" si="4"/>
        <v>3.0194933312287899</v>
      </c>
      <c r="O51">
        <f t="shared" si="4"/>
        <v>1.1080419856364927</v>
      </c>
      <c r="P51" s="4">
        <f t="shared" si="4"/>
        <v>8.3655591508168259E-2</v>
      </c>
      <c r="Q51">
        <f t="shared" si="4"/>
        <v>1.2264225396574857</v>
      </c>
      <c r="R51" s="4">
        <f t="shared" si="4"/>
        <v>0.6645095099045063</v>
      </c>
      <c r="S51" s="4">
        <f t="shared" si="4"/>
        <v>0.34409281035435246</v>
      </c>
      <c r="T51" s="4">
        <f t="shared" si="4"/>
        <v>0.59663799226580383</v>
      </c>
      <c r="U51" s="4">
        <f t="shared" si="4"/>
        <v>5.0682661194854397</v>
      </c>
      <c r="V51">
        <f t="shared" si="4"/>
        <v>0.86496724804672087</v>
      </c>
      <c r="W51">
        <f t="shared" si="5"/>
        <v>0.20519296030305423</v>
      </c>
      <c r="X51" s="4">
        <f>100*(X15/$F15)</f>
        <v>5.2087443769236838E-2</v>
      </c>
    </row>
    <row r="52" spans="1:24" x14ac:dyDescent="0.25">
      <c r="A52" s="8">
        <v>29</v>
      </c>
      <c r="G52">
        <f t="shared" si="4"/>
        <v>80.650621134541893</v>
      </c>
      <c r="H52">
        <f t="shared" si="4"/>
        <v>48.865777456062851</v>
      </c>
      <c r="I52" s="4">
        <f t="shared" si="4"/>
        <v>2.48879615929147</v>
      </c>
      <c r="J52">
        <f t="shared" si="4"/>
        <v>97.365367624359962</v>
      </c>
      <c r="K52">
        <f t="shared" si="4"/>
        <v>27.363983777051555</v>
      </c>
      <c r="L52" s="4">
        <f t="shared" si="4"/>
        <v>20.386199848841294</v>
      </c>
      <c r="M52" s="4">
        <f t="shared" si="4"/>
        <v>13.389254957899107</v>
      </c>
      <c r="N52">
        <f t="shared" si="4"/>
        <v>2.3578629139566325</v>
      </c>
      <c r="O52">
        <f t="shared" si="4"/>
        <v>0.93995167179399841</v>
      </c>
      <c r="P52" s="4">
        <f t="shared" si="4"/>
        <v>0.14902971013721378</v>
      </c>
      <c r="Q52">
        <f t="shared" si="4"/>
        <v>1.2305596065615652</v>
      </c>
      <c r="R52" s="4">
        <f t="shared" si="4"/>
        <v>0.81327641817736662</v>
      </c>
      <c r="S52" s="4">
        <f t="shared" si="4"/>
        <v>0.20331910454434166</v>
      </c>
      <c r="T52" s="4">
        <f t="shared" si="4"/>
        <v>0.98040259311695643</v>
      </c>
      <c r="U52" s="4">
        <f t="shared" si="4"/>
        <v>4.2377662575446289</v>
      </c>
      <c r="V52">
        <f t="shared" si="4"/>
        <v>0.55673241715544863</v>
      </c>
      <c r="W52">
        <f t="shared" si="5"/>
        <v>0.15115870599631684</v>
      </c>
      <c r="X52" s="4">
        <f t="shared" si="5"/>
        <v>5.10959006184733E-2</v>
      </c>
    </row>
    <row r="53" spans="1:24" x14ac:dyDescent="0.25">
      <c r="A53" s="8">
        <v>30</v>
      </c>
      <c r="G53">
        <f>100*(G17/$F17)</f>
        <v>66.572176188399482</v>
      </c>
      <c r="H53">
        <f>100*(H17/$F17)</f>
        <v>39.073024179871105</v>
      </c>
      <c r="I53" s="4">
        <f t="shared" si="4"/>
        <v>4.7051412511508452</v>
      </c>
      <c r="J53">
        <f>100*(J17/$F17)</f>
        <v>93.572224645055002</v>
      </c>
      <c r="K53">
        <f t="shared" si="4"/>
        <v>28.50947327615448</v>
      </c>
      <c r="L53" s="4">
        <f t="shared" si="4"/>
        <v>22.520230653680283</v>
      </c>
      <c r="M53" s="4">
        <f t="shared" si="4"/>
        <v>13.328003101225953</v>
      </c>
      <c r="N53">
        <f t="shared" si="4"/>
        <v>4.6494160973009642</v>
      </c>
      <c r="O53">
        <f t="shared" si="4"/>
        <v>0.80559189804719677</v>
      </c>
      <c r="P53" s="4">
        <f t="shared" si="4"/>
        <v>2.7862576924940641E-2</v>
      </c>
      <c r="Q53">
        <f t="shared" si="4"/>
        <v>0.60086252846828514</v>
      </c>
      <c r="R53" s="4">
        <f t="shared" si="4"/>
        <v>0.37553908029267818</v>
      </c>
      <c r="S53" s="4">
        <f t="shared" si="4"/>
        <v>6.7839317730290255E-2</v>
      </c>
      <c r="T53" s="4">
        <f t="shared" si="4"/>
        <v>0.34767650336773759</v>
      </c>
      <c r="U53" s="4">
        <f t="shared" si="4"/>
        <v>8.7016039152977669</v>
      </c>
      <c r="V53">
        <f t="shared" si="4"/>
        <v>2.3162281339341959</v>
      </c>
      <c r="W53">
        <f t="shared" si="5"/>
        <v>0.11993022241604885</v>
      </c>
      <c r="X53" s="4">
        <f t="shared" si="5"/>
        <v>1.2114163880408974E-2</v>
      </c>
    </row>
    <row r="54" spans="1:24" s="10" customFormat="1" x14ac:dyDescent="0.25">
      <c r="A54" s="10" t="s">
        <v>87</v>
      </c>
    </row>
    <row r="55" spans="1:24" ht="27" customHeight="1" x14ac:dyDescent="0.25">
      <c r="A55" s="10" t="s">
        <v>87</v>
      </c>
      <c r="B55" s="1" t="s">
        <v>70</v>
      </c>
      <c r="C55" s="1" t="s">
        <v>88</v>
      </c>
      <c r="D55" s="1" t="s">
        <v>89</v>
      </c>
      <c r="E55" s="11" t="s">
        <v>90</v>
      </c>
      <c r="F55" s="1"/>
      <c r="G55" s="1"/>
      <c r="H55" s="1"/>
      <c r="I55" s="3" t="s">
        <v>18</v>
      </c>
      <c r="J55" s="1" t="s">
        <v>77</v>
      </c>
      <c r="K55" s="1" t="s">
        <v>78</v>
      </c>
      <c r="L55" s="3" t="s">
        <v>12</v>
      </c>
      <c r="M55" s="3" t="s">
        <v>79</v>
      </c>
      <c r="P55" s="4" t="s">
        <v>80</v>
      </c>
      <c r="R55" s="4" t="s">
        <v>25</v>
      </c>
      <c r="S55" s="4" t="s">
        <v>81</v>
      </c>
      <c r="T55" s="4" t="s">
        <v>82</v>
      </c>
      <c r="U55" s="4" t="s">
        <v>83</v>
      </c>
      <c r="X55" s="4" t="s">
        <v>84</v>
      </c>
    </row>
    <row r="56" spans="1:24" s="6" customFormat="1" x14ac:dyDescent="0.25">
      <c r="A56" s="12">
        <v>16</v>
      </c>
      <c r="B56" s="6">
        <v>1010000</v>
      </c>
      <c r="C56" s="6">
        <v>167262</v>
      </c>
      <c r="D56" s="6">
        <v>1875000</v>
      </c>
      <c r="E56" s="6">
        <f>(C56/B56)*D56</f>
        <v>310511.1386138614</v>
      </c>
      <c r="I56" s="6">
        <f t="shared" ref="I56:I70" si="6">I22*$E56</f>
        <v>1288923.2673267329</v>
      </c>
      <c r="L56" s="6">
        <f t="shared" ref="L56:M70" si="7">L22*$E56</f>
        <v>6126237.6237623757</v>
      </c>
      <c r="M56" s="6">
        <f t="shared" si="7"/>
        <v>3874566.8316831682</v>
      </c>
      <c r="P56" s="6">
        <f t="shared" ref="P56:P70" si="8">P22*$E56</f>
        <v>4084.1584158415844</v>
      </c>
      <c r="R56" s="6">
        <f t="shared" ref="R56:U70" si="9">R22*$E56</f>
        <v>62561.881188118816</v>
      </c>
      <c r="S56" s="6">
        <f t="shared" si="9"/>
        <v>38242.574257425746</v>
      </c>
      <c r="T56" s="6">
        <f t="shared" si="9"/>
        <v>106373.76237623763</v>
      </c>
      <c r="U56" s="6">
        <f t="shared" si="9"/>
        <v>1952970.2970297029</v>
      </c>
      <c r="X56" s="6">
        <f t="shared" ref="X56:X70" si="10">X22*$E56</f>
        <v>928.21782178217825</v>
      </c>
    </row>
    <row r="57" spans="1:24" s="6" customFormat="1" x14ac:dyDescent="0.25">
      <c r="A57" s="12">
        <v>17</v>
      </c>
      <c r="B57" s="6">
        <v>699000</v>
      </c>
      <c r="C57" s="6">
        <v>139243</v>
      </c>
      <c r="D57" s="6">
        <v>1155000</v>
      </c>
      <c r="E57" s="6">
        <f t="shared" ref="E57:E70" si="11">(C57/B57)*D57</f>
        <v>230079.63519313306</v>
      </c>
      <c r="I57" s="6">
        <f t="shared" si="6"/>
        <v>2659969.9570815451</v>
      </c>
      <c r="L57" s="6">
        <f t="shared" si="7"/>
        <v>3108585.8369098715</v>
      </c>
      <c r="M57" s="6">
        <f t="shared" si="7"/>
        <v>2148564.3776824037</v>
      </c>
      <c r="P57" s="6">
        <f t="shared" si="8"/>
        <v>9583.6909871244643</v>
      </c>
      <c r="R57" s="6">
        <f t="shared" si="9"/>
        <v>43457.081545064379</v>
      </c>
      <c r="S57" s="6">
        <f t="shared" si="9"/>
        <v>14706.008583690988</v>
      </c>
      <c r="T57" s="6">
        <f t="shared" si="9"/>
        <v>47422.746781115879</v>
      </c>
      <c r="U57" s="6">
        <f t="shared" si="9"/>
        <v>854105.15021459234</v>
      </c>
      <c r="X57" s="6">
        <f t="shared" si="10"/>
        <v>6774.678111587983</v>
      </c>
    </row>
    <row r="58" spans="1:24" s="6" customFormat="1" x14ac:dyDescent="0.25">
      <c r="A58" s="12">
        <v>18</v>
      </c>
      <c r="B58" s="6">
        <v>1070000</v>
      </c>
      <c r="C58" s="6">
        <v>215931</v>
      </c>
      <c r="D58" s="6">
        <v>1290000</v>
      </c>
      <c r="E58" s="6">
        <f t="shared" si="11"/>
        <v>260328.02803738316</v>
      </c>
      <c r="I58" s="6">
        <f t="shared" si="6"/>
        <v>993782.24299065408</v>
      </c>
      <c r="L58" s="6">
        <f t="shared" si="7"/>
        <v>2419533.6448598127</v>
      </c>
      <c r="M58" s="6">
        <f t="shared" si="7"/>
        <v>1203919.6261682243</v>
      </c>
      <c r="P58" s="6">
        <f t="shared" si="8"/>
        <v>7354.2056074766351</v>
      </c>
      <c r="R58" s="6">
        <f t="shared" si="9"/>
        <v>17360.747663551399</v>
      </c>
      <c r="S58" s="6">
        <f t="shared" si="9"/>
        <v>6028.0373831775705</v>
      </c>
      <c r="T58" s="6">
        <f t="shared" si="9"/>
        <v>25679.439252336448</v>
      </c>
      <c r="U58" s="6">
        <f t="shared" si="9"/>
        <v>1172814.9532710279</v>
      </c>
      <c r="X58" s="6">
        <f t="shared" si="10"/>
        <v>3616.8224299065419</v>
      </c>
    </row>
    <row r="59" spans="1:24" s="6" customFormat="1" x14ac:dyDescent="0.25">
      <c r="A59" s="12">
        <v>19</v>
      </c>
      <c r="B59" s="6">
        <v>1090000</v>
      </c>
      <c r="C59" s="6">
        <v>249504</v>
      </c>
      <c r="D59" s="6">
        <v>1670000</v>
      </c>
      <c r="E59" s="6">
        <f t="shared" si="11"/>
        <v>382267.59633027524</v>
      </c>
      <c r="I59" s="6">
        <f t="shared" si="6"/>
        <v>1505144.9541284405</v>
      </c>
      <c r="L59" s="6">
        <f t="shared" si="7"/>
        <v>5017660.5504587153</v>
      </c>
      <c r="M59" s="6">
        <f t="shared" si="7"/>
        <v>2895688.0733944955</v>
      </c>
      <c r="P59" s="6">
        <f t="shared" si="8"/>
        <v>18232.110091743121</v>
      </c>
      <c r="R59" s="6">
        <f t="shared" si="9"/>
        <v>87177.064220183485</v>
      </c>
      <c r="S59" s="6">
        <f t="shared" si="9"/>
        <v>42899.082568807338</v>
      </c>
      <c r="T59" s="6">
        <f t="shared" si="9"/>
        <v>187070.64220183485</v>
      </c>
      <c r="U59" s="6">
        <f t="shared" si="9"/>
        <v>1787359.6330275228</v>
      </c>
      <c r="X59" s="6">
        <f t="shared" si="10"/>
        <v>4596.3302752293584</v>
      </c>
    </row>
    <row r="60" spans="1:24" s="6" customFormat="1" x14ac:dyDescent="0.25">
      <c r="A60" s="12">
        <v>20</v>
      </c>
      <c r="B60" s="6">
        <v>1120000</v>
      </c>
      <c r="C60" s="6">
        <v>260500</v>
      </c>
      <c r="D60" s="6">
        <v>1635000.0000000002</v>
      </c>
      <c r="E60" s="6">
        <f t="shared" si="11"/>
        <v>380283.48214285722</v>
      </c>
      <c r="I60" s="6">
        <f t="shared" si="6"/>
        <v>2586949.5535714291</v>
      </c>
      <c r="L60" s="6">
        <f t="shared" si="7"/>
        <v>3133798.6607142859</v>
      </c>
      <c r="M60" s="6">
        <f t="shared" si="7"/>
        <v>2240095.9821428577</v>
      </c>
      <c r="P60" s="6">
        <f t="shared" si="8"/>
        <v>15474.107142857147</v>
      </c>
      <c r="R60" s="6">
        <f t="shared" si="9"/>
        <v>65837.946428571435</v>
      </c>
      <c r="S60" s="6">
        <f t="shared" si="9"/>
        <v>58684.821428571442</v>
      </c>
      <c r="T60" s="6">
        <f t="shared" si="9"/>
        <v>84961.607142857159</v>
      </c>
      <c r="U60" s="6">
        <f t="shared" si="9"/>
        <v>796040.62500000012</v>
      </c>
      <c r="X60" s="6">
        <f t="shared" si="10"/>
        <v>5401.3392857142871</v>
      </c>
    </row>
    <row r="61" spans="1:24" s="6" customFormat="1" x14ac:dyDescent="0.25">
      <c r="A61" s="12">
        <v>21</v>
      </c>
      <c r="B61" s="6">
        <v>1230000</v>
      </c>
      <c r="C61" s="6">
        <v>293807</v>
      </c>
      <c r="D61" s="6">
        <v>2220000</v>
      </c>
      <c r="E61" s="6">
        <f t="shared" si="11"/>
        <v>530285.80487804872</v>
      </c>
      <c r="I61" s="6">
        <f t="shared" si="6"/>
        <v>1186887.8048780488</v>
      </c>
      <c r="L61" s="6">
        <f t="shared" si="7"/>
        <v>7611170.7317073168</v>
      </c>
      <c r="M61" s="6">
        <f t="shared" si="7"/>
        <v>4310951.2195121944</v>
      </c>
      <c r="P61" s="6">
        <f t="shared" si="8"/>
        <v>7399.9999999999991</v>
      </c>
      <c r="R61" s="6">
        <f t="shared" si="9"/>
        <v>82482.926829268283</v>
      </c>
      <c r="S61" s="6">
        <f t="shared" si="9"/>
        <v>61004.878048780483</v>
      </c>
      <c r="T61" s="6">
        <f t="shared" si="9"/>
        <v>133019.51219512193</v>
      </c>
      <c r="U61" s="6">
        <f t="shared" si="9"/>
        <v>3070639.0243902435</v>
      </c>
      <c r="X61" s="6">
        <f t="shared" si="10"/>
        <v>902.43902439024384</v>
      </c>
    </row>
    <row r="62" spans="1:24" s="6" customFormat="1" x14ac:dyDescent="0.25">
      <c r="A62" s="12">
        <v>22</v>
      </c>
      <c r="B62" s="6">
        <v>886000</v>
      </c>
      <c r="C62" s="6">
        <v>196307</v>
      </c>
      <c r="D62" s="6">
        <v>1540000</v>
      </c>
      <c r="E62" s="6">
        <f t="shared" si="11"/>
        <v>341210.8126410835</v>
      </c>
      <c r="I62" s="6">
        <f t="shared" si="6"/>
        <v>1469778.7810383744</v>
      </c>
      <c r="L62" s="6">
        <f t="shared" si="7"/>
        <v>3020729.1196388262</v>
      </c>
      <c r="M62" s="6">
        <f t="shared" si="7"/>
        <v>1876853.2731376973</v>
      </c>
      <c r="P62" s="6">
        <f t="shared" si="8"/>
        <v>7821.6704288939045</v>
      </c>
      <c r="R62" s="6">
        <f t="shared" si="9"/>
        <v>25376.975169300222</v>
      </c>
      <c r="S62" s="6">
        <f t="shared" si="9"/>
        <v>6778.7810383747174</v>
      </c>
      <c r="T62" s="6">
        <f t="shared" si="9"/>
        <v>34936.794582392773</v>
      </c>
      <c r="U62" s="6">
        <f t="shared" si="9"/>
        <v>1057316.0270880361</v>
      </c>
      <c r="X62" s="6">
        <f t="shared" si="10"/>
        <v>4171.5575620767495</v>
      </c>
    </row>
    <row r="63" spans="1:24" s="6" customFormat="1" x14ac:dyDescent="0.25">
      <c r="A63" s="12">
        <v>23</v>
      </c>
      <c r="B63" s="6">
        <v>1010000</v>
      </c>
      <c r="C63" s="6">
        <v>251116</v>
      </c>
      <c r="D63" s="6">
        <v>1675000</v>
      </c>
      <c r="E63" s="6">
        <f t="shared" si="11"/>
        <v>416454.75247524749</v>
      </c>
      <c r="I63" s="6">
        <f t="shared" si="6"/>
        <v>2698076.7326732669</v>
      </c>
      <c r="L63" s="6">
        <f t="shared" si="7"/>
        <v>2882824.2574257427</v>
      </c>
      <c r="M63" s="6">
        <f t="shared" si="7"/>
        <v>1773509.9009900989</v>
      </c>
      <c r="P63" s="6">
        <f t="shared" si="8"/>
        <v>5472.772277227722</v>
      </c>
      <c r="R63" s="6">
        <f t="shared" si="9"/>
        <v>50249.999999999993</v>
      </c>
      <c r="S63" s="6">
        <f t="shared" si="9"/>
        <v>12272.277227722772</v>
      </c>
      <c r="T63" s="6">
        <f t="shared" si="9"/>
        <v>48591.584158415841</v>
      </c>
      <c r="U63" s="6">
        <f t="shared" si="9"/>
        <v>959559.40594059404</v>
      </c>
      <c r="X63" s="6">
        <f t="shared" si="10"/>
        <v>497.52475247524751</v>
      </c>
    </row>
    <row r="64" spans="1:24" s="6" customFormat="1" x14ac:dyDescent="0.25">
      <c r="A64" s="12">
        <v>24</v>
      </c>
      <c r="B64" s="6">
        <v>905000</v>
      </c>
      <c r="C64" s="6">
        <v>189390</v>
      </c>
      <c r="D64" s="6">
        <v>1005000.0000000001</v>
      </c>
      <c r="E64" s="6">
        <f t="shared" si="11"/>
        <v>210317.07182320446</v>
      </c>
      <c r="I64" s="6">
        <f t="shared" si="6"/>
        <v>1520603.8674033151</v>
      </c>
      <c r="L64" s="6">
        <f t="shared" si="7"/>
        <v>1930266.298342542</v>
      </c>
      <c r="M64" s="6">
        <f t="shared" si="7"/>
        <v>1285622.6519337019</v>
      </c>
      <c r="P64" s="6">
        <f t="shared" si="8"/>
        <v>8883.9779005524888</v>
      </c>
      <c r="R64" s="6">
        <f t="shared" si="9"/>
        <v>49972.375690607747</v>
      </c>
      <c r="S64" s="6">
        <f t="shared" si="9"/>
        <v>18434.254143646413</v>
      </c>
      <c r="T64" s="6">
        <f t="shared" si="9"/>
        <v>42420.994475138134</v>
      </c>
      <c r="U64" s="6">
        <f t="shared" si="9"/>
        <v>413771.27071823215</v>
      </c>
      <c r="X64" s="6">
        <f t="shared" si="10"/>
        <v>6996.1325966850836</v>
      </c>
    </row>
    <row r="65" spans="1:24" s="6" customFormat="1" x14ac:dyDescent="0.25">
      <c r="A65" s="12">
        <v>25</v>
      </c>
      <c r="B65" s="6">
        <v>436000</v>
      </c>
      <c r="C65" s="6">
        <v>53611</v>
      </c>
      <c r="D65" s="6">
        <v>455999.99999999994</v>
      </c>
      <c r="E65" s="6">
        <f t="shared" si="11"/>
        <v>56070.220183486228</v>
      </c>
      <c r="I65" s="6">
        <f t="shared" si="6"/>
        <v>187733.94495412841</v>
      </c>
      <c r="L65" s="6">
        <f t="shared" si="7"/>
        <v>1022130.2752293576</v>
      </c>
      <c r="M65" s="6">
        <f t="shared" si="7"/>
        <v>633798.16513761459</v>
      </c>
      <c r="P65" s="6">
        <f t="shared" si="8"/>
        <v>2405.5045871559628</v>
      </c>
      <c r="R65" s="6">
        <f t="shared" si="9"/>
        <v>21440.366972477059</v>
      </c>
      <c r="S65" s="6">
        <f t="shared" si="9"/>
        <v>29179.816513761467</v>
      </c>
      <c r="T65" s="6">
        <f t="shared" si="9"/>
        <v>18198.165137614676</v>
      </c>
      <c r="U65" s="6">
        <f t="shared" si="9"/>
        <v>278620.18348623847</v>
      </c>
      <c r="X65" s="6">
        <f t="shared" si="10"/>
        <v>1150.4587155963302</v>
      </c>
    </row>
    <row r="66" spans="1:24" s="6" customFormat="1" x14ac:dyDescent="0.25">
      <c r="A66" s="12">
        <v>26</v>
      </c>
      <c r="B66" s="6">
        <v>711000</v>
      </c>
      <c r="C66" s="6">
        <v>177696</v>
      </c>
      <c r="D66" s="6">
        <v>1315000</v>
      </c>
      <c r="E66" s="6">
        <f t="shared" si="11"/>
        <v>328650.12658227846</v>
      </c>
      <c r="I66" s="6">
        <f t="shared" si="6"/>
        <v>470329.81715893111</v>
      </c>
      <c r="L66" s="6">
        <f t="shared" si="7"/>
        <v>4950392.4050632911</v>
      </c>
      <c r="M66" s="6">
        <f t="shared" si="7"/>
        <v>2917783.4036568212</v>
      </c>
      <c r="P66" s="6">
        <f t="shared" si="8"/>
        <v>7398.0309423347398</v>
      </c>
      <c r="R66" s="6">
        <f t="shared" si="9"/>
        <v>192163.85372714486</v>
      </c>
      <c r="S66" s="6">
        <f t="shared" si="9"/>
        <v>24413.502109704641</v>
      </c>
      <c r="T66" s="6">
        <f t="shared" si="9"/>
        <v>86556.962025316447</v>
      </c>
      <c r="U66" s="6">
        <f t="shared" si="9"/>
        <v>1670845.2883263009</v>
      </c>
      <c r="X66" s="6">
        <f t="shared" si="10"/>
        <v>1849.507735583685</v>
      </c>
    </row>
    <row r="67" spans="1:24" s="6" customFormat="1" x14ac:dyDescent="0.25">
      <c r="A67" s="12">
        <v>27</v>
      </c>
      <c r="B67" s="6">
        <v>1110000</v>
      </c>
      <c r="C67" s="6">
        <v>301278</v>
      </c>
      <c r="D67" s="6">
        <v>2340000</v>
      </c>
      <c r="E67" s="6">
        <f t="shared" si="11"/>
        <v>635126.59459459467</v>
      </c>
      <c r="I67" s="6">
        <f t="shared" si="6"/>
        <v>3286962.1621621628</v>
      </c>
      <c r="L67" s="6">
        <f t="shared" si="7"/>
        <v>9824837.8378378395</v>
      </c>
      <c r="M67" s="6">
        <f t="shared" si="7"/>
        <v>5890686.4864864871</v>
      </c>
      <c r="P67" s="6">
        <f t="shared" si="8"/>
        <v>2108.1081081081084</v>
      </c>
      <c r="R67" s="6">
        <f t="shared" si="9"/>
        <v>101400.00000000001</v>
      </c>
      <c r="S67" s="6">
        <f t="shared" si="9"/>
        <v>45745.945945945947</v>
      </c>
      <c r="T67" s="6">
        <f t="shared" si="9"/>
        <v>115524.32432432435</v>
      </c>
      <c r="U67" s="6">
        <f t="shared" si="9"/>
        <v>3372340.5405405411</v>
      </c>
      <c r="X67" s="6">
        <f t="shared" si="10"/>
        <v>1475.6756756756758</v>
      </c>
    </row>
    <row r="68" spans="1:24" s="6" customFormat="1" x14ac:dyDescent="0.25">
      <c r="A68" s="12">
        <v>28</v>
      </c>
      <c r="B68" s="6">
        <v>467000</v>
      </c>
      <c r="C68" s="6">
        <v>78562</v>
      </c>
      <c r="D68" s="6">
        <v>660000</v>
      </c>
      <c r="E68" s="6">
        <f t="shared" si="11"/>
        <v>111029.80728051392</v>
      </c>
      <c r="I68" s="6">
        <f t="shared" si="6"/>
        <v>407588.86509635975</v>
      </c>
      <c r="L68" s="6">
        <f t="shared" si="7"/>
        <v>1871036.4025695932</v>
      </c>
      <c r="M68" s="6">
        <f t="shared" si="7"/>
        <v>1235910.0642398286</v>
      </c>
      <c r="P68" s="6">
        <f t="shared" si="8"/>
        <v>7490.3640256959316</v>
      </c>
      <c r="R68" s="6">
        <f t="shared" si="9"/>
        <v>59498.929336188448</v>
      </c>
      <c r="S68" s="6">
        <f t="shared" si="9"/>
        <v>30809.421841541756</v>
      </c>
      <c r="T68" s="6">
        <f t="shared" si="9"/>
        <v>53421.841541755894</v>
      </c>
      <c r="U68" s="6">
        <f t="shared" si="9"/>
        <v>453802.9978586724</v>
      </c>
      <c r="X68" s="6">
        <f t="shared" si="10"/>
        <v>4663.8115631691653</v>
      </c>
    </row>
    <row r="69" spans="1:24" s="6" customFormat="1" x14ac:dyDescent="0.25">
      <c r="A69" s="12">
        <v>29</v>
      </c>
      <c r="B69" s="6">
        <v>722000</v>
      </c>
      <c r="C69" s="6">
        <v>117087</v>
      </c>
      <c r="D69" s="6">
        <v>725000</v>
      </c>
      <c r="E69" s="6">
        <f t="shared" si="11"/>
        <v>117573.51108033241</v>
      </c>
      <c r="I69" s="6">
        <f t="shared" si="6"/>
        <v>234771.46814404431</v>
      </c>
      <c r="L69" s="6">
        <f t="shared" si="7"/>
        <v>1923057.4792243766</v>
      </c>
      <c r="M69" s="6">
        <f t="shared" si="7"/>
        <v>1263026.3157894737</v>
      </c>
      <c r="P69" s="6">
        <f t="shared" si="8"/>
        <v>14058.171745152355</v>
      </c>
      <c r="R69" s="6">
        <f t="shared" si="9"/>
        <v>76717.451523545693</v>
      </c>
      <c r="S69" s="6">
        <f t="shared" si="9"/>
        <v>19179.362880886423</v>
      </c>
      <c r="T69" s="6">
        <f t="shared" si="9"/>
        <v>92482.686980609418</v>
      </c>
      <c r="U69" s="6">
        <f t="shared" si="9"/>
        <v>399754.15512465371</v>
      </c>
      <c r="X69" s="6">
        <f t="shared" si="10"/>
        <v>4819.9445983379501</v>
      </c>
    </row>
    <row r="70" spans="1:24" s="6" customFormat="1" x14ac:dyDescent="0.25">
      <c r="A70" s="12">
        <v>30</v>
      </c>
      <c r="B70" s="6">
        <v>531000</v>
      </c>
      <c r="C70" s="6">
        <v>98978</v>
      </c>
      <c r="D70" s="6">
        <v>660000</v>
      </c>
      <c r="E70" s="6">
        <f t="shared" si="11"/>
        <v>123023.50282485875</v>
      </c>
      <c r="I70" s="6">
        <f t="shared" si="6"/>
        <v>482757.0621468926</v>
      </c>
      <c r="L70" s="6">
        <f t="shared" si="7"/>
        <v>2310621.4689265536</v>
      </c>
      <c r="M70" s="6">
        <f t="shared" si="7"/>
        <v>1367480.2259887005</v>
      </c>
      <c r="P70" s="6">
        <f t="shared" si="8"/>
        <v>2858.7570621468926</v>
      </c>
      <c r="R70" s="6">
        <f t="shared" si="9"/>
        <v>38531.073446327682</v>
      </c>
      <c r="S70" s="6">
        <f t="shared" si="9"/>
        <v>6960.4519774011296</v>
      </c>
      <c r="T70" s="6">
        <f t="shared" si="9"/>
        <v>35672.316384180784</v>
      </c>
      <c r="U70" s="6">
        <f t="shared" si="9"/>
        <v>892802.25988700555</v>
      </c>
      <c r="X70" s="6">
        <f t="shared" si="10"/>
        <v>1242.9378531073446</v>
      </c>
    </row>
    <row r="71" spans="1:24" s="10" customForma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D864-1B91-C64F-8801-664282C7C5E9}">
  <dimension ref="A1:X71"/>
  <sheetViews>
    <sheetView topLeftCell="A23" workbookViewId="0">
      <selection activeCell="B66" sqref="B66"/>
    </sheetView>
  </sheetViews>
  <sheetFormatPr defaultColWidth="11" defaultRowHeight="15.75" x14ac:dyDescent="0.25"/>
  <cols>
    <col min="1" max="1" width="52.375" bestFit="1" customWidth="1"/>
    <col min="9" max="9" width="10.875" style="4"/>
    <col min="12" max="13" width="10.875" style="4"/>
    <col min="16" max="16" width="10.875" style="4"/>
    <col min="18" max="21" width="10.875" style="4"/>
    <col min="24" max="24" width="10.875" style="4"/>
  </cols>
  <sheetData>
    <row r="1" spans="1:24" x14ac:dyDescent="0.25">
      <c r="A1" t="s">
        <v>31</v>
      </c>
      <c r="B1" t="s">
        <v>32</v>
      </c>
      <c r="C1" t="s">
        <v>33</v>
      </c>
      <c r="D1" t="s">
        <v>34</v>
      </c>
      <c r="E1" t="s">
        <v>157</v>
      </c>
      <c r="F1" t="s">
        <v>158</v>
      </c>
      <c r="G1" t="s">
        <v>159</v>
      </c>
      <c r="H1" t="s">
        <v>160</v>
      </c>
      <c r="I1" s="4" t="s">
        <v>161</v>
      </c>
      <c r="J1" t="s">
        <v>162</v>
      </c>
      <c r="K1" t="s">
        <v>163</v>
      </c>
      <c r="L1" s="4" t="s">
        <v>164</v>
      </c>
      <c r="M1" s="4" t="s">
        <v>165</v>
      </c>
      <c r="N1" t="s">
        <v>166</v>
      </c>
      <c r="O1" t="s">
        <v>167</v>
      </c>
      <c r="P1" s="4" t="s">
        <v>168</v>
      </c>
      <c r="Q1" t="s">
        <v>169</v>
      </c>
      <c r="R1" s="4" t="s">
        <v>170</v>
      </c>
      <c r="S1" s="4" t="s">
        <v>171</v>
      </c>
      <c r="T1" s="4" t="s">
        <v>172</v>
      </c>
      <c r="U1" s="4" t="s">
        <v>173</v>
      </c>
      <c r="V1" t="s">
        <v>174</v>
      </c>
      <c r="W1" t="s">
        <v>175</v>
      </c>
      <c r="X1" s="4" t="s">
        <v>176</v>
      </c>
    </row>
    <row r="3" spans="1:24" x14ac:dyDescent="0.25">
      <c r="A3" t="s">
        <v>177</v>
      </c>
      <c r="B3" s="1">
        <v>840000</v>
      </c>
      <c r="C3" s="1">
        <v>509000</v>
      </c>
      <c r="D3" s="1">
        <v>461000</v>
      </c>
      <c r="E3">
        <v>183156</v>
      </c>
      <c r="F3">
        <v>172809</v>
      </c>
      <c r="G3">
        <v>149106</v>
      </c>
      <c r="H3">
        <v>79280</v>
      </c>
      <c r="I3" s="4">
        <v>7518</v>
      </c>
      <c r="J3">
        <v>163244</v>
      </c>
      <c r="K3">
        <v>86053</v>
      </c>
      <c r="L3" s="4">
        <v>67342</v>
      </c>
      <c r="M3" s="4">
        <v>47181</v>
      </c>
      <c r="N3">
        <v>5846</v>
      </c>
      <c r="O3">
        <v>2033</v>
      </c>
      <c r="P3" s="4">
        <v>17</v>
      </c>
      <c r="Q3">
        <v>1303</v>
      </c>
      <c r="R3" s="4">
        <v>947</v>
      </c>
      <c r="S3" s="4">
        <v>1047</v>
      </c>
      <c r="T3" s="4">
        <v>414</v>
      </c>
      <c r="U3" s="4">
        <v>18469</v>
      </c>
      <c r="V3">
        <v>1477</v>
      </c>
      <c r="W3">
        <v>211</v>
      </c>
      <c r="X3" s="4">
        <v>2</v>
      </c>
    </row>
    <row r="4" spans="1:24" x14ac:dyDescent="0.25">
      <c r="A4" t="s">
        <v>178</v>
      </c>
      <c r="B4" s="1">
        <v>1500000</v>
      </c>
      <c r="C4" s="1">
        <v>746000</v>
      </c>
      <c r="D4" s="1">
        <v>632000</v>
      </c>
      <c r="E4">
        <v>212852</v>
      </c>
      <c r="F4">
        <v>197460</v>
      </c>
      <c r="G4">
        <v>134708</v>
      </c>
      <c r="H4">
        <v>101628</v>
      </c>
      <c r="I4" s="4">
        <v>16616</v>
      </c>
      <c r="J4">
        <v>180831</v>
      </c>
      <c r="K4">
        <v>51537</v>
      </c>
      <c r="L4" s="4">
        <v>33005</v>
      </c>
      <c r="M4" s="4">
        <v>18921</v>
      </c>
      <c r="N4">
        <v>7852</v>
      </c>
      <c r="O4">
        <v>1117</v>
      </c>
      <c r="P4" s="4">
        <v>8</v>
      </c>
      <c r="Q4">
        <v>276</v>
      </c>
      <c r="R4" s="4">
        <v>163</v>
      </c>
      <c r="S4" s="4">
        <v>152</v>
      </c>
      <c r="T4" s="4">
        <v>362</v>
      </c>
      <c r="U4" s="4">
        <v>13280</v>
      </c>
      <c r="V4">
        <v>5189</v>
      </c>
      <c r="W4">
        <v>277</v>
      </c>
      <c r="X4" s="4">
        <v>2</v>
      </c>
    </row>
    <row r="5" spans="1:24" x14ac:dyDescent="0.25">
      <c r="A5" t="s">
        <v>179</v>
      </c>
      <c r="B5" s="1">
        <v>1500000</v>
      </c>
      <c r="C5" s="1">
        <v>746000</v>
      </c>
      <c r="D5" s="1">
        <v>646000</v>
      </c>
      <c r="E5">
        <v>133726</v>
      </c>
      <c r="F5">
        <v>116581</v>
      </c>
      <c r="G5">
        <v>88377</v>
      </c>
      <c r="H5">
        <v>61197</v>
      </c>
      <c r="I5" s="4">
        <v>6695</v>
      </c>
      <c r="J5">
        <v>107890</v>
      </c>
      <c r="K5">
        <v>36109</v>
      </c>
      <c r="L5" s="4">
        <v>26477</v>
      </c>
      <c r="M5" s="4">
        <v>17502</v>
      </c>
      <c r="N5">
        <v>2867</v>
      </c>
      <c r="O5">
        <v>1279</v>
      </c>
      <c r="P5" s="4">
        <v>14</v>
      </c>
      <c r="Q5">
        <v>655</v>
      </c>
      <c r="R5" s="4">
        <v>401</v>
      </c>
      <c r="S5" s="4">
        <v>252</v>
      </c>
      <c r="T5" s="4">
        <v>284</v>
      </c>
      <c r="U5" s="4">
        <v>8400</v>
      </c>
      <c r="V5">
        <v>693</v>
      </c>
      <c r="W5">
        <v>105</v>
      </c>
      <c r="X5" s="4">
        <v>1</v>
      </c>
    </row>
    <row r="6" spans="1:24" x14ac:dyDescent="0.25">
      <c r="A6" t="s">
        <v>180</v>
      </c>
      <c r="B6" s="1">
        <v>1370000</v>
      </c>
      <c r="C6" s="1">
        <v>677000</v>
      </c>
      <c r="D6" s="1">
        <v>587000</v>
      </c>
      <c r="E6">
        <v>155234</v>
      </c>
      <c r="F6">
        <v>142026</v>
      </c>
      <c r="G6">
        <v>112664</v>
      </c>
      <c r="H6">
        <v>77836</v>
      </c>
      <c r="I6" s="4">
        <v>9433</v>
      </c>
      <c r="J6">
        <v>131368</v>
      </c>
      <c r="K6">
        <v>51870</v>
      </c>
      <c r="L6" s="4">
        <v>36554</v>
      </c>
      <c r="M6" s="4">
        <v>21744</v>
      </c>
      <c r="N6">
        <v>2757</v>
      </c>
      <c r="O6">
        <v>1099</v>
      </c>
      <c r="P6" s="4">
        <v>21</v>
      </c>
      <c r="Q6">
        <v>928</v>
      </c>
      <c r="R6" s="4">
        <v>708</v>
      </c>
      <c r="S6" s="4">
        <v>520</v>
      </c>
      <c r="T6" s="4">
        <v>538</v>
      </c>
      <c r="U6" s="4">
        <v>13656</v>
      </c>
      <c r="V6">
        <v>1769</v>
      </c>
      <c r="W6">
        <v>235</v>
      </c>
      <c r="X6" s="4">
        <v>9</v>
      </c>
    </row>
    <row r="7" spans="1:24" x14ac:dyDescent="0.25">
      <c r="A7" t="s">
        <v>181</v>
      </c>
      <c r="B7" s="1">
        <v>1430000</v>
      </c>
      <c r="C7" s="1">
        <v>729000</v>
      </c>
      <c r="D7" s="1">
        <v>621000</v>
      </c>
      <c r="E7">
        <v>179658</v>
      </c>
      <c r="F7">
        <v>163886</v>
      </c>
      <c r="G7">
        <v>108924</v>
      </c>
      <c r="H7">
        <v>66076</v>
      </c>
      <c r="I7" s="4">
        <v>11284</v>
      </c>
      <c r="J7">
        <v>150162</v>
      </c>
      <c r="K7">
        <v>42616</v>
      </c>
      <c r="L7" s="4">
        <v>35404</v>
      </c>
      <c r="M7" s="4">
        <v>19211</v>
      </c>
      <c r="N7">
        <v>5160</v>
      </c>
      <c r="O7">
        <v>1031</v>
      </c>
      <c r="P7" s="4">
        <v>45</v>
      </c>
      <c r="Q7">
        <v>622</v>
      </c>
      <c r="R7" s="4">
        <v>432</v>
      </c>
      <c r="S7" s="4">
        <v>441</v>
      </c>
      <c r="T7" s="4">
        <v>294</v>
      </c>
      <c r="U7" s="4">
        <v>15043</v>
      </c>
      <c r="V7">
        <v>3400</v>
      </c>
      <c r="W7">
        <v>122</v>
      </c>
      <c r="X7" s="4">
        <v>1</v>
      </c>
    </row>
    <row r="8" spans="1:24" x14ac:dyDescent="0.25">
      <c r="A8" t="s">
        <v>182</v>
      </c>
      <c r="B8" s="1">
        <v>1500000</v>
      </c>
      <c r="C8" s="1">
        <v>692000</v>
      </c>
      <c r="D8" s="1">
        <v>598000</v>
      </c>
      <c r="E8">
        <v>282237</v>
      </c>
      <c r="F8">
        <v>263992</v>
      </c>
      <c r="G8">
        <v>214881</v>
      </c>
      <c r="H8">
        <v>160186</v>
      </c>
      <c r="I8" s="4">
        <v>19855</v>
      </c>
      <c r="J8">
        <v>245595</v>
      </c>
      <c r="K8">
        <v>96472</v>
      </c>
      <c r="L8" s="4">
        <v>61661</v>
      </c>
      <c r="M8" s="4">
        <v>26078</v>
      </c>
      <c r="N8">
        <v>7177</v>
      </c>
      <c r="O8">
        <v>2750</v>
      </c>
      <c r="P8" s="4">
        <v>26</v>
      </c>
      <c r="Q8">
        <v>553</v>
      </c>
      <c r="R8" s="4">
        <v>354</v>
      </c>
      <c r="S8" s="4">
        <v>1651</v>
      </c>
      <c r="T8" s="4">
        <v>788</v>
      </c>
      <c r="U8" s="4">
        <v>27561</v>
      </c>
      <c r="V8">
        <v>11678</v>
      </c>
      <c r="W8">
        <v>981</v>
      </c>
      <c r="X8" s="4">
        <v>5</v>
      </c>
    </row>
    <row r="9" spans="1:24" x14ac:dyDescent="0.25">
      <c r="A9" t="s">
        <v>183</v>
      </c>
      <c r="B9" s="1">
        <v>1030000</v>
      </c>
      <c r="C9" s="1">
        <v>571000</v>
      </c>
      <c r="D9" s="1">
        <v>488000</v>
      </c>
      <c r="E9">
        <v>153400</v>
      </c>
      <c r="F9">
        <v>143437</v>
      </c>
      <c r="G9">
        <v>107129</v>
      </c>
      <c r="H9">
        <v>66708</v>
      </c>
      <c r="I9" s="4">
        <v>8340</v>
      </c>
      <c r="J9">
        <v>131295</v>
      </c>
      <c r="K9">
        <v>47436</v>
      </c>
      <c r="L9" s="4">
        <v>36793</v>
      </c>
      <c r="M9" s="4">
        <v>18397</v>
      </c>
      <c r="N9">
        <v>2138</v>
      </c>
      <c r="O9">
        <v>1036</v>
      </c>
      <c r="P9" s="4">
        <v>25</v>
      </c>
      <c r="Q9">
        <v>717</v>
      </c>
      <c r="R9" s="4">
        <v>581</v>
      </c>
      <c r="S9" s="4">
        <v>310</v>
      </c>
      <c r="T9" s="4">
        <v>241</v>
      </c>
      <c r="U9" s="4">
        <v>17496</v>
      </c>
      <c r="V9">
        <v>1514</v>
      </c>
      <c r="W9">
        <v>406</v>
      </c>
      <c r="X9" s="4">
        <v>4</v>
      </c>
    </row>
    <row r="10" spans="1:24" x14ac:dyDescent="0.25">
      <c r="A10" t="s">
        <v>184</v>
      </c>
      <c r="B10" s="1">
        <v>1010000</v>
      </c>
      <c r="C10" s="1">
        <v>531000</v>
      </c>
      <c r="D10" s="1">
        <v>469000</v>
      </c>
      <c r="E10">
        <v>147349</v>
      </c>
      <c r="F10">
        <v>138399</v>
      </c>
      <c r="G10">
        <v>123539</v>
      </c>
      <c r="H10">
        <v>73736</v>
      </c>
      <c r="I10" s="4">
        <v>9910</v>
      </c>
      <c r="J10">
        <v>125549</v>
      </c>
      <c r="K10">
        <v>62410</v>
      </c>
      <c r="L10" s="4">
        <v>42189</v>
      </c>
      <c r="M10" s="4">
        <v>18688</v>
      </c>
      <c r="N10">
        <v>3237</v>
      </c>
      <c r="O10">
        <v>1814</v>
      </c>
      <c r="P10" s="4">
        <v>31</v>
      </c>
      <c r="Q10">
        <v>1273</v>
      </c>
      <c r="R10" s="4">
        <v>802</v>
      </c>
      <c r="S10" s="4">
        <v>475</v>
      </c>
      <c r="T10" s="4">
        <v>1392</v>
      </c>
      <c r="U10" s="4">
        <v>20591</v>
      </c>
      <c r="V10">
        <v>1722</v>
      </c>
      <c r="W10">
        <v>345</v>
      </c>
      <c r="X10" s="4">
        <v>5</v>
      </c>
    </row>
    <row r="11" spans="1:24" x14ac:dyDescent="0.25">
      <c r="A11" t="s">
        <v>185</v>
      </c>
      <c r="B11" s="1">
        <v>961000</v>
      </c>
      <c r="C11" s="1">
        <v>483000</v>
      </c>
      <c r="D11" s="1">
        <v>423000</v>
      </c>
      <c r="E11">
        <v>140428</v>
      </c>
      <c r="F11">
        <v>131597</v>
      </c>
      <c r="G11">
        <v>99106</v>
      </c>
      <c r="H11">
        <v>60172</v>
      </c>
      <c r="I11" s="4">
        <v>7279</v>
      </c>
      <c r="J11">
        <v>122079</v>
      </c>
      <c r="K11">
        <v>52002</v>
      </c>
      <c r="L11" s="4">
        <v>38588</v>
      </c>
      <c r="M11" s="4">
        <v>25751</v>
      </c>
      <c r="N11">
        <v>2607</v>
      </c>
      <c r="O11">
        <v>1165</v>
      </c>
      <c r="P11" s="4">
        <v>14</v>
      </c>
      <c r="Q11">
        <v>1337</v>
      </c>
      <c r="R11" s="4">
        <v>833</v>
      </c>
      <c r="S11" s="4">
        <v>357</v>
      </c>
      <c r="T11" s="4">
        <v>342</v>
      </c>
      <c r="U11" s="4">
        <v>11535</v>
      </c>
      <c r="V11">
        <v>543</v>
      </c>
      <c r="W11">
        <v>116</v>
      </c>
      <c r="X11" s="4">
        <v>3</v>
      </c>
    </row>
    <row r="12" spans="1:24" x14ac:dyDescent="0.25">
      <c r="A12" t="s">
        <v>186</v>
      </c>
      <c r="B12" s="1">
        <v>1500000</v>
      </c>
      <c r="C12" s="1">
        <v>710000</v>
      </c>
      <c r="D12" s="1">
        <v>615000</v>
      </c>
      <c r="E12">
        <v>171370</v>
      </c>
      <c r="F12">
        <v>149976</v>
      </c>
      <c r="G12">
        <v>103625</v>
      </c>
      <c r="H12">
        <v>73228</v>
      </c>
      <c r="I12" s="4">
        <v>6677</v>
      </c>
      <c r="J12">
        <v>140603</v>
      </c>
      <c r="K12">
        <v>38566</v>
      </c>
      <c r="L12" s="4">
        <v>25582</v>
      </c>
      <c r="M12" s="4">
        <v>14881</v>
      </c>
      <c r="N12">
        <v>2970</v>
      </c>
      <c r="O12">
        <v>1078</v>
      </c>
      <c r="P12" s="4">
        <v>18</v>
      </c>
      <c r="Q12">
        <v>540</v>
      </c>
      <c r="R12" s="4">
        <v>330</v>
      </c>
      <c r="S12" s="4">
        <v>320</v>
      </c>
      <c r="T12" s="4">
        <v>146</v>
      </c>
      <c r="U12" s="4">
        <v>9635</v>
      </c>
      <c r="V12">
        <v>1523</v>
      </c>
      <c r="W12">
        <v>119</v>
      </c>
      <c r="X12" s="4">
        <v>0</v>
      </c>
    </row>
    <row r="13" spans="1:24" x14ac:dyDescent="0.25">
      <c r="A13" t="s">
        <v>187</v>
      </c>
      <c r="B13" s="1">
        <v>715000</v>
      </c>
      <c r="C13">
        <v>346481</v>
      </c>
      <c r="D13">
        <v>320621</v>
      </c>
      <c r="E13">
        <v>89088</v>
      </c>
      <c r="F13">
        <v>79760</v>
      </c>
      <c r="G13">
        <v>63234</v>
      </c>
      <c r="H13">
        <v>33488</v>
      </c>
      <c r="I13" s="4">
        <v>5385</v>
      </c>
      <c r="J13">
        <v>73237</v>
      </c>
      <c r="K13">
        <v>40587</v>
      </c>
      <c r="L13" s="4">
        <v>29398</v>
      </c>
      <c r="M13" s="4">
        <v>14233</v>
      </c>
      <c r="N13">
        <v>2954</v>
      </c>
      <c r="O13">
        <v>990</v>
      </c>
      <c r="P13" s="4">
        <v>38</v>
      </c>
      <c r="Q13">
        <v>526</v>
      </c>
      <c r="R13" s="4">
        <v>329</v>
      </c>
      <c r="S13" s="4">
        <v>547</v>
      </c>
      <c r="T13" s="4">
        <v>369</v>
      </c>
      <c r="U13" s="4">
        <v>13393</v>
      </c>
      <c r="V13">
        <v>1843</v>
      </c>
      <c r="W13">
        <v>152</v>
      </c>
      <c r="X13" s="4">
        <v>4</v>
      </c>
    </row>
    <row r="14" spans="1:24" x14ac:dyDescent="0.25">
      <c r="A14" t="s">
        <v>188</v>
      </c>
      <c r="B14" s="1">
        <v>1000000</v>
      </c>
      <c r="C14" s="1">
        <v>507000</v>
      </c>
      <c r="D14" s="1">
        <v>445000</v>
      </c>
      <c r="E14">
        <v>131278</v>
      </c>
      <c r="F14">
        <v>121504</v>
      </c>
      <c r="G14">
        <v>82308</v>
      </c>
      <c r="H14">
        <v>55976</v>
      </c>
      <c r="I14" s="4">
        <v>7962</v>
      </c>
      <c r="J14">
        <v>111922</v>
      </c>
      <c r="K14">
        <v>30911</v>
      </c>
      <c r="L14" s="4">
        <v>22665</v>
      </c>
      <c r="M14" s="4">
        <v>13102</v>
      </c>
      <c r="N14">
        <v>2982</v>
      </c>
      <c r="O14">
        <v>1063</v>
      </c>
      <c r="P14" s="4">
        <v>6</v>
      </c>
      <c r="Q14">
        <v>739</v>
      </c>
      <c r="R14" s="4">
        <v>497</v>
      </c>
      <c r="S14" s="4">
        <v>309</v>
      </c>
      <c r="T14" s="4">
        <v>247</v>
      </c>
      <c r="U14" s="4">
        <v>8093</v>
      </c>
      <c r="V14">
        <v>1094</v>
      </c>
      <c r="W14">
        <v>109</v>
      </c>
      <c r="X14" s="4">
        <v>2</v>
      </c>
    </row>
    <row r="15" spans="1:24" x14ac:dyDescent="0.25">
      <c r="A15" t="s">
        <v>189</v>
      </c>
      <c r="B15" s="1">
        <v>1460000</v>
      </c>
      <c r="C15" s="1">
        <v>703000</v>
      </c>
      <c r="D15" s="1">
        <v>620000</v>
      </c>
      <c r="E15">
        <v>189568</v>
      </c>
      <c r="F15">
        <v>171200</v>
      </c>
      <c r="G15">
        <v>116272</v>
      </c>
      <c r="H15">
        <v>76504</v>
      </c>
      <c r="I15" s="4">
        <v>9123</v>
      </c>
      <c r="J15">
        <v>159746</v>
      </c>
      <c r="K15">
        <v>55991</v>
      </c>
      <c r="L15" s="4">
        <v>40948</v>
      </c>
      <c r="M15" s="4">
        <v>26638</v>
      </c>
      <c r="N15">
        <v>3997</v>
      </c>
      <c r="O15">
        <v>1381</v>
      </c>
      <c r="P15" s="4">
        <v>7</v>
      </c>
      <c r="Q15">
        <v>679</v>
      </c>
      <c r="R15" s="4">
        <v>463</v>
      </c>
      <c r="S15" s="4">
        <v>767</v>
      </c>
      <c r="T15" s="4">
        <v>420</v>
      </c>
      <c r="U15" s="4">
        <v>13084</v>
      </c>
      <c r="V15">
        <v>998</v>
      </c>
      <c r="W15">
        <v>113</v>
      </c>
      <c r="X15" s="4">
        <v>1</v>
      </c>
    </row>
    <row r="16" spans="1:24" x14ac:dyDescent="0.25">
      <c r="A16" t="s">
        <v>190</v>
      </c>
      <c r="B16" s="1">
        <v>600000</v>
      </c>
      <c r="C16">
        <v>296640</v>
      </c>
      <c r="D16">
        <v>273850</v>
      </c>
      <c r="E16">
        <v>71413</v>
      </c>
      <c r="F16">
        <v>64669</v>
      </c>
      <c r="G16">
        <v>51062</v>
      </c>
      <c r="H16">
        <v>26302</v>
      </c>
      <c r="I16" s="4">
        <v>3812</v>
      </c>
      <c r="J16">
        <v>58191</v>
      </c>
      <c r="K16">
        <v>25234</v>
      </c>
      <c r="L16" s="4">
        <v>20110</v>
      </c>
      <c r="M16" s="4">
        <v>12250</v>
      </c>
      <c r="N16">
        <v>1073</v>
      </c>
      <c r="O16">
        <v>546</v>
      </c>
      <c r="P16" s="4">
        <v>14</v>
      </c>
      <c r="Q16">
        <v>363</v>
      </c>
      <c r="R16" s="4">
        <v>241</v>
      </c>
      <c r="S16" s="4">
        <v>213</v>
      </c>
      <c r="T16" s="4">
        <v>105</v>
      </c>
      <c r="U16" s="4">
        <v>7128</v>
      </c>
      <c r="V16">
        <v>300</v>
      </c>
      <c r="W16">
        <v>35</v>
      </c>
      <c r="X16" s="4">
        <v>1</v>
      </c>
    </row>
    <row r="17" spans="1:24" x14ac:dyDescent="0.25">
      <c r="B17" s="1"/>
    </row>
    <row r="18" spans="1:24" ht="27" customHeight="1" x14ac:dyDescent="0.25">
      <c r="B18" s="1" t="s">
        <v>70</v>
      </c>
      <c r="C18" s="1" t="s">
        <v>71</v>
      </c>
      <c r="D18" s="1" t="s">
        <v>72</v>
      </c>
      <c r="E18" s="1" t="s">
        <v>73</v>
      </c>
      <c r="F18" s="1" t="s">
        <v>74</v>
      </c>
      <c r="G18" s="1" t="s">
        <v>75</v>
      </c>
      <c r="H18" s="1" t="s">
        <v>76</v>
      </c>
      <c r="I18" s="3" t="s">
        <v>18</v>
      </c>
      <c r="J18" s="1" t="s">
        <v>77</v>
      </c>
      <c r="K18" s="1" t="s">
        <v>78</v>
      </c>
      <c r="L18" s="3" t="s">
        <v>12</v>
      </c>
      <c r="M18" s="3" t="s">
        <v>79</v>
      </c>
      <c r="P18" s="4" t="s">
        <v>80</v>
      </c>
      <c r="R18" s="4" t="s">
        <v>25</v>
      </c>
      <c r="S18" s="4" t="s">
        <v>81</v>
      </c>
      <c r="T18" s="4" t="s">
        <v>82</v>
      </c>
      <c r="U18" s="4" t="s">
        <v>83</v>
      </c>
      <c r="X18" s="4" t="s">
        <v>84</v>
      </c>
    </row>
    <row r="19" spans="1:24" x14ac:dyDescent="0.25">
      <c r="B19" s="1"/>
    </row>
    <row r="20" spans="1:24" s="7" customFormat="1" x14ac:dyDescent="0.25">
      <c r="A20" s="7" t="s">
        <v>85</v>
      </c>
    </row>
    <row r="21" spans="1:24" ht="27" customHeight="1" x14ac:dyDescent="0.25">
      <c r="A21" s="7"/>
      <c r="B21" s="1" t="s">
        <v>70</v>
      </c>
      <c r="C21" s="1" t="s">
        <v>71</v>
      </c>
      <c r="D21" s="1" t="s">
        <v>72</v>
      </c>
      <c r="E21" s="1" t="s">
        <v>73</v>
      </c>
      <c r="F21" s="1" t="s">
        <v>74</v>
      </c>
      <c r="G21" s="1" t="s">
        <v>75</v>
      </c>
      <c r="H21" s="1" t="s">
        <v>76</v>
      </c>
      <c r="I21" s="3" t="s">
        <v>18</v>
      </c>
      <c r="J21" s="1" t="s">
        <v>77</v>
      </c>
      <c r="K21" s="1" t="s">
        <v>78</v>
      </c>
      <c r="L21" s="3" t="s">
        <v>12</v>
      </c>
      <c r="M21" s="3" t="s">
        <v>79</v>
      </c>
      <c r="P21" s="4" t="s">
        <v>80</v>
      </c>
      <c r="R21" s="4" t="s">
        <v>25</v>
      </c>
      <c r="S21" s="4" t="s">
        <v>81</v>
      </c>
      <c r="T21" s="4" t="s">
        <v>82</v>
      </c>
      <c r="U21" s="4" t="s">
        <v>83</v>
      </c>
      <c r="X21" s="4" t="s">
        <v>84</v>
      </c>
    </row>
    <row r="22" spans="1:24" x14ac:dyDescent="0.25">
      <c r="A22" s="7">
        <v>1</v>
      </c>
      <c r="F22">
        <f>100*(F3/$E3)</f>
        <v>94.350717421214696</v>
      </c>
      <c r="G22">
        <f t="shared" ref="G22:X22" si="0">100*(G3/$E3)</f>
        <v>81.409290440935607</v>
      </c>
      <c r="H22">
        <f t="shared" si="0"/>
        <v>43.285505252353182</v>
      </c>
      <c r="I22" s="4">
        <f t="shared" si="0"/>
        <v>4.1046976348031183</v>
      </c>
      <c r="J22">
        <f t="shared" si="0"/>
        <v>89.128393282229354</v>
      </c>
      <c r="K22">
        <f t="shared" si="0"/>
        <v>46.983445805761207</v>
      </c>
      <c r="L22" s="4">
        <f t="shared" si="0"/>
        <v>36.767564262159034</v>
      </c>
      <c r="M22" s="4">
        <f t="shared" si="0"/>
        <v>25.760007862150296</v>
      </c>
      <c r="N22">
        <f t="shared" si="0"/>
        <v>3.1918146279674162</v>
      </c>
      <c r="O22">
        <f t="shared" si="0"/>
        <v>1.1099827469479568</v>
      </c>
      <c r="P22" s="4">
        <f t="shared" si="0"/>
        <v>9.2817052130424339E-3</v>
      </c>
      <c r="Q22">
        <f t="shared" si="0"/>
        <v>0.71141540544672299</v>
      </c>
      <c r="R22" s="4">
        <f t="shared" si="0"/>
        <v>0.51704557863242262</v>
      </c>
      <c r="S22" s="4">
        <f t="shared" si="0"/>
        <v>0.57164384459149575</v>
      </c>
      <c r="T22" s="4">
        <f t="shared" si="0"/>
        <v>0.22603682107056278</v>
      </c>
      <c r="U22" s="4">
        <f t="shared" si="0"/>
        <v>10.083753739981219</v>
      </c>
      <c r="V22">
        <f t="shared" si="0"/>
        <v>0.80641638821551032</v>
      </c>
      <c r="W22">
        <f t="shared" si="0"/>
        <v>0.11520234117364432</v>
      </c>
      <c r="X22" s="4">
        <f t="shared" si="0"/>
        <v>1.0919653191814628E-3</v>
      </c>
    </row>
    <row r="23" spans="1:24" x14ac:dyDescent="0.25">
      <c r="A23" s="7">
        <v>2</v>
      </c>
      <c r="F23">
        <f t="shared" ref="F23:P35" si="1">100*(F4/$E4)</f>
        <v>92.768684344051266</v>
      </c>
      <c r="G23">
        <f t="shared" si="1"/>
        <v>63.287166669798737</v>
      </c>
      <c r="H23">
        <f t="shared" si="1"/>
        <v>47.745851577622012</v>
      </c>
      <c r="I23" s="4">
        <f t="shared" si="1"/>
        <v>7.8063631067596271</v>
      </c>
      <c r="J23">
        <f t="shared" si="1"/>
        <v>84.956213707176815</v>
      </c>
      <c r="K23">
        <f t="shared" si="1"/>
        <v>24.212598425196848</v>
      </c>
      <c r="L23" s="4">
        <f t="shared" si="1"/>
        <v>15.506079341514292</v>
      </c>
      <c r="M23" s="4">
        <f t="shared" si="1"/>
        <v>8.8892751771183729</v>
      </c>
      <c r="N23">
        <f t="shared" si="1"/>
        <v>3.6889481893522258</v>
      </c>
      <c r="O23">
        <f t="shared" si="1"/>
        <v>0.52477777986582219</v>
      </c>
      <c r="P23" s="4">
        <f t="shared" si="1"/>
        <v>3.7584800706594256E-3</v>
      </c>
      <c r="Q23">
        <f t="shared" ref="Q23:X23" si="2">100*(Q4/$E4)</f>
        <v>0.12966756243775018</v>
      </c>
      <c r="R23" s="4">
        <f t="shared" si="2"/>
        <v>7.657903143968578E-2</v>
      </c>
      <c r="S23" s="4">
        <f t="shared" si="2"/>
        <v>7.1411121342529083E-2</v>
      </c>
      <c r="T23" s="4">
        <f t="shared" si="2"/>
        <v>0.170071223197339</v>
      </c>
      <c r="U23" s="4">
        <f t="shared" si="2"/>
        <v>6.2390769172946463</v>
      </c>
      <c r="V23">
        <f t="shared" si="2"/>
        <v>2.4378441358314697</v>
      </c>
      <c r="W23">
        <f t="shared" si="2"/>
        <v>0.13013737244658261</v>
      </c>
      <c r="X23" s="4">
        <f t="shared" si="2"/>
        <v>9.396200176648564E-4</v>
      </c>
    </row>
    <row r="24" spans="1:24" x14ac:dyDescent="0.25">
      <c r="A24" s="7">
        <v>3</v>
      </c>
      <c r="F24">
        <f t="shared" si="1"/>
        <v>87.179007821964319</v>
      </c>
      <c r="G24">
        <f t="shared" si="1"/>
        <v>66.088120485171174</v>
      </c>
      <c r="H24">
        <f t="shared" si="1"/>
        <v>45.762978029702531</v>
      </c>
      <c r="I24" s="4">
        <f t="shared" si="1"/>
        <v>5.0065058403003153</v>
      </c>
      <c r="J24">
        <f t="shared" si="1"/>
        <v>80.679897701269766</v>
      </c>
      <c r="K24">
        <f t="shared" si="1"/>
        <v>27.002228437252292</v>
      </c>
      <c r="L24" s="4">
        <f t="shared" si="1"/>
        <v>19.799440647293721</v>
      </c>
      <c r="M24" s="4">
        <f t="shared" si="1"/>
        <v>13.087955969669324</v>
      </c>
      <c r="N24">
        <f t="shared" si="1"/>
        <v>2.1439361081614647</v>
      </c>
      <c r="O24">
        <f t="shared" si="1"/>
        <v>0.95643330391995585</v>
      </c>
      <c r="P24" s="4">
        <f t="shared" si="1"/>
        <v>1.046916829935839E-2</v>
      </c>
      <c r="Q24">
        <f t="shared" ref="Q24:X24" si="3">100*(Q5/$E5)</f>
        <v>0.48980751686283891</v>
      </c>
      <c r="R24" s="4">
        <f t="shared" si="3"/>
        <v>0.299866892003051</v>
      </c>
      <c r="S24" s="4">
        <f t="shared" si="3"/>
        <v>0.18844502938845101</v>
      </c>
      <c r="T24" s="4">
        <f t="shared" si="3"/>
        <v>0.21237455692984164</v>
      </c>
      <c r="U24" s="4">
        <f t="shared" si="3"/>
        <v>6.281500979615033</v>
      </c>
      <c r="V24">
        <f t="shared" si="3"/>
        <v>0.51822383081824031</v>
      </c>
      <c r="W24">
        <f t="shared" si="3"/>
        <v>7.8518762245187917E-2</v>
      </c>
      <c r="X24" s="4">
        <f t="shared" si="3"/>
        <v>7.4779773566845641E-4</v>
      </c>
    </row>
    <row r="25" spans="1:24" x14ac:dyDescent="0.25">
      <c r="A25" s="7">
        <v>4</v>
      </c>
      <c r="F25">
        <f t="shared" si="1"/>
        <v>91.491554685184951</v>
      </c>
      <c r="G25">
        <f t="shared" si="1"/>
        <v>72.57688393006687</v>
      </c>
      <c r="H25">
        <f t="shared" si="1"/>
        <v>50.141077341304097</v>
      </c>
      <c r="I25" s="4">
        <f t="shared" si="1"/>
        <v>6.0766326964453663</v>
      </c>
      <c r="J25">
        <f t="shared" si="1"/>
        <v>84.625790741718959</v>
      </c>
      <c r="K25">
        <f t="shared" si="1"/>
        <v>33.41407165955912</v>
      </c>
      <c r="L25" s="4">
        <f t="shared" si="1"/>
        <v>23.547676411095509</v>
      </c>
      <c r="M25" s="4">
        <f t="shared" si="1"/>
        <v>14.007240681809396</v>
      </c>
      <c r="N25">
        <f t="shared" si="1"/>
        <v>1.7760284473762191</v>
      </c>
      <c r="O25">
        <f t="shared" si="1"/>
        <v>0.707963461612791</v>
      </c>
      <c r="P25" s="4">
        <f t="shared" si="1"/>
        <v>1.3527964234639318E-2</v>
      </c>
      <c r="Q25">
        <f t="shared" ref="Q25:X25" si="4">100*(Q6/$E6)</f>
        <v>0.59780718141644229</v>
      </c>
      <c r="R25" s="4">
        <f t="shared" si="4"/>
        <v>0.45608565133926848</v>
      </c>
      <c r="S25" s="4">
        <f t="shared" si="4"/>
        <v>0.33497816200059266</v>
      </c>
      <c r="T25" s="4">
        <f t="shared" si="4"/>
        <v>0.34657355991599781</v>
      </c>
      <c r="U25" s="4">
        <f t="shared" si="4"/>
        <v>8.7970418851540249</v>
      </c>
      <c r="V25">
        <f t="shared" si="4"/>
        <v>1.1395699395750931</v>
      </c>
      <c r="W25">
        <f t="shared" si="4"/>
        <v>0.15138436167334474</v>
      </c>
      <c r="X25" s="4">
        <f t="shared" si="4"/>
        <v>5.7976989577025653E-3</v>
      </c>
    </row>
    <row r="26" spans="1:24" x14ac:dyDescent="0.25">
      <c r="A26" s="7">
        <v>6</v>
      </c>
      <c r="F26">
        <f t="shared" si="1"/>
        <v>91.221097863718853</v>
      </c>
      <c r="G26">
        <f t="shared" si="1"/>
        <v>60.628527535651067</v>
      </c>
      <c r="H26">
        <f t="shared" si="1"/>
        <v>36.778768549132238</v>
      </c>
      <c r="I26" s="4">
        <f t="shared" si="1"/>
        <v>6.2808224515468272</v>
      </c>
      <c r="J26">
        <f t="shared" si="1"/>
        <v>83.582139398189895</v>
      </c>
      <c r="K26">
        <f t="shared" si="1"/>
        <v>23.720624742566432</v>
      </c>
      <c r="L26" s="4">
        <f t="shared" si="1"/>
        <v>19.706330917632389</v>
      </c>
      <c r="M26" s="4">
        <f t="shared" si="1"/>
        <v>10.69309465762727</v>
      </c>
      <c r="N26">
        <f t="shared" si="1"/>
        <v>2.8721237016998966</v>
      </c>
      <c r="O26">
        <f t="shared" si="1"/>
        <v>0.57386812721949476</v>
      </c>
      <c r="P26" s="4">
        <f t="shared" si="1"/>
        <v>2.5047590421801422E-2</v>
      </c>
      <c r="Q26">
        <f t="shared" ref="Q26:X26" si="5">100*(Q7/$E7)</f>
        <v>0.34621336094134414</v>
      </c>
      <c r="R26" s="4">
        <f t="shared" si="5"/>
        <v>0.24045686804929364</v>
      </c>
      <c r="S26" s="4">
        <f t="shared" si="5"/>
        <v>0.24546638613365396</v>
      </c>
      <c r="T26" s="4">
        <f t="shared" si="5"/>
        <v>0.16364425742243596</v>
      </c>
      <c r="U26" s="4">
        <f t="shared" si="5"/>
        <v>8.373131171447973</v>
      </c>
      <c r="V26">
        <f t="shared" si="5"/>
        <v>1.8924846096472185</v>
      </c>
      <c r="W26">
        <f t="shared" si="5"/>
        <v>6.7906800699106082E-2</v>
      </c>
      <c r="X26" s="4">
        <f t="shared" si="5"/>
        <v>5.5661312048447609E-4</v>
      </c>
    </row>
    <row r="27" spans="1:24" x14ac:dyDescent="0.25">
      <c r="A27" s="7">
        <v>7</v>
      </c>
      <c r="F27">
        <f t="shared" si="1"/>
        <v>93.535574712032798</v>
      </c>
      <c r="G27">
        <f t="shared" si="1"/>
        <v>76.134950414013758</v>
      </c>
      <c r="H27">
        <f t="shared" si="1"/>
        <v>56.755847036355966</v>
      </c>
      <c r="I27" s="4">
        <f t="shared" si="1"/>
        <v>7.034867859281384</v>
      </c>
      <c r="J27">
        <f t="shared" si="1"/>
        <v>87.017293976339033</v>
      </c>
      <c r="K27">
        <f t="shared" si="1"/>
        <v>34.181202322870497</v>
      </c>
      <c r="L27" s="4">
        <f t="shared" si="1"/>
        <v>21.847241857020872</v>
      </c>
      <c r="M27" s="4">
        <f t="shared" si="1"/>
        <v>9.2397524066653212</v>
      </c>
      <c r="N27">
        <f t="shared" si="1"/>
        <v>2.5428983442992945</v>
      </c>
      <c r="O27">
        <f t="shared" si="1"/>
        <v>0.97435842926334948</v>
      </c>
      <c r="P27" s="4">
        <f t="shared" si="1"/>
        <v>9.2121160584898512E-3</v>
      </c>
      <c r="Q27">
        <f t="shared" ref="Q27:X27" si="6">100*(Q8/$E8)</f>
        <v>0.19593462232095721</v>
      </c>
      <c r="R27" s="4">
        <f t="shared" si="6"/>
        <v>0.12542650325790028</v>
      </c>
      <c r="S27" s="4">
        <f t="shared" si="6"/>
        <v>0.58496936971410551</v>
      </c>
      <c r="T27" s="4">
        <f t="shared" si="6"/>
        <v>0.2791979790034616</v>
      </c>
      <c r="U27" s="4">
        <f t="shared" si="6"/>
        <v>9.7651973341553369</v>
      </c>
      <c r="V27">
        <f t="shared" si="6"/>
        <v>4.1376573588863259</v>
      </c>
      <c r="W27">
        <f t="shared" si="6"/>
        <v>0.34758022512994396</v>
      </c>
      <c r="X27" s="4">
        <f t="shared" si="6"/>
        <v>1.7715607804788174E-3</v>
      </c>
    </row>
    <row r="28" spans="1:24" x14ac:dyDescent="0.25">
      <c r="A28" s="7">
        <v>8</v>
      </c>
      <c r="F28">
        <f t="shared" si="1"/>
        <v>93.505215123859188</v>
      </c>
      <c r="G28">
        <f t="shared" si="1"/>
        <v>69.836375488917852</v>
      </c>
      <c r="H28">
        <f t="shared" si="1"/>
        <v>43.486310299869622</v>
      </c>
      <c r="I28" s="4">
        <f t="shared" si="1"/>
        <v>5.4367666232073013</v>
      </c>
      <c r="J28">
        <f t="shared" si="1"/>
        <v>85.589960886571063</v>
      </c>
      <c r="K28">
        <f t="shared" si="1"/>
        <v>30.923076923076927</v>
      </c>
      <c r="L28" s="4">
        <f t="shared" si="1"/>
        <v>23.985006518904825</v>
      </c>
      <c r="M28" s="4">
        <f t="shared" si="1"/>
        <v>11.992829204693612</v>
      </c>
      <c r="N28">
        <f t="shared" si="1"/>
        <v>1.3937418513689701</v>
      </c>
      <c r="O28">
        <f t="shared" si="1"/>
        <v>0.67535853976531945</v>
      </c>
      <c r="P28" s="4">
        <f t="shared" si="1"/>
        <v>1.6297262059973925E-2</v>
      </c>
      <c r="Q28">
        <f t="shared" ref="Q28:X28" si="7">100*(Q9/$E9)</f>
        <v>0.4674054758800521</v>
      </c>
      <c r="R28" s="4">
        <f t="shared" si="7"/>
        <v>0.37874837027379404</v>
      </c>
      <c r="S28" s="4">
        <f t="shared" si="7"/>
        <v>0.20208604954367665</v>
      </c>
      <c r="T28" s="4">
        <f t="shared" si="7"/>
        <v>0.15710560625814862</v>
      </c>
      <c r="U28" s="4">
        <f t="shared" si="7"/>
        <v>11.405475880052151</v>
      </c>
      <c r="V28">
        <f t="shared" si="7"/>
        <v>0.98696219035202082</v>
      </c>
      <c r="W28">
        <f t="shared" si="7"/>
        <v>0.26466753585397657</v>
      </c>
      <c r="X28" s="4">
        <f t="shared" si="7"/>
        <v>2.6075619295958278E-3</v>
      </c>
    </row>
    <row r="29" spans="1:24" x14ac:dyDescent="0.25">
      <c r="A29" s="7">
        <v>9</v>
      </c>
      <c r="F29">
        <f t="shared" si="1"/>
        <v>93.92598524591277</v>
      </c>
      <c r="G29">
        <f t="shared" si="1"/>
        <v>83.841084771528813</v>
      </c>
      <c r="H29">
        <f t="shared" si="1"/>
        <v>50.041737643282282</v>
      </c>
      <c r="I29" s="4">
        <f t="shared" si="1"/>
        <v>6.7255291858105579</v>
      </c>
      <c r="J29">
        <f t="shared" si="1"/>
        <v>85.20519311294953</v>
      </c>
      <c r="K29">
        <f t="shared" si="1"/>
        <v>42.355224670679817</v>
      </c>
      <c r="L29" s="4">
        <f t="shared" si="1"/>
        <v>28.632023291640934</v>
      </c>
      <c r="M29" s="4">
        <f t="shared" si="1"/>
        <v>12.6828142708807</v>
      </c>
      <c r="N29">
        <f t="shared" si="1"/>
        <v>2.1968252244670814</v>
      </c>
      <c r="O29">
        <f t="shared" si="1"/>
        <v>1.2310908116105301</v>
      </c>
      <c r="P29" s="4">
        <f t="shared" si="1"/>
        <v>2.1038486857732321E-2</v>
      </c>
      <c r="Q29">
        <f t="shared" ref="Q29:X29" si="8">100*(Q10/$E10)</f>
        <v>0.86393528289978216</v>
      </c>
      <c r="R29" s="4">
        <f t="shared" si="8"/>
        <v>0.54428601483552652</v>
      </c>
      <c r="S29" s="4">
        <f t="shared" si="8"/>
        <v>0.32236391152976945</v>
      </c>
      <c r="T29" s="4">
        <f t="shared" si="8"/>
        <v>0.94469592599881924</v>
      </c>
      <c r="U29" s="4">
        <f t="shared" si="8"/>
        <v>13.974305899598912</v>
      </c>
      <c r="V29">
        <f t="shared" si="8"/>
        <v>1.1686540119037117</v>
      </c>
      <c r="W29">
        <f t="shared" si="8"/>
        <v>0.23413799890056938</v>
      </c>
      <c r="X29" s="4">
        <f t="shared" si="8"/>
        <v>3.3933043318923103E-3</v>
      </c>
    </row>
    <row r="30" spans="1:24" x14ac:dyDescent="0.25">
      <c r="A30" s="7">
        <v>10</v>
      </c>
      <c r="F30">
        <f t="shared" si="1"/>
        <v>93.711368103227272</v>
      </c>
      <c r="G30">
        <f t="shared" si="1"/>
        <v>70.574244452673256</v>
      </c>
      <c r="H30">
        <f t="shared" si="1"/>
        <v>42.849004472042616</v>
      </c>
      <c r="I30" s="4">
        <f t="shared" si="1"/>
        <v>5.1834392001595129</v>
      </c>
      <c r="J30">
        <f t="shared" si="1"/>
        <v>86.933517532116099</v>
      </c>
      <c r="K30">
        <f t="shared" si="1"/>
        <v>37.031076423505283</v>
      </c>
      <c r="L30" s="4">
        <f t="shared" si="1"/>
        <v>27.478850371720743</v>
      </c>
      <c r="M30" s="4">
        <f t="shared" si="1"/>
        <v>18.337511037684791</v>
      </c>
      <c r="N30">
        <f t="shared" si="1"/>
        <v>1.856467371179537</v>
      </c>
      <c r="O30">
        <f t="shared" si="1"/>
        <v>0.82960663115617972</v>
      </c>
      <c r="P30" s="4">
        <f t="shared" si="1"/>
        <v>9.9695217477995847E-3</v>
      </c>
      <c r="Q30">
        <f t="shared" ref="Q30:X30" si="9">100*(Q11/$E11)</f>
        <v>0.95208932691486037</v>
      </c>
      <c r="R30" s="4">
        <f t="shared" si="9"/>
        <v>0.59318654399407533</v>
      </c>
      <c r="S30" s="4">
        <f t="shared" si="9"/>
        <v>0.25422280456888935</v>
      </c>
      <c r="T30" s="4">
        <f t="shared" si="9"/>
        <v>0.2435411741248184</v>
      </c>
      <c r="U30" s="4">
        <f t="shared" si="9"/>
        <v>8.2141738114905856</v>
      </c>
      <c r="V30">
        <f t="shared" si="9"/>
        <v>0.38667502207536958</v>
      </c>
      <c r="W30">
        <f t="shared" si="9"/>
        <v>8.2604608767482268E-2</v>
      </c>
      <c r="X30" s="4">
        <f t="shared" si="9"/>
        <v>2.1363260888141965E-3</v>
      </c>
    </row>
    <row r="31" spans="1:24" x14ac:dyDescent="0.25">
      <c r="A31" s="7">
        <v>11</v>
      </c>
      <c r="F31">
        <f t="shared" si="1"/>
        <v>87.515901266265971</v>
      </c>
      <c r="G31">
        <f t="shared" si="1"/>
        <v>60.468576763727611</v>
      </c>
      <c r="H31">
        <f t="shared" si="1"/>
        <v>42.730933068798507</v>
      </c>
      <c r="I31" s="4">
        <f t="shared" si="1"/>
        <v>3.8962478846939366</v>
      </c>
      <c r="J31">
        <f t="shared" si="1"/>
        <v>82.046449203477863</v>
      </c>
      <c r="K31">
        <f t="shared" si="1"/>
        <v>22.504522378479315</v>
      </c>
      <c r="L31" s="4">
        <f t="shared" si="1"/>
        <v>14.927933710684485</v>
      </c>
      <c r="M31" s="4">
        <f t="shared" si="1"/>
        <v>8.683550212989438</v>
      </c>
      <c r="N31">
        <f t="shared" si="1"/>
        <v>1.7330921398144368</v>
      </c>
      <c r="O31">
        <f t="shared" si="1"/>
        <v>0.62904825815486953</v>
      </c>
      <c r="P31" s="4">
        <f t="shared" si="1"/>
        <v>1.0503588726148099E-2</v>
      </c>
      <c r="Q31">
        <f t="shared" ref="Q31:X31" si="10">100*(Q12/$E12)</f>
        <v>0.31510766178444299</v>
      </c>
      <c r="R31" s="4">
        <f t="shared" si="10"/>
        <v>0.19256579331271517</v>
      </c>
      <c r="S31" s="4">
        <f t="shared" si="10"/>
        <v>0.1867304662426329</v>
      </c>
      <c r="T31" s="4">
        <f t="shared" si="10"/>
        <v>8.5195775223201264E-2</v>
      </c>
      <c r="U31" s="4">
        <f t="shared" si="10"/>
        <v>5.6223376320242746</v>
      </c>
      <c r="V31">
        <f t="shared" si="10"/>
        <v>0.88872031277353103</v>
      </c>
      <c r="W31">
        <f t="shared" si="10"/>
        <v>6.9440392133979109E-2</v>
      </c>
      <c r="X31" s="4">
        <f t="shared" si="10"/>
        <v>0</v>
      </c>
    </row>
    <row r="32" spans="1:24" x14ac:dyDescent="0.25">
      <c r="A32" s="7">
        <v>12</v>
      </c>
      <c r="F32">
        <f t="shared" si="1"/>
        <v>89.529454022988503</v>
      </c>
      <c r="G32">
        <f t="shared" si="1"/>
        <v>70.979256465517238</v>
      </c>
      <c r="H32">
        <f t="shared" si="1"/>
        <v>37.589798850574709</v>
      </c>
      <c r="I32" s="4">
        <f t="shared" si="1"/>
        <v>6.0445851293103443</v>
      </c>
      <c r="J32">
        <f t="shared" si="1"/>
        <v>82.207480244252878</v>
      </c>
      <c r="K32">
        <f t="shared" si="1"/>
        <v>45.558324353448278</v>
      </c>
      <c r="L32" s="4">
        <f t="shared" si="1"/>
        <v>32.998832614942529</v>
      </c>
      <c r="M32" s="4">
        <f t="shared" si="1"/>
        <v>15.976338002873563</v>
      </c>
      <c r="N32">
        <f t="shared" si="1"/>
        <v>3.3158225574712645</v>
      </c>
      <c r="O32">
        <f t="shared" si="1"/>
        <v>1.111260775862069</v>
      </c>
      <c r="P32" s="4">
        <f t="shared" si="1"/>
        <v>4.2654454022988508E-2</v>
      </c>
      <c r="Q32">
        <f t="shared" ref="Q32:X32" si="11">100*(Q13/$E13)</f>
        <v>0.59042744252873569</v>
      </c>
      <c r="R32" s="4">
        <f t="shared" si="11"/>
        <v>0.36929777298850575</v>
      </c>
      <c r="S32" s="4">
        <f t="shared" si="11"/>
        <v>0.61399964080459768</v>
      </c>
      <c r="T32" s="4">
        <f t="shared" si="11"/>
        <v>0.41419719827586204</v>
      </c>
      <c r="U32" s="4">
        <f t="shared" si="11"/>
        <v>15.033450071839081</v>
      </c>
      <c r="V32">
        <f t="shared" si="11"/>
        <v>2.0687410201149428</v>
      </c>
      <c r="W32">
        <f t="shared" si="11"/>
        <v>0.17061781609195403</v>
      </c>
      <c r="X32" s="4">
        <f t="shared" si="11"/>
        <v>4.4899425287356319E-3</v>
      </c>
    </row>
    <row r="33" spans="1:24" x14ac:dyDescent="0.25">
      <c r="A33" s="7">
        <v>13</v>
      </c>
      <c r="F33">
        <f t="shared" si="1"/>
        <v>92.55473118115755</v>
      </c>
      <c r="G33">
        <f t="shared" si="1"/>
        <v>62.697481680098718</v>
      </c>
      <c r="H33">
        <f t="shared" si="1"/>
        <v>42.639284571672334</v>
      </c>
      <c r="I33" s="4">
        <f t="shared" si="1"/>
        <v>6.0649918493578516</v>
      </c>
      <c r="J33">
        <f t="shared" si="1"/>
        <v>85.255716875637958</v>
      </c>
      <c r="K33">
        <f t="shared" si="1"/>
        <v>23.546214902725513</v>
      </c>
      <c r="L33" s="4">
        <f t="shared" si="1"/>
        <v>17.264888252410916</v>
      </c>
      <c r="M33" s="4">
        <f t="shared" si="1"/>
        <v>9.9803470497722397</v>
      </c>
      <c r="N33">
        <f t="shared" si="1"/>
        <v>2.2715154100458568</v>
      </c>
      <c r="O33">
        <f t="shared" si="1"/>
        <v>0.80973201907402625</v>
      </c>
      <c r="P33" s="4">
        <f t="shared" si="1"/>
        <v>4.5704535413397529E-3</v>
      </c>
      <c r="Q33">
        <f t="shared" ref="Q33:W33" si="12">100*(Q14/$E14)</f>
        <v>0.56292752784167954</v>
      </c>
      <c r="R33" s="4">
        <f t="shared" si="12"/>
        <v>0.37858590167430944</v>
      </c>
      <c r="S33" s="4">
        <f t="shared" si="12"/>
        <v>0.23537835737899726</v>
      </c>
      <c r="T33" s="4">
        <f t="shared" si="12"/>
        <v>0.1881503374518198</v>
      </c>
      <c r="U33" s="4">
        <f t="shared" si="12"/>
        <v>6.1647800850104355</v>
      </c>
      <c r="V33">
        <f t="shared" si="12"/>
        <v>0.83334602903761479</v>
      </c>
      <c r="W33">
        <f t="shared" si="12"/>
        <v>8.3029906001005502E-2</v>
      </c>
      <c r="X33" s="4">
        <f>100*(X14/$E14)</f>
        <v>1.5234845137799173E-3</v>
      </c>
    </row>
    <row r="34" spans="1:24" x14ac:dyDescent="0.25">
      <c r="A34" s="7">
        <v>14</v>
      </c>
      <c r="F34">
        <f t="shared" si="1"/>
        <v>90.310600945307229</v>
      </c>
      <c r="G34">
        <f t="shared" si="1"/>
        <v>61.335246455097902</v>
      </c>
      <c r="H34">
        <f t="shared" si="1"/>
        <v>40.357022282241729</v>
      </c>
      <c r="I34" s="4">
        <f t="shared" si="1"/>
        <v>4.8125211006076976</v>
      </c>
      <c r="J34">
        <f t="shared" si="1"/>
        <v>84.268441931127612</v>
      </c>
      <c r="K34">
        <f t="shared" si="1"/>
        <v>29.536103139770425</v>
      </c>
      <c r="L34" s="4">
        <f t="shared" si="1"/>
        <v>21.600692099932477</v>
      </c>
      <c r="M34" s="4">
        <f t="shared" si="1"/>
        <v>14.051949696151251</v>
      </c>
      <c r="N34">
        <f t="shared" si="1"/>
        <v>2.1084782241728561</v>
      </c>
      <c r="O34">
        <f t="shared" si="1"/>
        <v>0.72849848075624579</v>
      </c>
      <c r="P34" s="4">
        <f t="shared" si="1"/>
        <v>3.6926063470627954E-3</v>
      </c>
      <c r="Q34">
        <f t="shared" ref="Q34:X34" si="13">100*(Q15/$E15)</f>
        <v>0.35818281566509114</v>
      </c>
      <c r="R34" s="4">
        <f t="shared" si="13"/>
        <v>0.24423953409858204</v>
      </c>
      <c r="S34" s="4">
        <f t="shared" si="13"/>
        <v>0.40460415259959481</v>
      </c>
      <c r="T34" s="4">
        <f t="shared" si="13"/>
        <v>0.22155638082376772</v>
      </c>
      <c r="U34" s="4">
        <f t="shared" si="13"/>
        <v>6.902008777852803</v>
      </c>
      <c r="V34">
        <f t="shared" si="13"/>
        <v>0.5264601620526671</v>
      </c>
      <c r="W34">
        <f t="shared" si="13"/>
        <v>5.960921674544227E-2</v>
      </c>
      <c r="X34" s="4">
        <f t="shared" si="13"/>
        <v>5.2751519243754224E-4</v>
      </c>
    </row>
    <row r="35" spans="1:24" x14ac:dyDescent="0.25">
      <c r="A35" s="7">
        <v>15</v>
      </c>
      <c r="F35">
        <f t="shared" si="1"/>
        <v>90.556341282399572</v>
      </c>
      <c r="G35">
        <f t="shared" si="1"/>
        <v>71.502387520479459</v>
      </c>
      <c r="H35">
        <f t="shared" si="1"/>
        <v>36.830829120748319</v>
      </c>
      <c r="I35" s="4">
        <f t="shared" si="1"/>
        <v>5.3379636760813858</v>
      </c>
      <c r="J35">
        <f t="shared" si="1"/>
        <v>81.485163765700918</v>
      </c>
      <c r="K35">
        <f t="shared" si="1"/>
        <v>35.335303096074945</v>
      </c>
      <c r="L35" s="4">
        <f t="shared" si="1"/>
        <v>28.160138910282441</v>
      </c>
      <c r="M35" s="4">
        <f t="shared" si="1"/>
        <v>17.153739515214316</v>
      </c>
      <c r="N35">
        <f t="shared" si="1"/>
        <v>1.5025275510061193</v>
      </c>
      <c r="O35">
        <f t="shared" si="1"/>
        <v>0.76456667553526669</v>
      </c>
      <c r="P35" s="4">
        <f t="shared" si="1"/>
        <v>1.9604273731673505E-2</v>
      </c>
      <c r="Q35">
        <f t="shared" ref="Q35:X35" si="14">100*(Q16/$E16)</f>
        <v>0.50831081175696302</v>
      </c>
      <c r="R35" s="4">
        <f t="shared" si="14"/>
        <v>0.33747356923809391</v>
      </c>
      <c r="S35" s="4">
        <f t="shared" si="14"/>
        <v>0.2982650217747469</v>
      </c>
      <c r="T35" s="4">
        <f t="shared" si="14"/>
        <v>0.14703205298755129</v>
      </c>
      <c r="U35" s="4">
        <f t="shared" si="14"/>
        <v>9.9813759399549102</v>
      </c>
      <c r="V35">
        <f t="shared" si="14"/>
        <v>0.42009157996443225</v>
      </c>
      <c r="W35">
        <f t="shared" si="14"/>
        <v>4.9010684329183762E-2</v>
      </c>
      <c r="X35" s="4">
        <f t="shared" si="14"/>
        <v>1.4003052665481075E-3</v>
      </c>
    </row>
    <row r="38" spans="1:24" s="8" customFormat="1" ht="27" customHeight="1" x14ac:dyDescent="0.25">
      <c r="A38" s="8" t="s">
        <v>86</v>
      </c>
      <c r="B38" s="9" t="s">
        <v>70</v>
      </c>
      <c r="C38" s="9" t="s">
        <v>71</v>
      </c>
      <c r="D38" s="9" t="s">
        <v>72</v>
      </c>
      <c r="E38" s="9" t="s">
        <v>73</v>
      </c>
      <c r="F38" s="9" t="s">
        <v>74</v>
      </c>
      <c r="G38" s="9" t="s">
        <v>75</v>
      </c>
      <c r="H38" s="9" t="s">
        <v>76</v>
      </c>
      <c r="I38" s="3" t="s">
        <v>18</v>
      </c>
      <c r="J38" s="9" t="s">
        <v>77</v>
      </c>
      <c r="K38" s="9" t="s">
        <v>78</v>
      </c>
      <c r="L38" s="3" t="s">
        <v>12</v>
      </c>
      <c r="M38" s="3" t="s">
        <v>79</v>
      </c>
      <c r="P38" s="4" t="s">
        <v>80</v>
      </c>
      <c r="R38" s="4" t="s">
        <v>25</v>
      </c>
      <c r="S38" s="4" t="s">
        <v>81</v>
      </c>
      <c r="T38" s="4" t="s">
        <v>82</v>
      </c>
      <c r="U38" s="4" t="s">
        <v>83</v>
      </c>
      <c r="X38" s="4" t="s">
        <v>84</v>
      </c>
    </row>
    <row r="39" spans="1:24" x14ac:dyDescent="0.25">
      <c r="A39" s="8">
        <v>1</v>
      </c>
      <c r="G39">
        <f>100*(G3/$F3)</f>
        <v>86.283700501709987</v>
      </c>
      <c r="H39">
        <f t="shared" ref="H39:X39" si="15">100*(H3/$F3)</f>
        <v>45.877240190036403</v>
      </c>
      <c r="I39" s="4">
        <f t="shared" si="15"/>
        <v>4.3504678575768629</v>
      </c>
      <c r="J39">
        <f t="shared" si="15"/>
        <v>94.464987355982615</v>
      </c>
      <c r="K39">
        <f t="shared" si="15"/>
        <v>49.796596242093869</v>
      </c>
      <c r="L39" s="4">
        <f t="shared" si="15"/>
        <v>38.969035177565985</v>
      </c>
      <c r="M39" s="4">
        <f t="shared" si="15"/>
        <v>27.302397444577544</v>
      </c>
      <c r="N39">
        <f t="shared" si="15"/>
        <v>3.3829256578071747</v>
      </c>
      <c r="O39">
        <f t="shared" si="15"/>
        <v>1.1764433565381431</v>
      </c>
      <c r="P39" s="4">
        <f t="shared" si="15"/>
        <v>9.837450595744434E-3</v>
      </c>
      <c r="Q39">
        <f t="shared" si="15"/>
        <v>0.75401165448558816</v>
      </c>
      <c r="R39" s="4">
        <f t="shared" si="15"/>
        <v>0.54800386553941061</v>
      </c>
      <c r="S39" s="4">
        <f t="shared" si="15"/>
        <v>0.60587122198496612</v>
      </c>
      <c r="T39" s="4">
        <f t="shared" si="15"/>
        <v>0.23957085568459976</v>
      </c>
      <c r="U39" s="4">
        <f t="shared" si="15"/>
        <v>10.687522061929645</v>
      </c>
      <c r="V39">
        <f t="shared" si="15"/>
        <v>0.85470085470085477</v>
      </c>
      <c r="W39">
        <f t="shared" si="15"/>
        <v>0.1221001221001221</v>
      </c>
      <c r="X39" s="4">
        <f t="shared" si="15"/>
        <v>1.1573471289111098E-3</v>
      </c>
    </row>
    <row r="40" spans="1:24" x14ac:dyDescent="0.25">
      <c r="A40" s="8">
        <v>2</v>
      </c>
      <c r="G40">
        <f t="shared" ref="G40:V52" si="16">100*(G4/$F4)</f>
        <v>68.220399068165705</v>
      </c>
      <c r="H40">
        <f t="shared" si="16"/>
        <v>51.467639015496815</v>
      </c>
      <c r="I40" s="4">
        <f t="shared" si="16"/>
        <v>8.4148688341942659</v>
      </c>
      <c r="J40">
        <f t="shared" si="16"/>
        <v>91.578547553934982</v>
      </c>
      <c r="K40">
        <f t="shared" si="16"/>
        <v>26.099969614099056</v>
      </c>
      <c r="L40" s="4">
        <f t="shared" si="16"/>
        <v>16.71477767649144</v>
      </c>
      <c r="M40" s="4">
        <f t="shared" si="16"/>
        <v>9.58219386204801</v>
      </c>
      <c r="N40">
        <f t="shared" si="16"/>
        <v>3.9765015699382151</v>
      </c>
      <c r="O40">
        <f t="shared" si="16"/>
        <v>0.56568418920287655</v>
      </c>
      <c r="P40" s="4">
        <f t="shared" si="16"/>
        <v>4.0514534589283901E-3</v>
      </c>
      <c r="Q40">
        <f t="shared" si="16"/>
        <v>0.13977514433302948</v>
      </c>
      <c r="R40" s="4">
        <f t="shared" si="16"/>
        <v>8.2548364225665957E-2</v>
      </c>
      <c r="S40" s="4">
        <f t="shared" si="16"/>
        <v>7.6977615719639431E-2</v>
      </c>
      <c r="T40" s="4">
        <f t="shared" si="16"/>
        <v>0.18332826901650967</v>
      </c>
      <c r="U40" s="4">
        <f t="shared" si="16"/>
        <v>6.7254127418211285</v>
      </c>
      <c r="V40">
        <f t="shared" si="16"/>
        <v>2.6278739997974272</v>
      </c>
      <c r="W40">
        <f t="shared" ref="W40:X40" si="17">100*(W4/$F4)</f>
        <v>0.14028157601539551</v>
      </c>
      <c r="X40" s="4">
        <f t="shared" si="17"/>
        <v>1.0128633647320975E-3</v>
      </c>
    </row>
    <row r="41" spans="1:24" x14ac:dyDescent="0.25">
      <c r="A41" s="8">
        <v>3</v>
      </c>
      <c r="G41">
        <f t="shared" si="16"/>
        <v>75.807378560828951</v>
      </c>
      <c r="H41">
        <f t="shared" si="16"/>
        <v>52.493116374023209</v>
      </c>
      <c r="I41" s="4">
        <f t="shared" si="16"/>
        <v>5.7427882759626359</v>
      </c>
      <c r="J41">
        <f t="shared" si="16"/>
        <v>92.545097400090924</v>
      </c>
      <c r="K41">
        <f t="shared" si="16"/>
        <v>30.973314691073163</v>
      </c>
      <c r="L41" s="4">
        <f t="shared" si="16"/>
        <v>22.711247973511977</v>
      </c>
      <c r="M41" s="4">
        <f t="shared" si="16"/>
        <v>15.012737924704711</v>
      </c>
      <c r="N41">
        <f t="shared" si="16"/>
        <v>2.4592343520813857</v>
      </c>
      <c r="O41">
        <f t="shared" si="16"/>
        <v>1.0970912927492473</v>
      </c>
      <c r="P41" s="4">
        <f t="shared" si="16"/>
        <v>1.2008817903431949E-2</v>
      </c>
      <c r="Q41">
        <f t="shared" si="16"/>
        <v>0.5618411233391376</v>
      </c>
      <c r="R41" s="4">
        <f t="shared" si="16"/>
        <v>0.3439668556625865</v>
      </c>
      <c r="S41" s="4">
        <f t="shared" si="16"/>
        <v>0.21615872226177507</v>
      </c>
      <c r="T41" s="4">
        <f t="shared" si="16"/>
        <v>0.24360744889819094</v>
      </c>
      <c r="U41" s="4">
        <f t="shared" si="16"/>
        <v>7.2052907420591685</v>
      </c>
      <c r="V41">
        <f t="shared" si="16"/>
        <v>0.59443648621988143</v>
      </c>
      <c r="W41">
        <f t="shared" ref="W41:X41" si="18">100*(W5/$F5)</f>
        <v>9.0066134275739618E-2</v>
      </c>
      <c r="X41" s="4">
        <f t="shared" si="18"/>
        <v>8.577727073879963E-4</v>
      </c>
    </row>
    <row r="42" spans="1:24" x14ac:dyDescent="0.25">
      <c r="A42" s="8">
        <v>4</v>
      </c>
      <c r="G42">
        <f t="shared" si="16"/>
        <v>79.32632053286018</v>
      </c>
      <c r="H42">
        <f t="shared" si="16"/>
        <v>54.804049962682889</v>
      </c>
      <c r="I42" s="4">
        <f t="shared" si="16"/>
        <v>6.6417416529367861</v>
      </c>
      <c r="J42">
        <f t="shared" si="16"/>
        <v>92.49574021658006</v>
      </c>
      <c r="K42">
        <f t="shared" si="16"/>
        <v>36.521481982172276</v>
      </c>
      <c r="L42" s="4">
        <f t="shared" si="16"/>
        <v>25.737541013617225</v>
      </c>
      <c r="M42" s="4">
        <f t="shared" si="16"/>
        <v>15.309872840184191</v>
      </c>
      <c r="N42">
        <f t="shared" si="16"/>
        <v>1.9411938659118753</v>
      </c>
      <c r="O42">
        <f t="shared" si="16"/>
        <v>0.77380197991916977</v>
      </c>
      <c r="P42" s="4">
        <f t="shared" si="16"/>
        <v>1.4786025093996874E-2</v>
      </c>
      <c r="Q42">
        <f t="shared" si="16"/>
        <v>0.65340148986805235</v>
      </c>
      <c r="R42" s="4">
        <f t="shared" si="16"/>
        <v>0.49850027459760887</v>
      </c>
      <c r="S42" s="4">
        <f t="shared" si="16"/>
        <v>0.36613014518468451</v>
      </c>
      <c r="T42" s="4">
        <f t="shared" si="16"/>
        <v>0.37880388097953899</v>
      </c>
      <c r="U42" s="4">
        <f t="shared" si="16"/>
        <v>9.6151408896962529</v>
      </c>
      <c r="V42">
        <f t="shared" si="16"/>
        <v>1.2455465900609748</v>
      </c>
      <c r="W42">
        <f t="shared" ref="W42:X42" si="19">100*(W6/$F6)</f>
        <v>0.16546266176615548</v>
      </c>
      <c r="X42" s="4">
        <f t="shared" si="19"/>
        <v>6.3368678974272319E-3</v>
      </c>
    </row>
    <row r="43" spans="1:24" x14ac:dyDescent="0.25">
      <c r="A43" s="8">
        <v>6</v>
      </c>
      <c r="G43">
        <f t="shared" si="16"/>
        <v>66.46327325091832</v>
      </c>
      <c r="H43">
        <f t="shared" si="16"/>
        <v>40.318270016963012</v>
      </c>
      <c r="I43" s="4">
        <f t="shared" si="16"/>
        <v>6.8852739099129883</v>
      </c>
      <c r="J43">
        <f t="shared" si="16"/>
        <v>91.62588628680912</v>
      </c>
      <c r="K43">
        <f t="shared" si="16"/>
        <v>26.003441416594463</v>
      </c>
      <c r="L43" s="4">
        <f t="shared" si="16"/>
        <v>21.602821473463258</v>
      </c>
      <c r="M43" s="4">
        <f t="shared" si="16"/>
        <v>11.72217272982439</v>
      </c>
      <c r="N43">
        <f t="shared" si="16"/>
        <v>3.1485300757843864</v>
      </c>
      <c r="O43">
        <f t="shared" si="16"/>
        <v>0.62909583490963228</v>
      </c>
      <c r="P43" s="4">
        <f t="shared" si="16"/>
        <v>2.7458111126026627E-2</v>
      </c>
      <c r="Q43">
        <f t="shared" si="16"/>
        <v>0.37953211378641249</v>
      </c>
      <c r="R43" s="4">
        <f t="shared" si="16"/>
        <v>0.26359786680985564</v>
      </c>
      <c r="S43" s="4">
        <f t="shared" si="16"/>
        <v>0.26908948903506097</v>
      </c>
      <c r="T43" s="4">
        <f t="shared" si="16"/>
        <v>0.17939299269004064</v>
      </c>
      <c r="U43" s="4">
        <f t="shared" si="16"/>
        <v>9.1789414593070795</v>
      </c>
      <c r="V43">
        <f t="shared" si="16"/>
        <v>2.0746128406331232</v>
      </c>
      <c r="W43">
        <f t="shared" ref="W43:X43" si="20">100*(W7/$F7)</f>
        <v>7.4441990163894411E-2</v>
      </c>
      <c r="X43" s="4">
        <f t="shared" si="20"/>
        <v>6.1018024724503617E-4</v>
      </c>
    </row>
    <row r="44" spans="1:24" x14ac:dyDescent="0.25">
      <c r="A44" s="8">
        <v>7</v>
      </c>
      <c r="G44">
        <f t="shared" si="16"/>
        <v>81.396784751053062</v>
      </c>
      <c r="H44">
        <f t="shared" si="16"/>
        <v>60.678353889511804</v>
      </c>
      <c r="I44" s="4">
        <f t="shared" si="16"/>
        <v>7.521061244280129</v>
      </c>
      <c r="J44">
        <f t="shared" si="16"/>
        <v>93.031228219036947</v>
      </c>
      <c r="K44">
        <f t="shared" si="16"/>
        <v>36.543531622170363</v>
      </c>
      <c r="L44" s="4">
        <f t="shared" si="16"/>
        <v>23.357147186278372</v>
      </c>
      <c r="M44" s="4">
        <f t="shared" si="16"/>
        <v>9.8783296463529187</v>
      </c>
      <c r="N44">
        <f t="shared" si="16"/>
        <v>2.7186429891814905</v>
      </c>
      <c r="O44">
        <f t="shared" si="16"/>
        <v>1.0416982332797964</v>
      </c>
      <c r="P44" s="4">
        <f t="shared" si="16"/>
        <v>9.8487832964635289E-3</v>
      </c>
      <c r="Q44">
        <f t="shared" si="16"/>
        <v>0.20947604472862816</v>
      </c>
      <c r="R44" s="4">
        <f t="shared" si="16"/>
        <v>0.1340949725749265</v>
      </c>
      <c r="S44" s="4">
        <f t="shared" si="16"/>
        <v>0.62539773932543419</v>
      </c>
      <c r="T44" s="4">
        <f t="shared" si="16"/>
        <v>0.2984938937543562</v>
      </c>
      <c r="U44" s="4">
        <f t="shared" si="16"/>
        <v>10.440089093608897</v>
      </c>
      <c r="V44">
        <f t="shared" si="16"/>
        <v>4.4236188975423492</v>
      </c>
      <c r="W44">
        <f t="shared" ref="W44:X44" si="21">100*(W8/$F8)</f>
        <v>0.37160216976272009</v>
      </c>
      <c r="X44" s="4">
        <f t="shared" si="21"/>
        <v>1.8939967877814479E-3</v>
      </c>
    </row>
    <row r="45" spans="1:24" x14ac:dyDescent="0.25">
      <c r="A45" s="8">
        <v>8</v>
      </c>
      <c r="G45">
        <f t="shared" si="16"/>
        <v>74.687144878936394</v>
      </c>
      <c r="H45">
        <f t="shared" si="16"/>
        <v>46.506828781973972</v>
      </c>
      <c r="I45" s="4">
        <f t="shared" si="16"/>
        <v>5.8143993530260669</v>
      </c>
      <c r="J45">
        <f t="shared" si="16"/>
        <v>91.534959598987712</v>
      </c>
      <c r="K45">
        <f t="shared" si="16"/>
        <v>33.070964953254737</v>
      </c>
      <c r="L45" s="4">
        <f t="shared" si="16"/>
        <v>25.650982661377469</v>
      </c>
      <c r="M45" s="4">
        <f t="shared" si="16"/>
        <v>12.825839915781842</v>
      </c>
      <c r="N45">
        <f t="shared" si="16"/>
        <v>1.4905498581258672</v>
      </c>
      <c r="O45">
        <f t="shared" si="16"/>
        <v>0.72226831291786642</v>
      </c>
      <c r="P45" s="4">
        <f t="shared" si="16"/>
        <v>1.7429254655353919E-2</v>
      </c>
      <c r="Q45">
        <f t="shared" si="16"/>
        <v>0.49987102351555035</v>
      </c>
      <c r="R45" s="4">
        <f t="shared" si="16"/>
        <v>0.40505587819042504</v>
      </c>
      <c r="S45" s="4">
        <f t="shared" si="16"/>
        <v>0.21612275772638859</v>
      </c>
      <c r="T45" s="4">
        <f t="shared" si="16"/>
        <v>0.16801801487761178</v>
      </c>
      <c r="U45" s="4">
        <f t="shared" si="16"/>
        <v>12.197689578002887</v>
      </c>
      <c r="V45">
        <f t="shared" si="16"/>
        <v>1.0555156619282333</v>
      </c>
      <c r="W45">
        <f t="shared" ref="W45:X45" si="22">100*(W9/$F9)</f>
        <v>0.28305109560294767</v>
      </c>
      <c r="X45" s="4">
        <f t="shared" si="22"/>
        <v>2.7886807448566269E-3</v>
      </c>
    </row>
    <row r="46" spans="1:24" x14ac:dyDescent="0.25">
      <c r="A46" s="8">
        <v>9</v>
      </c>
      <c r="G46">
        <f t="shared" si="16"/>
        <v>89.26292820034827</v>
      </c>
      <c r="H46">
        <f t="shared" si="16"/>
        <v>53.277841602901752</v>
      </c>
      <c r="I46" s="4">
        <f t="shared" si="16"/>
        <v>7.1604563616789143</v>
      </c>
      <c r="J46">
        <f t="shared" si="16"/>
        <v>90.715250832737226</v>
      </c>
      <c r="K46">
        <f t="shared" si="16"/>
        <v>45.094256461390621</v>
      </c>
      <c r="L46" s="4">
        <f t="shared" si="16"/>
        <v>30.483601760128327</v>
      </c>
      <c r="M46" s="4">
        <f t="shared" si="16"/>
        <v>13.502987738350711</v>
      </c>
      <c r="N46">
        <f t="shared" si="16"/>
        <v>2.3388897318622246</v>
      </c>
      <c r="O46">
        <f t="shared" si="16"/>
        <v>1.3107031120167054</v>
      </c>
      <c r="P46" s="4">
        <f t="shared" si="16"/>
        <v>2.2399005773163099E-2</v>
      </c>
      <c r="Q46">
        <f t="shared" si="16"/>
        <v>0.91980433384634286</v>
      </c>
      <c r="R46" s="4">
        <f t="shared" si="16"/>
        <v>0.5794839558089292</v>
      </c>
      <c r="S46" s="4">
        <f t="shared" si="16"/>
        <v>0.34321057233072494</v>
      </c>
      <c r="T46" s="4">
        <f t="shared" si="16"/>
        <v>1.0057876140723561</v>
      </c>
      <c r="U46" s="4">
        <f t="shared" si="16"/>
        <v>14.877997673393594</v>
      </c>
      <c r="V46">
        <f t="shared" si="16"/>
        <v>1.2442286432705438</v>
      </c>
      <c r="W46">
        <f t="shared" ref="W46:X46" si="23">100*(W10/$F10)</f>
        <v>0.24927925779810547</v>
      </c>
      <c r="X46" s="4">
        <f t="shared" si="23"/>
        <v>3.6127428666392096E-3</v>
      </c>
    </row>
    <row r="47" spans="1:24" x14ac:dyDescent="0.25">
      <c r="A47" s="8">
        <v>10</v>
      </c>
      <c r="G47">
        <f t="shared" si="16"/>
        <v>75.310227436795671</v>
      </c>
      <c r="H47">
        <f t="shared" si="16"/>
        <v>45.724446605925664</v>
      </c>
      <c r="I47" s="4">
        <f t="shared" si="16"/>
        <v>5.5312811082319513</v>
      </c>
      <c r="J47">
        <f t="shared" si="16"/>
        <v>92.767312324749042</v>
      </c>
      <c r="K47">
        <f t="shared" si="16"/>
        <v>39.516098391300716</v>
      </c>
      <c r="L47" s="4">
        <f t="shared" si="16"/>
        <v>29.322856904032768</v>
      </c>
      <c r="M47" s="4">
        <f t="shared" si="16"/>
        <v>19.56807526007432</v>
      </c>
      <c r="N47">
        <f t="shared" si="16"/>
        <v>1.9810482001869343</v>
      </c>
      <c r="O47">
        <f t="shared" si="16"/>
        <v>0.88527853978434168</v>
      </c>
      <c r="P47" s="4">
        <f t="shared" si="16"/>
        <v>1.0638540392258181E-2</v>
      </c>
      <c r="Q47">
        <f t="shared" si="16"/>
        <v>1.0159806074606563</v>
      </c>
      <c r="R47" s="4">
        <f t="shared" si="16"/>
        <v>0.6329931533393619</v>
      </c>
      <c r="S47" s="4">
        <f t="shared" si="16"/>
        <v>0.27128278000258366</v>
      </c>
      <c r="T47" s="4">
        <f t="shared" si="16"/>
        <v>0.25988434386802134</v>
      </c>
      <c r="U47" s="4">
        <f t="shared" si="16"/>
        <v>8.7653973874784388</v>
      </c>
      <c r="V47">
        <f t="shared" si="16"/>
        <v>0.41262338807115662</v>
      </c>
      <c r="W47">
        <f t="shared" ref="W47:X47" si="24">100*(W11/$F11)</f>
        <v>8.8147906107282084E-2</v>
      </c>
      <c r="X47" s="4">
        <f t="shared" si="24"/>
        <v>2.2796872269124678E-3</v>
      </c>
    </row>
    <row r="48" spans="1:24" x14ac:dyDescent="0.25">
      <c r="A48" s="8">
        <v>11</v>
      </c>
      <c r="G48">
        <f t="shared" si="16"/>
        <v>69.094388435483012</v>
      </c>
      <c r="H48">
        <f t="shared" si="16"/>
        <v>48.826478903291189</v>
      </c>
      <c r="I48" s="4">
        <f t="shared" si="16"/>
        <v>4.4520456606390351</v>
      </c>
      <c r="J48">
        <f t="shared" si="16"/>
        <v>93.750333386675194</v>
      </c>
      <c r="K48">
        <f t="shared" si="16"/>
        <v>25.714781031631727</v>
      </c>
      <c r="L48" s="4">
        <f t="shared" si="16"/>
        <v>17.057395850002667</v>
      </c>
      <c r="M48" s="4">
        <f t="shared" si="16"/>
        <v>9.922254227343041</v>
      </c>
      <c r="N48">
        <f t="shared" si="16"/>
        <v>1.9803168506961115</v>
      </c>
      <c r="O48">
        <f t="shared" si="16"/>
        <v>0.71878167173414409</v>
      </c>
      <c r="P48" s="4">
        <f t="shared" si="16"/>
        <v>1.2001920307249159E-2</v>
      </c>
      <c r="Q48">
        <f t="shared" si="16"/>
        <v>0.36005760921747482</v>
      </c>
      <c r="R48" s="4">
        <f t="shared" si="16"/>
        <v>0.22003520563290127</v>
      </c>
      <c r="S48" s="4">
        <f t="shared" si="16"/>
        <v>0.21336747212887397</v>
      </c>
      <c r="T48" s="4">
        <f t="shared" si="16"/>
        <v>9.7348909158798749E-2</v>
      </c>
      <c r="U48" s="4">
        <f t="shared" si="16"/>
        <v>6.4243612311303142</v>
      </c>
      <c r="V48">
        <f t="shared" si="16"/>
        <v>1.0154958126633595</v>
      </c>
      <c r="W48">
        <f t="shared" ref="W48:X48" si="25">100*(W12/$F12)</f>
        <v>7.9346028697924995E-2</v>
      </c>
      <c r="X48" s="4">
        <f t="shared" si="25"/>
        <v>0</v>
      </c>
    </row>
    <row r="49" spans="1:24" x14ac:dyDescent="0.25">
      <c r="A49" s="8">
        <v>12</v>
      </c>
      <c r="G49">
        <f t="shared" si="16"/>
        <v>79.280341023069212</v>
      </c>
      <c r="H49">
        <f t="shared" si="16"/>
        <v>41.985957873620862</v>
      </c>
      <c r="I49" s="4">
        <f t="shared" si="16"/>
        <v>6.7515045135406222</v>
      </c>
      <c r="J49">
        <f t="shared" si="16"/>
        <v>91.821715145436315</v>
      </c>
      <c r="K49">
        <f t="shared" si="16"/>
        <v>50.886409227683046</v>
      </c>
      <c r="L49" s="4">
        <f t="shared" si="16"/>
        <v>36.858074222668002</v>
      </c>
      <c r="M49" s="4">
        <f t="shared" si="16"/>
        <v>17.844784353059179</v>
      </c>
      <c r="N49">
        <f t="shared" si="16"/>
        <v>3.7036108324974926</v>
      </c>
      <c r="O49">
        <f t="shared" si="16"/>
        <v>1.2412236710130391</v>
      </c>
      <c r="P49" s="4">
        <f t="shared" si="16"/>
        <v>4.7642928786359076E-2</v>
      </c>
      <c r="Q49">
        <f t="shared" si="16"/>
        <v>0.65947843530591777</v>
      </c>
      <c r="R49" s="4">
        <f t="shared" si="16"/>
        <v>0.4124874623871615</v>
      </c>
      <c r="S49" s="4">
        <f t="shared" si="16"/>
        <v>0.68580742226680047</v>
      </c>
      <c r="T49" s="4">
        <f t="shared" si="16"/>
        <v>0.46263791374122371</v>
      </c>
      <c r="U49" s="4">
        <f t="shared" si="16"/>
        <v>16.791624874623874</v>
      </c>
      <c r="V49">
        <f t="shared" si="16"/>
        <v>2.3106820461384152</v>
      </c>
      <c r="W49">
        <f t="shared" ref="W49:X49" si="26">100*(W13/$F13)</f>
        <v>0.1905717151454363</v>
      </c>
      <c r="X49" s="4">
        <f t="shared" si="26"/>
        <v>5.0150451354062184E-3</v>
      </c>
    </row>
    <row r="50" spans="1:24" x14ac:dyDescent="0.25">
      <c r="A50" s="8">
        <v>13</v>
      </c>
      <c r="G50">
        <f t="shared" si="16"/>
        <v>67.740979720832243</v>
      </c>
      <c r="H50">
        <f t="shared" si="16"/>
        <v>46.069265209375821</v>
      </c>
      <c r="I50" s="4">
        <f t="shared" si="16"/>
        <v>6.552870687384778</v>
      </c>
      <c r="J50">
        <f t="shared" si="16"/>
        <v>92.113839873584411</v>
      </c>
      <c r="K50">
        <f t="shared" si="16"/>
        <v>25.440314722149065</v>
      </c>
      <c r="L50" s="4">
        <f t="shared" si="16"/>
        <v>18.653706873847774</v>
      </c>
      <c r="M50" s="4">
        <f t="shared" si="16"/>
        <v>10.783184092704767</v>
      </c>
      <c r="N50">
        <f t="shared" si="16"/>
        <v>2.4542401896233872</v>
      </c>
      <c r="O50">
        <f t="shared" si="16"/>
        <v>0.87486831709244139</v>
      </c>
      <c r="P50" s="4">
        <f t="shared" si="16"/>
        <v>4.9381090334474588E-3</v>
      </c>
      <c r="Q50">
        <f t="shared" si="16"/>
        <v>0.60821042928627866</v>
      </c>
      <c r="R50" s="4">
        <f t="shared" si="16"/>
        <v>0.40904003160389779</v>
      </c>
      <c r="S50" s="4">
        <f t="shared" si="16"/>
        <v>0.25431261522254411</v>
      </c>
      <c r="T50" s="4">
        <f t="shared" si="16"/>
        <v>0.20328548854358705</v>
      </c>
      <c r="U50" s="4">
        <f t="shared" si="16"/>
        <v>6.6606860679483804</v>
      </c>
      <c r="V50">
        <f t="shared" si="16"/>
        <v>0.90038188043192002</v>
      </c>
      <c r="W50">
        <f t="shared" ref="W50:X50" si="27">100*(W14/$F14)</f>
        <v>8.9708980774295496E-2</v>
      </c>
      <c r="X50" s="4">
        <f t="shared" si="27"/>
        <v>1.6460363444824862E-3</v>
      </c>
    </row>
    <row r="51" spans="1:24" x14ac:dyDescent="0.25">
      <c r="A51" s="8">
        <v>14</v>
      </c>
      <c r="G51">
        <f t="shared" si="16"/>
        <v>67.9158878504673</v>
      </c>
      <c r="H51">
        <f t="shared" si="16"/>
        <v>44.686915887850468</v>
      </c>
      <c r="I51" s="4">
        <f t="shared" si="16"/>
        <v>5.3288551401869162</v>
      </c>
      <c r="J51">
        <f t="shared" si="16"/>
        <v>93.309579439252332</v>
      </c>
      <c r="K51">
        <f t="shared" si="16"/>
        <v>32.705023364485982</v>
      </c>
      <c r="L51" s="4">
        <f t="shared" si="16"/>
        <v>23.918224299065422</v>
      </c>
      <c r="M51" s="4">
        <f t="shared" si="16"/>
        <v>15.559579439252335</v>
      </c>
      <c r="N51">
        <f t="shared" si="16"/>
        <v>2.3346962616822431</v>
      </c>
      <c r="O51">
        <f t="shared" si="16"/>
        <v>0.80665887850467288</v>
      </c>
      <c r="P51" s="4">
        <f t="shared" si="16"/>
        <v>4.0887850467289724E-3</v>
      </c>
      <c r="Q51">
        <f t="shared" si="16"/>
        <v>0.39661214953271029</v>
      </c>
      <c r="R51" s="4">
        <f t="shared" si="16"/>
        <v>0.27044392523364486</v>
      </c>
      <c r="S51" s="4">
        <f t="shared" si="16"/>
        <v>0.4480140186915888</v>
      </c>
      <c r="T51" s="4">
        <f t="shared" si="16"/>
        <v>0.24532710280373832</v>
      </c>
      <c r="U51" s="4">
        <f t="shared" si="16"/>
        <v>7.6425233644859816</v>
      </c>
      <c r="V51">
        <f t="shared" si="16"/>
        <v>0.5829439252336448</v>
      </c>
      <c r="W51">
        <f t="shared" ref="W51:X51" si="28">100*(W15/$F15)</f>
        <v>6.6004672897196262E-2</v>
      </c>
      <c r="X51" s="4">
        <f t="shared" si="28"/>
        <v>5.8411214953271024E-4</v>
      </c>
    </row>
    <row r="52" spans="1:24" x14ac:dyDescent="0.25">
      <c r="A52" s="8">
        <v>15</v>
      </c>
      <c r="G52">
        <f t="shared" si="16"/>
        <v>78.959006633781257</v>
      </c>
      <c r="H52">
        <f t="shared" si="16"/>
        <v>40.671728339699079</v>
      </c>
      <c r="I52" s="4">
        <f t="shared" si="16"/>
        <v>5.8946326678934264</v>
      </c>
      <c r="J52">
        <f t="shared" si="16"/>
        <v>89.982835670877861</v>
      </c>
      <c r="K52">
        <f t="shared" si="16"/>
        <v>39.020241537676476</v>
      </c>
      <c r="L52" s="4">
        <f t="shared" si="16"/>
        <v>31.096816094264639</v>
      </c>
      <c r="M52" s="4">
        <f t="shared" si="16"/>
        <v>18.942615472637588</v>
      </c>
      <c r="N52">
        <f t="shared" si="16"/>
        <v>1.6592184818073574</v>
      </c>
      <c r="O52">
        <f t="shared" si="16"/>
        <v>0.84429943249470385</v>
      </c>
      <c r="P52" s="4">
        <f t="shared" si="16"/>
        <v>2.1648703397300097E-2</v>
      </c>
      <c r="Q52">
        <f t="shared" si="16"/>
        <v>0.56131995237285248</v>
      </c>
      <c r="R52" s="4">
        <f t="shared" si="16"/>
        <v>0.37266696562495166</v>
      </c>
      <c r="S52" s="4">
        <f t="shared" si="16"/>
        <v>0.32936955883035152</v>
      </c>
      <c r="T52" s="4">
        <f t="shared" si="16"/>
        <v>0.16236527547975071</v>
      </c>
      <c r="U52" s="4">
        <f t="shared" si="16"/>
        <v>11.022282701139648</v>
      </c>
      <c r="V52">
        <f t="shared" si="16"/>
        <v>0.4639007870850021</v>
      </c>
      <c r="W52">
        <f t="shared" ref="W52:X52" si="29">100*(W16/$F16)</f>
        <v>5.4121758493250245E-2</v>
      </c>
      <c r="X52" s="4">
        <f t="shared" si="29"/>
        <v>1.5463359569500071E-3</v>
      </c>
    </row>
    <row r="53" spans="1:24" s="10" customFormat="1" x14ac:dyDescent="0.25"/>
    <row r="54" spans="1:24" s="10" customFormat="1" x14ac:dyDescent="0.25">
      <c r="A54" s="10" t="s">
        <v>87</v>
      </c>
    </row>
    <row r="55" spans="1:24" ht="27" customHeight="1" x14ac:dyDescent="0.25">
      <c r="A55" s="10" t="s">
        <v>87</v>
      </c>
      <c r="B55" s="1" t="s">
        <v>70</v>
      </c>
      <c r="C55" s="1" t="s">
        <v>88</v>
      </c>
      <c r="D55" s="1" t="s">
        <v>89</v>
      </c>
      <c r="E55" s="11" t="s">
        <v>90</v>
      </c>
      <c r="F55" s="1"/>
      <c r="G55" s="1"/>
      <c r="H55" s="1"/>
      <c r="I55" s="3" t="s">
        <v>18</v>
      </c>
      <c r="J55" s="1" t="s">
        <v>77</v>
      </c>
      <c r="K55" s="1" t="s">
        <v>78</v>
      </c>
      <c r="L55" s="3" t="s">
        <v>12</v>
      </c>
      <c r="M55" s="3" t="s">
        <v>79</v>
      </c>
      <c r="P55" s="4" t="s">
        <v>80</v>
      </c>
      <c r="R55" s="4" t="s">
        <v>25</v>
      </c>
      <c r="S55" s="4" t="s">
        <v>81</v>
      </c>
      <c r="T55" s="4" t="s">
        <v>82</v>
      </c>
      <c r="U55" s="4" t="s">
        <v>83</v>
      </c>
      <c r="X55" s="4" t="s">
        <v>84</v>
      </c>
    </row>
    <row r="56" spans="1:24" s="6" customFormat="1" ht="20.100000000000001" customHeight="1" x14ac:dyDescent="0.25">
      <c r="A56" s="10">
        <v>1</v>
      </c>
      <c r="B56" s="1">
        <v>840000</v>
      </c>
      <c r="C56">
        <v>183156</v>
      </c>
      <c r="D56" s="6">
        <v>1985000</v>
      </c>
      <c r="E56" s="6">
        <f>(C56/B56)*D56</f>
        <v>432815.07142857142</v>
      </c>
      <c r="I56" s="6">
        <f t="shared" ref="I56:I69" si="30">I22*$E56</f>
        <v>1776574.9999999998</v>
      </c>
      <c r="L56" s="6">
        <f t="shared" ref="L56:M69" si="31">L22*$E56</f>
        <v>15913555.952380951</v>
      </c>
      <c r="M56" s="6">
        <f t="shared" si="31"/>
        <v>11149319.642857142</v>
      </c>
      <c r="P56" s="6">
        <f t="shared" ref="P56:P69" si="32">P22*$E56</f>
        <v>4017.2619047619046</v>
      </c>
      <c r="R56" s="6">
        <f t="shared" ref="R56:U69" si="33">R22*$E56</f>
        <v>223785.11904761902</v>
      </c>
      <c r="S56" s="6">
        <f t="shared" si="33"/>
        <v>247416.07142857142</v>
      </c>
      <c r="T56" s="6">
        <f t="shared" si="33"/>
        <v>97832.142857142841</v>
      </c>
      <c r="U56" s="6">
        <f t="shared" si="33"/>
        <v>4364400.5952380951</v>
      </c>
      <c r="X56" s="6">
        <f t="shared" ref="X56:X69" si="34">X22*$E56</f>
        <v>472.61904761904759</v>
      </c>
    </row>
    <row r="57" spans="1:24" s="6" customFormat="1" x14ac:dyDescent="0.25">
      <c r="A57" s="10">
        <v>2</v>
      </c>
      <c r="B57" s="1">
        <v>1500000</v>
      </c>
      <c r="C57">
        <v>212852</v>
      </c>
      <c r="D57" s="6">
        <v>2290000</v>
      </c>
      <c r="E57" s="6">
        <f t="shared" ref="E57:E69" si="35">(C57/B57)*D57</f>
        <v>324954.05333333329</v>
      </c>
      <c r="I57" s="6">
        <f t="shared" si="30"/>
        <v>2536709.333333333</v>
      </c>
      <c r="L57" s="6">
        <f t="shared" si="31"/>
        <v>5038763.333333333</v>
      </c>
      <c r="M57" s="6">
        <f t="shared" si="31"/>
        <v>2888605.9999999995</v>
      </c>
      <c r="P57" s="6">
        <f t="shared" si="32"/>
        <v>1221.3333333333333</v>
      </c>
      <c r="R57" s="6">
        <f t="shared" si="33"/>
        <v>24884.666666666661</v>
      </c>
      <c r="S57" s="6">
        <f t="shared" si="33"/>
        <v>23205.333333333332</v>
      </c>
      <c r="T57" s="6">
        <f t="shared" si="33"/>
        <v>55265.333333333328</v>
      </c>
      <c r="U57" s="6">
        <f t="shared" si="33"/>
        <v>2027413.333333333</v>
      </c>
      <c r="X57" s="6">
        <f t="shared" si="34"/>
        <v>305.33333333333331</v>
      </c>
    </row>
    <row r="58" spans="1:24" s="6" customFormat="1" x14ac:dyDescent="0.25">
      <c r="A58" s="10">
        <v>3</v>
      </c>
      <c r="B58" s="1">
        <v>1500000</v>
      </c>
      <c r="C58">
        <v>133726</v>
      </c>
      <c r="D58" s="6">
        <v>695000</v>
      </c>
      <c r="E58" s="6">
        <f t="shared" si="35"/>
        <v>61959.713333333333</v>
      </c>
      <c r="I58" s="6">
        <f t="shared" si="30"/>
        <v>310201.66666666663</v>
      </c>
      <c r="L58" s="6">
        <f t="shared" si="31"/>
        <v>1226767.6666666667</v>
      </c>
      <c r="M58" s="6">
        <f t="shared" si="31"/>
        <v>810926</v>
      </c>
      <c r="P58" s="6">
        <f t="shared" si="32"/>
        <v>648.66666666666663</v>
      </c>
      <c r="R58" s="6">
        <f t="shared" si="33"/>
        <v>18579.666666666664</v>
      </c>
      <c r="S58" s="6">
        <f t="shared" si="33"/>
        <v>11676</v>
      </c>
      <c r="T58" s="6">
        <f t="shared" si="33"/>
        <v>13158.666666666668</v>
      </c>
      <c r="U58" s="6">
        <f t="shared" si="33"/>
        <v>389199.99999999994</v>
      </c>
      <c r="X58" s="6">
        <f t="shared" si="34"/>
        <v>46.333333333333336</v>
      </c>
    </row>
    <row r="59" spans="1:24" s="6" customFormat="1" x14ac:dyDescent="0.25">
      <c r="A59" s="10">
        <v>4</v>
      </c>
      <c r="B59" s="1">
        <v>1370000</v>
      </c>
      <c r="C59">
        <v>155234</v>
      </c>
      <c r="D59" s="6">
        <v>1190000</v>
      </c>
      <c r="E59" s="6">
        <f t="shared" si="35"/>
        <v>134838.29197080291</v>
      </c>
      <c r="I59" s="6">
        <f t="shared" si="30"/>
        <v>819362.77372262767</v>
      </c>
      <c r="L59" s="6">
        <f t="shared" si="31"/>
        <v>3175128.4671532847</v>
      </c>
      <c r="M59" s="6">
        <f t="shared" si="31"/>
        <v>1888712.4087591236</v>
      </c>
      <c r="P59" s="6">
        <f t="shared" si="32"/>
        <v>1824.0875912408758</v>
      </c>
      <c r="R59" s="6">
        <f t="shared" si="33"/>
        <v>61497.810218978098</v>
      </c>
      <c r="S59" s="6">
        <f t="shared" si="33"/>
        <v>45167.883211678833</v>
      </c>
      <c r="T59" s="6">
        <f t="shared" si="33"/>
        <v>46731.386861313869</v>
      </c>
      <c r="U59" s="6">
        <f t="shared" si="33"/>
        <v>1186178.1021897809</v>
      </c>
      <c r="X59" s="6">
        <f t="shared" si="34"/>
        <v>781.75182481751824</v>
      </c>
    </row>
    <row r="60" spans="1:24" s="6" customFormat="1" x14ac:dyDescent="0.25">
      <c r="A60" s="10">
        <v>6</v>
      </c>
      <c r="B60" s="1">
        <v>1430000</v>
      </c>
      <c r="C60">
        <v>179658</v>
      </c>
      <c r="D60" s="6">
        <v>1165000</v>
      </c>
      <c r="E60" s="6">
        <f t="shared" si="35"/>
        <v>146364.73426573427</v>
      </c>
      <c r="I60" s="6">
        <f t="shared" si="30"/>
        <v>919290.90909090894</v>
      </c>
      <c r="L60" s="6">
        <f t="shared" si="31"/>
        <v>2884311.888111888</v>
      </c>
      <c r="M60" s="6">
        <f t="shared" si="31"/>
        <v>1565091.958041958</v>
      </c>
      <c r="P60" s="6">
        <f t="shared" si="32"/>
        <v>3666.0839160839159</v>
      </c>
      <c r="R60" s="6">
        <f t="shared" si="33"/>
        <v>35194.405594405594</v>
      </c>
      <c r="S60" s="6">
        <f t="shared" si="33"/>
        <v>35927.622377622378</v>
      </c>
      <c r="T60" s="6">
        <f t="shared" si="33"/>
        <v>23951.748251748253</v>
      </c>
      <c r="U60" s="6">
        <f t="shared" si="33"/>
        <v>1225531.1188811189</v>
      </c>
      <c r="X60" s="6">
        <f t="shared" si="34"/>
        <v>81.468531468531481</v>
      </c>
    </row>
    <row r="61" spans="1:24" s="6" customFormat="1" x14ac:dyDescent="0.25">
      <c r="A61" s="10">
        <v>7</v>
      </c>
      <c r="B61" s="1">
        <v>1500000</v>
      </c>
      <c r="C61">
        <v>282237</v>
      </c>
      <c r="D61" s="6">
        <v>1920000</v>
      </c>
      <c r="E61" s="6">
        <f t="shared" si="35"/>
        <v>361263.35999999999</v>
      </c>
      <c r="I61" s="6">
        <f t="shared" si="30"/>
        <v>2541440</v>
      </c>
      <c r="L61" s="6">
        <f t="shared" si="31"/>
        <v>7892608</v>
      </c>
      <c r="M61" s="6">
        <f t="shared" si="31"/>
        <v>3337984</v>
      </c>
      <c r="P61" s="6">
        <f t="shared" si="32"/>
        <v>3328</v>
      </c>
      <c r="R61" s="6">
        <f t="shared" si="33"/>
        <v>45312</v>
      </c>
      <c r="S61" s="6">
        <f t="shared" si="33"/>
        <v>211328</v>
      </c>
      <c r="T61" s="6">
        <f t="shared" si="33"/>
        <v>100863.99999999999</v>
      </c>
      <c r="U61" s="6">
        <f t="shared" si="33"/>
        <v>3527807.9999999995</v>
      </c>
      <c r="X61" s="6">
        <f t="shared" si="34"/>
        <v>639.99999999999989</v>
      </c>
    </row>
    <row r="62" spans="1:24" s="6" customFormat="1" x14ac:dyDescent="0.25">
      <c r="A62" s="10">
        <v>8</v>
      </c>
      <c r="B62" s="1">
        <v>1030000</v>
      </c>
      <c r="C62">
        <v>153400</v>
      </c>
      <c r="D62" s="6">
        <v>1060000</v>
      </c>
      <c r="E62" s="6">
        <f t="shared" si="35"/>
        <v>157867.96116504853</v>
      </c>
      <c r="I62" s="6">
        <f t="shared" si="30"/>
        <v>858291.26213592233</v>
      </c>
      <c r="L62" s="6">
        <f t="shared" si="31"/>
        <v>3786464.0776699027</v>
      </c>
      <c r="M62" s="6">
        <f t="shared" si="31"/>
        <v>1893283.495145631</v>
      </c>
      <c r="P62" s="6">
        <f t="shared" si="32"/>
        <v>2572.8155339805826</v>
      </c>
      <c r="R62" s="6">
        <f t="shared" si="33"/>
        <v>59792.23300970874</v>
      </c>
      <c r="S62" s="6">
        <f t="shared" si="33"/>
        <v>31902.912621359217</v>
      </c>
      <c r="T62" s="6">
        <f t="shared" si="33"/>
        <v>24801.941747572811</v>
      </c>
      <c r="U62" s="6">
        <f t="shared" si="33"/>
        <v>1800559.2233009706</v>
      </c>
      <c r="X62" s="6">
        <f t="shared" si="34"/>
        <v>411.65048543689318</v>
      </c>
    </row>
    <row r="63" spans="1:24" s="6" customFormat="1" x14ac:dyDescent="0.25">
      <c r="A63" s="10">
        <v>9</v>
      </c>
      <c r="B63" s="1">
        <v>1010000</v>
      </c>
      <c r="C63">
        <v>147349</v>
      </c>
      <c r="D63" s="6">
        <v>1175000</v>
      </c>
      <c r="E63" s="6">
        <f t="shared" si="35"/>
        <v>171420.86633663366</v>
      </c>
      <c r="I63" s="6">
        <f t="shared" si="30"/>
        <v>1152896.0396039602</v>
      </c>
      <c r="L63" s="6">
        <f t="shared" si="31"/>
        <v>4908126.2376237623</v>
      </c>
      <c r="M63" s="6">
        <f t="shared" si="31"/>
        <v>2174099.0099009904</v>
      </c>
      <c r="P63" s="6">
        <f t="shared" si="32"/>
        <v>3606.4356435643558</v>
      </c>
      <c r="R63" s="6">
        <f t="shared" si="33"/>
        <v>93301.980198019795</v>
      </c>
      <c r="S63" s="6">
        <f t="shared" si="33"/>
        <v>55259.900990099006</v>
      </c>
      <c r="T63" s="6">
        <f t="shared" si="33"/>
        <v>161940.59405940596</v>
      </c>
      <c r="U63" s="6">
        <f t="shared" si="33"/>
        <v>2395487.6237623761</v>
      </c>
      <c r="X63" s="6">
        <f t="shared" si="34"/>
        <v>581.68316831683171</v>
      </c>
    </row>
    <row r="64" spans="1:24" s="6" customFormat="1" x14ac:dyDescent="0.25">
      <c r="A64" s="10">
        <v>10</v>
      </c>
      <c r="B64" s="1">
        <v>961000</v>
      </c>
      <c r="C64">
        <v>140428</v>
      </c>
      <c r="D64" s="6">
        <v>1050000</v>
      </c>
      <c r="E64" s="6">
        <f t="shared" si="35"/>
        <v>153433.29864724245</v>
      </c>
      <c r="I64" s="6">
        <f t="shared" si="30"/>
        <v>795312.17481789808</v>
      </c>
      <c r="L64" s="6">
        <f t="shared" si="31"/>
        <v>4216170.655567118</v>
      </c>
      <c r="M64" s="6">
        <f t="shared" si="31"/>
        <v>2813584.8074921956</v>
      </c>
      <c r="P64" s="6">
        <f t="shared" si="32"/>
        <v>1529.6566077003122</v>
      </c>
      <c r="R64" s="6">
        <f t="shared" si="33"/>
        <v>91014.568158168579</v>
      </c>
      <c r="S64" s="6">
        <f t="shared" si="33"/>
        <v>39006.243496357951</v>
      </c>
      <c r="T64" s="6">
        <f t="shared" si="33"/>
        <v>37367.32570239334</v>
      </c>
      <c r="U64" s="6">
        <f t="shared" si="33"/>
        <v>1260327.7835587929</v>
      </c>
      <c r="X64" s="6">
        <f t="shared" si="34"/>
        <v>327.783558792924</v>
      </c>
    </row>
    <row r="65" spans="1:24" s="6" customFormat="1" x14ac:dyDescent="0.25">
      <c r="A65" s="10">
        <v>11</v>
      </c>
      <c r="B65" s="1">
        <v>1500000</v>
      </c>
      <c r="C65">
        <v>171370</v>
      </c>
      <c r="D65" s="6">
        <v>1300000</v>
      </c>
      <c r="E65" s="6">
        <f t="shared" si="35"/>
        <v>148520.66666666666</v>
      </c>
      <c r="I65" s="6">
        <f t="shared" si="30"/>
        <v>578673.33333333326</v>
      </c>
      <c r="L65" s="6">
        <f t="shared" si="31"/>
        <v>2217106.6666666665</v>
      </c>
      <c r="M65" s="6">
        <f t="shared" si="31"/>
        <v>1289686.6666666665</v>
      </c>
      <c r="P65" s="6">
        <f t="shared" si="32"/>
        <v>1559.9999999999998</v>
      </c>
      <c r="R65" s="6">
        <f t="shared" si="33"/>
        <v>28599.999999999996</v>
      </c>
      <c r="S65" s="6">
        <f t="shared" si="33"/>
        <v>27733.333333333332</v>
      </c>
      <c r="T65" s="6">
        <f t="shared" si="33"/>
        <v>12653.333333333334</v>
      </c>
      <c r="U65" s="6">
        <f t="shared" si="33"/>
        <v>835033.33333333326</v>
      </c>
      <c r="X65" s="6">
        <f t="shared" si="34"/>
        <v>0</v>
      </c>
    </row>
    <row r="66" spans="1:24" s="6" customFormat="1" x14ac:dyDescent="0.25">
      <c r="A66" s="10">
        <v>12</v>
      </c>
      <c r="B66" s="1">
        <v>715000</v>
      </c>
      <c r="C66">
        <v>89088</v>
      </c>
      <c r="D66" s="6">
        <v>725000</v>
      </c>
      <c r="E66" s="6">
        <f t="shared" si="35"/>
        <v>90333.986013986025</v>
      </c>
      <c r="I66" s="6">
        <f t="shared" si="30"/>
        <v>546031.46853146853</v>
      </c>
      <c r="L66" s="6">
        <f t="shared" si="31"/>
        <v>2980916.0839160844</v>
      </c>
      <c r="M66" s="6">
        <f t="shared" si="31"/>
        <v>1443206.2937062939</v>
      </c>
      <c r="P66" s="6">
        <f t="shared" si="32"/>
        <v>3853.146853146854</v>
      </c>
      <c r="R66" s="6">
        <f t="shared" si="33"/>
        <v>33360.139860139861</v>
      </c>
      <c r="S66" s="6">
        <f t="shared" si="33"/>
        <v>55465.034965034967</v>
      </c>
      <c r="T66" s="6">
        <f t="shared" si="33"/>
        <v>37416.083916083917</v>
      </c>
      <c r="U66" s="6">
        <f t="shared" si="33"/>
        <v>1358031.4685314687</v>
      </c>
      <c r="X66" s="6">
        <f t="shared" si="34"/>
        <v>405.5944055944056</v>
      </c>
    </row>
    <row r="67" spans="1:24" s="6" customFormat="1" x14ac:dyDescent="0.25">
      <c r="A67" s="10">
        <v>13</v>
      </c>
      <c r="B67" s="1">
        <v>1000000</v>
      </c>
      <c r="C67">
        <v>131278</v>
      </c>
      <c r="D67" s="6">
        <v>710000</v>
      </c>
      <c r="E67" s="6">
        <f t="shared" si="35"/>
        <v>93207.38</v>
      </c>
      <c r="I67" s="6">
        <f t="shared" si="30"/>
        <v>565302.00000000012</v>
      </c>
      <c r="L67" s="6">
        <f t="shared" si="31"/>
        <v>1609215.0000000002</v>
      </c>
      <c r="M67" s="6">
        <f t="shared" si="31"/>
        <v>930242.00000000012</v>
      </c>
      <c r="P67" s="6">
        <f t="shared" si="32"/>
        <v>426.00000000000006</v>
      </c>
      <c r="R67" s="6">
        <f t="shared" si="33"/>
        <v>35287</v>
      </c>
      <c r="S67" s="6">
        <f t="shared" si="33"/>
        <v>21939.000000000004</v>
      </c>
      <c r="T67" s="6">
        <f t="shared" si="33"/>
        <v>17537</v>
      </c>
      <c r="U67" s="6">
        <f t="shared" si="33"/>
        <v>574603</v>
      </c>
      <c r="X67" s="6">
        <f t="shared" si="34"/>
        <v>142</v>
      </c>
    </row>
    <row r="68" spans="1:24" s="6" customFormat="1" x14ac:dyDescent="0.25">
      <c r="A68" s="10">
        <v>14</v>
      </c>
      <c r="B68" s="1">
        <v>1460000</v>
      </c>
      <c r="C68">
        <v>189568</v>
      </c>
      <c r="D68" s="6">
        <v>1430000</v>
      </c>
      <c r="E68" s="6">
        <f t="shared" si="35"/>
        <v>185672.76712328766</v>
      </c>
      <c r="I68" s="6">
        <f t="shared" si="30"/>
        <v>893554.10958904109</v>
      </c>
      <c r="L68" s="6">
        <f t="shared" si="31"/>
        <v>4010660.2739726021</v>
      </c>
      <c r="M68" s="6">
        <f t="shared" si="31"/>
        <v>2609064.3835616438</v>
      </c>
      <c r="P68" s="6">
        <f t="shared" si="32"/>
        <v>685.61643835616428</v>
      </c>
      <c r="R68" s="6">
        <f t="shared" si="33"/>
        <v>45348.630136986299</v>
      </c>
      <c r="S68" s="6">
        <f t="shared" si="33"/>
        <v>75123.972602739712</v>
      </c>
      <c r="T68" s="6">
        <f t="shared" si="33"/>
        <v>41136.986301369856</v>
      </c>
      <c r="U68" s="6">
        <f t="shared" si="33"/>
        <v>1281515.0684931509</v>
      </c>
      <c r="X68" s="6">
        <f t="shared" si="34"/>
        <v>97.945205479452056</v>
      </c>
    </row>
    <row r="69" spans="1:24" s="6" customFormat="1" x14ac:dyDescent="0.25">
      <c r="A69" s="10">
        <v>15</v>
      </c>
      <c r="B69" s="1">
        <v>600000</v>
      </c>
      <c r="C69">
        <v>71413</v>
      </c>
      <c r="D69" s="6">
        <v>575000</v>
      </c>
      <c r="E69" s="6">
        <f t="shared" si="35"/>
        <v>68437.458333333328</v>
      </c>
      <c r="I69" s="6">
        <f t="shared" si="30"/>
        <v>365316.66666666663</v>
      </c>
      <c r="L69" s="6">
        <f t="shared" si="31"/>
        <v>1927208.3333333333</v>
      </c>
      <c r="M69" s="6">
        <f t="shared" si="31"/>
        <v>1173958.3333333333</v>
      </c>
      <c r="P69" s="6">
        <f t="shared" si="32"/>
        <v>1341.6666666666665</v>
      </c>
      <c r="R69" s="6">
        <f t="shared" si="33"/>
        <v>23095.833333333332</v>
      </c>
      <c r="S69" s="6">
        <f t="shared" si="33"/>
        <v>20412.5</v>
      </c>
      <c r="T69" s="6">
        <f t="shared" si="33"/>
        <v>10062.5</v>
      </c>
      <c r="U69" s="6">
        <f t="shared" si="33"/>
        <v>683100</v>
      </c>
      <c r="X69" s="6">
        <f t="shared" si="34"/>
        <v>95.833333333333329</v>
      </c>
    </row>
    <row r="70" spans="1:24" s="6" customFormat="1" x14ac:dyDescent="0.25">
      <c r="A70" s="10"/>
      <c r="B70" s="1"/>
      <c r="C70" s="1"/>
    </row>
    <row r="71" spans="1:24" s="10" customForma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5B72-7F81-B04D-9BAE-C49EF7C11F74}">
  <dimension ref="A1:AT70"/>
  <sheetViews>
    <sheetView topLeftCell="A7" zoomScale="67" workbookViewId="0">
      <selection activeCell="A55" sqref="A55"/>
    </sheetView>
  </sheetViews>
  <sheetFormatPr defaultColWidth="11" defaultRowHeight="15.75" x14ac:dyDescent="0.25"/>
  <cols>
    <col min="1" max="1" width="38.875" customWidth="1"/>
    <col min="2" max="2" width="15.625" bestFit="1" customWidth="1"/>
    <col min="3" max="3" width="14.625" bestFit="1" customWidth="1"/>
    <col min="4" max="4" width="15.625" bestFit="1" customWidth="1"/>
    <col min="5" max="5" width="14.625" bestFit="1" customWidth="1"/>
  </cols>
  <sheetData>
    <row r="1" spans="1:46" x14ac:dyDescent="0.25">
      <c r="A1" t="s">
        <v>31</v>
      </c>
      <c r="B1" t="s">
        <v>32</v>
      </c>
      <c r="C1" t="s">
        <v>33</v>
      </c>
      <c r="D1" t="s">
        <v>34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191</v>
      </c>
      <c r="K1" t="s">
        <v>192</v>
      </c>
      <c r="L1" t="s">
        <v>193</v>
      </c>
      <c r="M1" t="s">
        <v>194</v>
      </c>
      <c r="N1" t="s">
        <v>195</v>
      </c>
      <c r="O1" t="s">
        <v>196</v>
      </c>
      <c r="P1" t="s">
        <v>197</v>
      </c>
      <c r="Q1" t="s">
        <v>198</v>
      </c>
      <c r="R1" t="s">
        <v>199</v>
      </c>
      <c r="S1" t="s">
        <v>200</v>
      </c>
      <c r="T1" t="s">
        <v>201</v>
      </c>
      <c r="U1" t="s">
        <v>202</v>
      </c>
      <c r="V1" t="s">
        <v>203</v>
      </c>
      <c r="W1" t="s">
        <v>204</v>
      </c>
      <c r="X1" t="s">
        <v>205</v>
      </c>
    </row>
    <row r="2" spans="1:46" x14ac:dyDescent="0.25">
      <c r="X2" s="2" t="s">
        <v>206</v>
      </c>
      <c r="Y2" s="2">
        <v>10000</v>
      </c>
      <c r="Z2" s="2">
        <v>1890</v>
      </c>
      <c r="AA2" s="2">
        <v>1723</v>
      </c>
      <c r="AB2" s="2">
        <v>1723</v>
      </c>
      <c r="AC2" s="2">
        <v>122</v>
      </c>
      <c r="AD2" s="2">
        <v>31</v>
      </c>
      <c r="AE2" s="2">
        <v>31</v>
      </c>
      <c r="AF2" s="2">
        <v>31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</row>
    <row r="3" spans="1:46" x14ac:dyDescent="0.25">
      <c r="X3" s="2" t="s">
        <v>207</v>
      </c>
      <c r="Y3" s="2">
        <v>152848</v>
      </c>
      <c r="Z3" s="2">
        <v>68608</v>
      </c>
      <c r="AA3" s="2">
        <v>59795</v>
      </c>
      <c r="AB3" s="2">
        <v>43490</v>
      </c>
      <c r="AC3" s="2">
        <v>347</v>
      </c>
      <c r="AD3" s="2">
        <v>160</v>
      </c>
      <c r="AE3" s="2">
        <v>98</v>
      </c>
      <c r="AF3" s="2">
        <v>98</v>
      </c>
      <c r="AG3" s="2">
        <v>6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</row>
    <row r="4" spans="1:46" x14ac:dyDescent="0.25">
      <c r="A4" t="s">
        <v>208</v>
      </c>
      <c r="B4" s="1">
        <v>3110000</v>
      </c>
      <c r="C4" s="1">
        <v>978000</v>
      </c>
      <c r="D4" s="1">
        <v>821000</v>
      </c>
      <c r="E4">
        <v>331371</v>
      </c>
      <c r="F4">
        <v>309709</v>
      </c>
      <c r="G4">
        <v>203554</v>
      </c>
      <c r="H4">
        <v>161742</v>
      </c>
      <c r="I4">
        <v>10916</v>
      </c>
      <c r="J4">
        <v>281942</v>
      </c>
      <c r="K4">
        <v>64735</v>
      </c>
      <c r="L4">
        <v>14412</v>
      </c>
      <c r="M4">
        <v>10852</v>
      </c>
      <c r="N4">
        <v>1215</v>
      </c>
      <c r="O4">
        <v>401</v>
      </c>
      <c r="P4">
        <v>1907</v>
      </c>
      <c r="Q4">
        <v>1133</v>
      </c>
      <c r="R4">
        <v>7391</v>
      </c>
      <c r="S4">
        <v>355</v>
      </c>
      <c r="T4">
        <v>22887</v>
      </c>
      <c r="U4">
        <v>12446</v>
      </c>
      <c r="V4">
        <v>195</v>
      </c>
      <c r="W4">
        <v>89</v>
      </c>
    </row>
    <row r="5" spans="1:46" x14ac:dyDescent="0.25">
      <c r="A5" t="s">
        <v>209</v>
      </c>
      <c r="B5" s="1">
        <v>3040000</v>
      </c>
      <c r="C5" s="1">
        <v>901000</v>
      </c>
      <c r="D5" s="1">
        <v>773000</v>
      </c>
      <c r="E5" s="1">
        <v>499000</v>
      </c>
      <c r="F5" s="1">
        <v>486000</v>
      </c>
      <c r="G5">
        <v>232360</v>
      </c>
      <c r="H5">
        <v>189179</v>
      </c>
      <c r="I5">
        <v>6231</v>
      </c>
      <c r="J5" s="1">
        <v>467000</v>
      </c>
      <c r="K5">
        <v>70620</v>
      </c>
      <c r="L5">
        <v>21463</v>
      </c>
      <c r="M5">
        <v>5937</v>
      </c>
      <c r="N5">
        <v>607</v>
      </c>
      <c r="O5">
        <v>221</v>
      </c>
      <c r="P5">
        <v>523</v>
      </c>
      <c r="Q5">
        <v>440</v>
      </c>
      <c r="R5">
        <v>1350</v>
      </c>
      <c r="S5">
        <v>884</v>
      </c>
      <c r="T5">
        <v>33097</v>
      </c>
      <c r="U5">
        <v>18983</v>
      </c>
      <c r="V5">
        <v>295</v>
      </c>
      <c r="W5">
        <v>43</v>
      </c>
    </row>
    <row r="6" spans="1:46" x14ac:dyDescent="0.25">
      <c r="A6" t="s">
        <v>210</v>
      </c>
      <c r="B6" s="1">
        <v>2460000</v>
      </c>
      <c r="C6" s="1">
        <v>567000</v>
      </c>
      <c r="D6" s="1">
        <v>452000</v>
      </c>
      <c r="E6">
        <v>237151</v>
      </c>
      <c r="F6">
        <v>138921</v>
      </c>
      <c r="G6">
        <v>62758</v>
      </c>
      <c r="H6">
        <v>48551</v>
      </c>
      <c r="I6">
        <v>8992</v>
      </c>
      <c r="J6">
        <v>116958</v>
      </c>
      <c r="K6">
        <v>19288</v>
      </c>
      <c r="L6">
        <v>4565</v>
      </c>
      <c r="M6">
        <v>1017</v>
      </c>
      <c r="N6">
        <v>38</v>
      </c>
      <c r="O6">
        <v>7</v>
      </c>
      <c r="P6">
        <v>13</v>
      </c>
      <c r="Q6">
        <v>7</v>
      </c>
      <c r="R6">
        <v>94</v>
      </c>
      <c r="S6">
        <v>138</v>
      </c>
      <c r="T6">
        <v>11758</v>
      </c>
      <c r="U6">
        <v>3902</v>
      </c>
      <c r="V6">
        <v>118</v>
      </c>
      <c r="W6">
        <v>0</v>
      </c>
    </row>
    <row r="7" spans="1:46" x14ac:dyDescent="0.25">
      <c r="A7" t="s">
        <v>211</v>
      </c>
      <c r="B7" s="1">
        <v>3090000</v>
      </c>
      <c r="C7" s="1">
        <v>778000</v>
      </c>
      <c r="D7" s="1">
        <v>611000</v>
      </c>
      <c r="E7">
        <v>304441</v>
      </c>
      <c r="F7">
        <v>149774</v>
      </c>
      <c r="G7">
        <v>89396</v>
      </c>
      <c r="H7">
        <v>72283</v>
      </c>
      <c r="I7">
        <v>6117</v>
      </c>
      <c r="J7">
        <v>125791</v>
      </c>
      <c r="K7">
        <v>17390</v>
      </c>
      <c r="L7">
        <v>2139</v>
      </c>
      <c r="M7">
        <v>1191</v>
      </c>
      <c r="N7">
        <v>7</v>
      </c>
      <c r="O7">
        <v>0</v>
      </c>
      <c r="P7">
        <v>3</v>
      </c>
      <c r="Q7">
        <v>2</v>
      </c>
      <c r="R7">
        <v>13</v>
      </c>
      <c r="S7">
        <v>80</v>
      </c>
      <c r="T7">
        <v>12778</v>
      </c>
      <c r="U7">
        <v>5418</v>
      </c>
      <c r="V7">
        <v>98</v>
      </c>
      <c r="W7">
        <v>0</v>
      </c>
    </row>
    <row r="8" spans="1:46" x14ac:dyDescent="0.25">
      <c r="A8" t="s">
        <v>212</v>
      </c>
      <c r="B8" s="1">
        <v>3530000</v>
      </c>
      <c r="C8" s="1">
        <v>1220000</v>
      </c>
      <c r="D8" s="1">
        <v>1030000</v>
      </c>
      <c r="E8" s="1">
        <v>670000</v>
      </c>
      <c r="F8" s="1">
        <v>600000</v>
      </c>
      <c r="G8" s="1">
        <v>430000</v>
      </c>
      <c r="H8">
        <v>274682</v>
      </c>
      <c r="I8">
        <v>4886</v>
      </c>
      <c r="J8" s="1">
        <v>578000</v>
      </c>
      <c r="K8">
        <v>177033</v>
      </c>
      <c r="L8">
        <v>11812</v>
      </c>
      <c r="M8">
        <v>7238</v>
      </c>
      <c r="N8">
        <v>546</v>
      </c>
      <c r="O8">
        <v>113</v>
      </c>
      <c r="P8">
        <v>917</v>
      </c>
      <c r="Q8">
        <v>738</v>
      </c>
      <c r="R8">
        <v>1610</v>
      </c>
      <c r="S8">
        <v>351</v>
      </c>
      <c r="T8">
        <v>112817</v>
      </c>
      <c r="U8">
        <v>89555</v>
      </c>
      <c r="V8">
        <v>2095</v>
      </c>
      <c r="W8">
        <v>202</v>
      </c>
    </row>
    <row r="9" spans="1:46" x14ac:dyDescent="0.25">
      <c r="A9" t="s">
        <v>213</v>
      </c>
      <c r="B9" s="1">
        <v>2390000</v>
      </c>
      <c r="C9" s="1">
        <v>699000</v>
      </c>
      <c r="D9" s="1">
        <v>566000</v>
      </c>
      <c r="E9">
        <v>311476</v>
      </c>
      <c r="F9">
        <v>301192</v>
      </c>
      <c r="G9">
        <v>218240</v>
      </c>
      <c r="H9">
        <v>131353</v>
      </c>
      <c r="I9">
        <v>1819</v>
      </c>
      <c r="J9">
        <v>290706</v>
      </c>
      <c r="K9">
        <v>103852</v>
      </c>
      <c r="L9">
        <v>10060</v>
      </c>
      <c r="M9">
        <v>5718</v>
      </c>
      <c r="N9">
        <v>383</v>
      </c>
      <c r="O9">
        <v>111</v>
      </c>
      <c r="P9">
        <v>210</v>
      </c>
      <c r="Q9">
        <v>146</v>
      </c>
      <c r="R9">
        <v>1329</v>
      </c>
      <c r="S9">
        <v>138</v>
      </c>
      <c r="T9">
        <v>67127</v>
      </c>
      <c r="U9">
        <v>51582</v>
      </c>
      <c r="V9">
        <v>642</v>
      </c>
      <c r="W9">
        <v>100</v>
      </c>
    </row>
    <row r="10" spans="1:46" x14ac:dyDescent="0.25">
      <c r="A10" t="s">
        <v>214</v>
      </c>
      <c r="B10" s="1">
        <v>2240000</v>
      </c>
      <c r="C10" s="1">
        <v>444000</v>
      </c>
      <c r="D10">
        <v>356257</v>
      </c>
      <c r="E10">
        <v>193047</v>
      </c>
      <c r="F10">
        <v>174261</v>
      </c>
      <c r="G10">
        <v>83552</v>
      </c>
      <c r="H10">
        <v>66778</v>
      </c>
      <c r="I10">
        <v>3067</v>
      </c>
      <c r="J10">
        <v>163516</v>
      </c>
      <c r="K10">
        <v>29151</v>
      </c>
      <c r="L10">
        <v>5649</v>
      </c>
      <c r="M10">
        <v>1285</v>
      </c>
      <c r="N10">
        <v>32</v>
      </c>
      <c r="O10">
        <v>0</v>
      </c>
      <c r="P10">
        <v>19</v>
      </c>
      <c r="Q10">
        <v>15</v>
      </c>
      <c r="R10">
        <v>57</v>
      </c>
      <c r="S10">
        <v>233</v>
      </c>
      <c r="T10">
        <v>19913</v>
      </c>
      <c r="U10">
        <v>7153</v>
      </c>
      <c r="V10">
        <v>763</v>
      </c>
      <c r="W10">
        <v>0</v>
      </c>
    </row>
    <row r="11" spans="1:46" x14ac:dyDescent="0.25">
      <c r="A11" t="s">
        <v>215</v>
      </c>
      <c r="B11" s="1">
        <v>2590000</v>
      </c>
      <c r="C11" s="1">
        <v>586000</v>
      </c>
      <c r="D11" s="1">
        <v>473000</v>
      </c>
      <c r="E11">
        <v>230266</v>
      </c>
      <c r="F11">
        <v>218588</v>
      </c>
      <c r="G11">
        <v>117815</v>
      </c>
      <c r="H11">
        <v>96650</v>
      </c>
      <c r="I11">
        <v>2634</v>
      </c>
      <c r="J11">
        <v>211516</v>
      </c>
      <c r="K11">
        <v>34389</v>
      </c>
      <c r="L11">
        <v>5072</v>
      </c>
      <c r="M11">
        <v>1783</v>
      </c>
      <c r="N11">
        <v>270</v>
      </c>
      <c r="O11">
        <v>86</v>
      </c>
      <c r="P11">
        <v>123</v>
      </c>
      <c r="Q11">
        <v>97</v>
      </c>
      <c r="R11">
        <v>381</v>
      </c>
      <c r="S11">
        <v>104</v>
      </c>
      <c r="T11">
        <v>22063</v>
      </c>
      <c r="U11">
        <v>7663</v>
      </c>
      <c r="V11">
        <v>257</v>
      </c>
      <c r="W11">
        <v>45</v>
      </c>
    </row>
    <row r="12" spans="1:46" x14ac:dyDescent="0.25">
      <c r="A12" t="s">
        <v>216</v>
      </c>
      <c r="B12" s="1">
        <v>2470000</v>
      </c>
      <c r="C12" s="1">
        <v>777000</v>
      </c>
      <c r="D12" s="1">
        <v>655000</v>
      </c>
      <c r="E12" s="1">
        <v>404000</v>
      </c>
      <c r="F12">
        <v>387831</v>
      </c>
      <c r="G12">
        <v>233023</v>
      </c>
      <c r="H12">
        <v>142309</v>
      </c>
      <c r="I12">
        <v>3250</v>
      </c>
      <c r="J12">
        <v>375526</v>
      </c>
      <c r="K12">
        <v>124562</v>
      </c>
      <c r="L12">
        <v>15786</v>
      </c>
      <c r="M12">
        <v>6344</v>
      </c>
      <c r="N12">
        <v>303</v>
      </c>
      <c r="O12">
        <v>51</v>
      </c>
      <c r="P12">
        <v>142</v>
      </c>
      <c r="Q12">
        <v>93</v>
      </c>
      <c r="R12">
        <v>1523</v>
      </c>
      <c r="S12">
        <v>202</v>
      </c>
      <c r="T12">
        <v>73965</v>
      </c>
      <c r="U12">
        <v>43145</v>
      </c>
      <c r="V12">
        <v>1290</v>
      </c>
      <c r="W12">
        <v>18</v>
      </c>
    </row>
    <row r="13" spans="1:46" x14ac:dyDescent="0.25">
      <c r="A13" t="s">
        <v>217</v>
      </c>
      <c r="B13" s="1">
        <v>3630000</v>
      </c>
      <c r="C13" s="1">
        <v>1210000</v>
      </c>
      <c r="D13" s="1">
        <v>972000</v>
      </c>
      <c r="E13" s="1">
        <v>624000</v>
      </c>
      <c r="F13" s="1">
        <v>584000</v>
      </c>
      <c r="G13" s="1">
        <v>454000</v>
      </c>
      <c r="H13">
        <v>223976</v>
      </c>
      <c r="I13">
        <v>10474</v>
      </c>
      <c r="J13" s="1">
        <v>534000</v>
      </c>
      <c r="K13">
        <v>248119</v>
      </c>
      <c r="L13">
        <v>16396</v>
      </c>
      <c r="M13">
        <v>8548</v>
      </c>
      <c r="N13">
        <v>491</v>
      </c>
      <c r="O13">
        <v>120</v>
      </c>
      <c r="P13">
        <v>520</v>
      </c>
      <c r="Q13">
        <v>342</v>
      </c>
      <c r="R13">
        <v>1693</v>
      </c>
      <c r="S13">
        <v>335</v>
      </c>
      <c r="T13">
        <v>154793</v>
      </c>
      <c r="U13">
        <v>120530</v>
      </c>
      <c r="V13">
        <v>1209</v>
      </c>
      <c r="W13">
        <v>109</v>
      </c>
    </row>
    <row r="14" spans="1:46" x14ac:dyDescent="0.25">
      <c r="A14" t="s">
        <v>218</v>
      </c>
      <c r="B14" s="1">
        <v>4000000</v>
      </c>
      <c r="C14" s="1">
        <v>952000</v>
      </c>
      <c r="D14" s="1">
        <v>800000</v>
      </c>
      <c r="E14" s="1">
        <v>506000</v>
      </c>
      <c r="F14" s="1">
        <v>484000</v>
      </c>
      <c r="G14">
        <v>292794</v>
      </c>
      <c r="H14">
        <v>236677</v>
      </c>
      <c r="I14">
        <v>3242</v>
      </c>
      <c r="J14" s="1">
        <v>474000</v>
      </c>
      <c r="K14">
        <v>82460</v>
      </c>
      <c r="L14">
        <v>5527</v>
      </c>
      <c r="M14">
        <v>2258</v>
      </c>
      <c r="N14">
        <v>152</v>
      </c>
      <c r="O14">
        <v>54</v>
      </c>
      <c r="P14">
        <v>93</v>
      </c>
      <c r="Q14">
        <v>59</v>
      </c>
      <c r="R14">
        <v>252</v>
      </c>
      <c r="S14">
        <v>158</v>
      </c>
      <c r="T14">
        <v>43023</v>
      </c>
      <c r="U14">
        <v>22170</v>
      </c>
      <c r="V14">
        <v>384</v>
      </c>
      <c r="W14">
        <v>20</v>
      </c>
    </row>
    <row r="15" spans="1:46" x14ac:dyDescent="0.25">
      <c r="A15" t="s">
        <v>219</v>
      </c>
      <c r="B15" s="1">
        <v>2320000</v>
      </c>
      <c r="C15">
        <v>374814</v>
      </c>
      <c r="D15">
        <v>292408</v>
      </c>
      <c r="E15">
        <v>128935</v>
      </c>
      <c r="F15">
        <v>115285</v>
      </c>
      <c r="G15">
        <v>66435</v>
      </c>
      <c r="H15">
        <v>47776</v>
      </c>
      <c r="I15">
        <v>741</v>
      </c>
      <c r="J15">
        <v>109324</v>
      </c>
      <c r="K15">
        <v>26005</v>
      </c>
      <c r="L15">
        <v>6090</v>
      </c>
      <c r="M15">
        <v>1647</v>
      </c>
      <c r="N15">
        <v>72</v>
      </c>
      <c r="O15">
        <v>7</v>
      </c>
      <c r="P15">
        <v>27</v>
      </c>
      <c r="Q15">
        <v>24</v>
      </c>
      <c r="R15">
        <v>25</v>
      </c>
      <c r="S15">
        <v>175</v>
      </c>
      <c r="T15">
        <v>13806</v>
      </c>
      <c r="U15">
        <v>4211</v>
      </c>
      <c r="V15">
        <v>2494</v>
      </c>
      <c r="W15">
        <v>17</v>
      </c>
    </row>
    <row r="16" spans="1:46" x14ac:dyDescent="0.25">
      <c r="A16" t="s">
        <v>220</v>
      </c>
      <c r="B16" s="1">
        <v>2740000</v>
      </c>
      <c r="C16" s="1">
        <v>527000</v>
      </c>
      <c r="D16" s="1">
        <v>413000</v>
      </c>
      <c r="E16">
        <v>210885</v>
      </c>
      <c r="F16">
        <v>168790</v>
      </c>
      <c r="G16">
        <v>86420</v>
      </c>
      <c r="H16">
        <v>66826</v>
      </c>
      <c r="I16">
        <v>1342</v>
      </c>
      <c r="J16">
        <v>162223</v>
      </c>
      <c r="K16">
        <v>33964</v>
      </c>
      <c r="L16">
        <v>4678</v>
      </c>
      <c r="M16">
        <v>1031</v>
      </c>
      <c r="N16">
        <v>82</v>
      </c>
      <c r="O16">
        <v>3</v>
      </c>
      <c r="P16">
        <v>22</v>
      </c>
      <c r="Q16">
        <v>20</v>
      </c>
      <c r="R16">
        <v>61</v>
      </c>
      <c r="S16">
        <v>107</v>
      </c>
      <c r="T16">
        <v>23391</v>
      </c>
      <c r="U16">
        <v>6386</v>
      </c>
      <c r="V16">
        <v>861</v>
      </c>
      <c r="W16">
        <v>10</v>
      </c>
    </row>
    <row r="17" spans="1:23" x14ac:dyDescent="0.25">
      <c r="A17" t="s">
        <v>221</v>
      </c>
      <c r="B17" s="1">
        <v>4000000</v>
      </c>
      <c r="C17" s="1">
        <v>762000</v>
      </c>
      <c r="D17" s="1">
        <v>634000</v>
      </c>
      <c r="E17" s="1">
        <v>454000</v>
      </c>
      <c r="F17" s="1">
        <v>412000</v>
      </c>
      <c r="G17">
        <v>355885</v>
      </c>
      <c r="H17">
        <v>277527</v>
      </c>
      <c r="I17">
        <v>8060</v>
      </c>
      <c r="J17">
        <v>390596</v>
      </c>
      <c r="K17">
        <v>93835</v>
      </c>
      <c r="L17">
        <v>5127</v>
      </c>
      <c r="M17">
        <v>3600</v>
      </c>
      <c r="N17">
        <v>230</v>
      </c>
      <c r="O17">
        <v>40</v>
      </c>
      <c r="P17">
        <v>190</v>
      </c>
      <c r="Q17">
        <v>126</v>
      </c>
      <c r="R17">
        <v>529</v>
      </c>
      <c r="S17">
        <v>98</v>
      </c>
      <c r="T17">
        <v>40074</v>
      </c>
      <c r="U17">
        <v>26170</v>
      </c>
      <c r="V17">
        <v>426</v>
      </c>
      <c r="W17">
        <v>29</v>
      </c>
    </row>
    <row r="18" spans="1:23" ht="27" customHeight="1" x14ac:dyDescent="0.25">
      <c r="B18" s="1" t="s">
        <v>70</v>
      </c>
      <c r="C18" s="1" t="s">
        <v>71</v>
      </c>
      <c r="D18" s="1" t="s">
        <v>72</v>
      </c>
      <c r="E18" s="1" t="s">
        <v>73</v>
      </c>
      <c r="F18" s="1" t="s">
        <v>74</v>
      </c>
      <c r="G18" s="1" t="s">
        <v>75</v>
      </c>
      <c r="H18" s="1" t="s">
        <v>76</v>
      </c>
      <c r="I18" s="3" t="s">
        <v>18</v>
      </c>
      <c r="J18" s="1" t="s">
        <v>77</v>
      </c>
      <c r="K18" s="3" t="s">
        <v>12</v>
      </c>
      <c r="L18" s="3" t="s">
        <v>79</v>
      </c>
      <c r="O18" s="4" t="s">
        <v>80</v>
      </c>
      <c r="Q18" s="4" t="s">
        <v>25</v>
      </c>
      <c r="R18" s="4" t="s">
        <v>81</v>
      </c>
      <c r="S18" s="4" t="s">
        <v>82</v>
      </c>
      <c r="T18" s="4" t="s">
        <v>83</v>
      </c>
      <c r="W18" s="4" t="s">
        <v>84</v>
      </c>
    </row>
    <row r="19" spans="1:23" x14ac:dyDescent="0.25">
      <c r="B19" s="1"/>
      <c r="I19" s="4"/>
      <c r="K19" s="4"/>
      <c r="L19" s="4"/>
      <c r="O19" s="4"/>
      <c r="Q19" s="4"/>
      <c r="R19" s="4"/>
      <c r="S19" s="4"/>
      <c r="T19" s="4"/>
      <c r="W19" s="4"/>
    </row>
    <row r="20" spans="1:23" s="7" customFormat="1" x14ac:dyDescent="0.25">
      <c r="A20" s="7" t="s">
        <v>85</v>
      </c>
    </row>
    <row r="21" spans="1:23" ht="27" customHeight="1" x14ac:dyDescent="0.25">
      <c r="A21" s="7"/>
      <c r="B21" s="1" t="s">
        <v>70</v>
      </c>
      <c r="C21" s="1" t="s">
        <v>71</v>
      </c>
      <c r="D21" s="1" t="s">
        <v>72</v>
      </c>
      <c r="E21" s="1" t="s">
        <v>73</v>
      </c>
      <c r="F21" s="1" t="s">
        <v>74</v>
      </c>
      <c r="G21" s="1" t="s">
        <v>75</v>
      </c>
      <c r="H21" s="1" t="s">
        <v>76</v>
      </c>
      <c r="I21" s="3" t="s">
        <v>18</v>
      </c>
      <c r="J21" s="1" t="s">
        <v>77</v>
      </c>
      <c r="K21" s="3" t="s">
        <v>12</v>
      </c>
      <c r="L21" s="3" t="s">
        <v>79</v>
      </c>
      <c r="O21" s="4" t="s">
        <v>80</v>
      </c>
      <c r="Q21" s="4" t="s">
        <v>25</v>
      </c>
      <c r="R21" s="4" t="s">
        <v>81</v>
      </c>
      <c r="S21" s="4" t="s">
        <v>82</v>
      </c>
      <c r="T21" s="4" t="s">
        <v>83</v>
      </c>
      <c r="W21" s="4" t="s">
        <v>84</v>
      </c>
    </row>
    <row r="22" spans="1:23" x14ac:dyDescent="0.25">
      <c r="A22" s="7"/>
      <c r="I22" s="4"/>
      <c r="K22" s="4"/>
      <c r="L22" s="4"/>
      <c r="O22" s="4"/>
      <c r="Q22" s="4"/>
      <c r="R22" s="4"/>
      <c r="S22" s="4"/>
      <c r="T22" s="4"/>
      <c r="W22" s="4"/>
    </row>
    <row r="23" spans="1:23" x14ac:dyDescent="0.25">
      <c r="A23" s="7">
        <v>62</v>
      </c>
      <c r="F23">
        <f>100*F4/$E4</f>
        <v>93.462916187596377</v>
      </c>
      <c r="G23">
        <f t="shared" ref="F23:K36" si="0">100*G4/$E4</f>
        <v>61.427825609362316</v>
      </c>
      <c r="H23">
        <f t="shared" si="0"/>
        <v>48.809944141159001</v>
      </c>
      <c r="I23" s="4">
        <f t="shared" si="0"/>
        <v>3.2941929136828509</v>
      </c>
      <c r="J23">
        <f t="shared" si="0"/>
        <v>85.083486484936827</v>
      </c>
      <c r="K23" s="4">
        <f>100*K4/$E4</f>
        <v>19.53550552100214</v>
      </c>
      <c r="L23" s="4">
        <f t="shared" ref="L23:P36" si="1">100*L4/$E4</f>
        <v>4.3492037625501325</v>
      </c>
      <c r="M23">
        <f t="shared" si="1"/>
        <v>3.2748792139324201</v>
      </c>
      <c r="N23">
        <f t="shared" si="1"/>
        <v>0.36665851869958443</v>
      </c>
      <c r="O23" s="4">
        <f t="shared" si="1"/>
        <v>0.12101239999879289</v>
      </c>
      <c r="P23">
        <f t="shared" si="1"/>
        <v>0.57548789725111738</v>
      </c>
      <c r="Q23" s="4">
        <f t="shared" ref="Q23:T23" si="2">100*Q4/$E4</f>
        <v>0.34191284089434498</v>
      </c>
      <c r="R23" s="4">
        <f t="shared" si="2"/>
        <v>2.2304305446161554</v>
      </c>
      <c r="S23" s="4">
        <f t="shared" si="2"/>
        <v>0.10713067830317077</v>
      </c>
      <c r="T23" s="4">
        <f t="shared" si="2"/>
        <v>6.9067600966892098</v>
      </c>
      <c r="W23" s="4">
        <f t="shared" ref="W23" si="3">100*W4/$E4</f>
        <v>2.6858113715442812E-2</v>
      </c>
    </row>
    <row r="24" spans="1:23" x14ac:dyDescent="0.25">
      <c r="A24" s="7">
        <v>63</v>
      </c>
      <c r="F24">
        <f t="shared" si="0"/>
        <v>97.394789579158314</v>
      </c>
      <c r="G24">
        <f t="shared" si="0"/>
        <v>46.565130260521045</v>
      </c>
      <c r="H24">
        <f t="shared" si="0"/>
        <v>37.911623246492987</v>
      </c>
      <c r="I24" s="4">
        <f t="shared" si="0"/>
        <v>1.2486973947895792</v>
      </c>
      <c r="J24">
        <f t="shared" si="0"/>
        <v>93.587174348697388</v>
      </c>
      <c r="K24" s="4">
        <f t="shared" si="0"/>
        <v>14.152304609218437</v>
      </c>
      <c r="L24" s="4">
        <f t="shared" si="1"/>
        <v>4.3012024048096196</v>
      </c>
      <c r="M24">
        <f t="shared" si="1"/>
        <v>1.1897795591182365</v>
      </c>
      <c r="N24">
        <f t="shared" si="1"/>
        <v>0.1216432865731463</v>
      </c>
      <c r="O24" s="4">
        <f t="shared" si="1"/>
        <v>4.4288577154308617E-2</v>
      </c>
      <c r="P24">
        <f t="shared" si="1"/>
        <v>0.10480961923847695</v>
      </c>
      <c r="Q24" s="4">
        <f t="shared" ref="Q24:T24" si="4">100*Q5/$E5</f>
        <v>8.8176352705410826E-2</v>
      </c>
      <c r="R24" s="4">
        <f t="shared" si="4"/>
        <v>0.27054108216432865</v>
      </c>
      <c r="S24" s="4">
        <f t="shared" si="4"/>
        <v>0.17715430861723447</v>
      </c>
      <c r="T24" s="4">
        <f t="shared" si="4"/>
        <v>6.6326653306613226</v>
      </c>
      <c r="W24" s="4">
        <f t="shared" ref="W24" si="5">100*W5/$E5</f>
        <v>8.617234468937876E-3</v>
      </c>
    </row>
    <row r="25" spans="1:23" x14ac:dyDescent="0.25">
      <c r="A25" s="7">
        <v>64</v>
      </c>
      <c r="F25">
        <f t="shared" si="0"/>
        <v>58.579133126151696</v>
      </c>
      <c r="G25">
        <f t="shared" si="0"/>
        <v>26.463308187610426</v>
      </c>
      <c r="H25">
        <f t="shared" si="0"/>
        <v>20.472610277839856</v>
      </c>
      <c r="I25" s="4">
        <f t="shared" si="0"/>
        <v>3.7916770327765854</v>
      </c>
      <c r="J25">
        <f t="shared" si="0"/>
        <v>49.317945106704165</v>
      </c>
      <c r="K25" s="4">
        <f t="shared" si="0"/>
        <v>8.1332147028686368</v>
      </c>
      <c r="L25" s="4">
        <f t="shared" si="1"/>
        <v>1.9249339028720098</v>
      </c>
      <c r="M25">
        <f t="shared" si="1"/>
        <v>0.42884069643391765</v>
      </c>
      <c r="N25">
        <f t="shared" si="1"/>
        <v>1.6023546179438419E-2</v>
      </c>
      <c r="O25" s="4">
        <f t="shared" si="1"/>
        <v>2.9517058751597084E-3</v>
      </c>
      <c r="P25">
        <f t="shared" si="1"/>
        <v>5.4817394824394584E-3</v>
      </c>
      <c r="Q25" s="4">
        <f t="shared" ref="Q25:T25" si="6">100*Q6/$E6</f>
        <v>2.9517058751597084E-3</v>
      </c>
      <c r="R25" s="4">
        <f t="shared" si="6"/>
        <v>3.9637193180716082E-2</v>
      </c>
      <c r="S25" s="4">
        <f t="shared" si="6"/>
        <v>5.8190772967434252E-2</v>
      </c>
      <c r="T25" s="4">
        <f t="shared" si="6"/>
        <v>4.9580225257325505</v>
      </c>
      <c r="W25" s="4">
        <f t="shared" ref="W25" si="7">100*W6/$E6</f>
        <v>0</v>
      </c>
    </row>
    <row r="26" spans="1:23" x14ac:dyDescent="0.25">
      <c r="A26" s="7">
        <v>65</v>
      </c>
      <c r="F26">
        <f t="shared" si="0"/>
        <v>49.196396017619179</v>
      </c>
      <c r="G26">
        <f t="shared" si="0"/>
        <v>29.363981855269166</v>
      </c>
      <c r="H26">
        <f t="shared" si="0"/>
        <v>23.742859864472919</v>
      </c>
      <c r="I26" s="4">
        <f t="shared" si="0"/>
        <v>2.0092563091042273</v>
      </c>
      <c r="J26">
        <f t="shared" si="0"/>
        <v>41.318679152939325</v>
      </c>
      <c r="K26" s="4">
        <f t="shared" si="0"/>
        <v>5.7121084216646247</v>
      </c>
      <c r="L26" s="4">
        <f t="shared" si="1"/>
        <v>0.7025991899908357</v>
      </c>
      <c r="M26">
        <f t="shared" si="1"/>
        <v>0.39120880564707117</v>
      </c>
      <c r="N26">
        <f t="shared" si="1"/>
        <v>2.2992960869265308E-3</v>
      </c>
      <c r="O26" s="4">
        <f t="shared" si="1"/>
        <v>0</v>
      </c>
      <c r="P26">
        <f t="shared" si="1"/>
        <v>9.8541260868279901E-4</v>
      </c>
      <c r="Q26" s="4">
        <f t="shared" ref="Q26:T26" si="8">100*Q7/$E7</f>
        <v>6.56941739121866E-4</v>
      </c>
      <c r="R26" s="4">
        <f t="shared" si="8"/>
        <v>4.2701213042921288E-3</v>
      </c>
      <c r="S26" s="4">
        <f t="shared" si="8"/>
        <v>2.627766956487464E-2</v>
      </c>
      <c r="T26" s="4">
        <f t="shared" si="8"/>
        <v>4.1972007712496016</v>
      </c>
      <c r="W26" s="4">
        <f t="shared" ref="W26" si="9">100*W7/$E7</f>
        <v>0</v>
      </c>
    </row>
    <row r="27" spans="1:23" x14ac:dyDescent="0.25">
      <c r="A27" s="7">
        <v>66</v>
      </c>
      <c r="F27">
        <f t="shared" si="0"/>
        <v>89.552238805970148</v>
      </c>
      <c r="G27">
        <f t="shared" si="0"/>
        <v>64.179104477611943</v>
      </c>
      <c r="H27">
        <f t="shared" si="0"/>
        <v>40.997313432835824</v>
      </c>
      <c r="I27" s="4">
        <f t="shared" si="0"/>
        <v>0.72925373134328353</v>
      </c>
      <c r="J27">
        <f t="shared" si="0"/>
        <v>86.268656716417908</v>
      </c>
      <c r="K27" s="4">
        <f t="shared" si="0"/>
        <v>26.422835820895521</v>
      </c>
      <c r="L27" s="4">
        <f t="shared" si="1"/>
        <v>1.7629850746268656</v>
      </c>
      <c r="M27">
        <f t="shared" si="1"/>
        <v>1.0802985074626865</v>
      </c>
      <c r="N27">
        <f t="shared" si="1"/>
        <v>8.1492537313432839E-2</v>
      </c>
      <c r="O27" s="4">
        <f t="shared" si="1"/>
        <v>1.6865671641791046E-2</v>
      </c>
      <c r="P27">
        <f t="shared" si="1"/>
        <v>0.13686567164179103</v>
      </c>
      <c r="Q27" s="4">
        <f t="shared" ref="Q27:T27" si="10">100*Q8/$E8</f>
        <v>0.11014925373134328</v>
      </c>
      <c r="R27" s="4">
        <f t="shared" si="10"/>
        <v>0.24029850746268658</v>
      </c>
      <c r="S27" s="4">
        <f t="shared" si="10"/>
        <v>5.2388059701492538E-2</v>
      </c>
      <c r="T27" s="4">
        <f t="shared" si="10"/>
        <v>16.838358208955224</v>
      </c>
      <c r="W27" s="4">
        <f t="shared" ref="W27" si="11">100*W8/$E8</f>
        <v>3.0149253731343282E-2</v>
      </c>
    </row>
    <row r="28" spans="1:23" x14ac:dyDescent="0.25">
      <c r="A28" s="7">
        <v>67</v>
      </c>
      <c r="F28">
        <f t="shared" si="0"/>
        <v>96.69830099269285</v>
      </c>
      <c r="G28">
        <f t="shared" si="0"/>
        <v>70.066393558412202</v>
      </c>
      <c r="H28">
        <f t="shared" si="0"/>
        <v>42.171146412564688</v>
      </c>
      <c r="I28" s="4">
        <f>100*I9/$E9</f>
        <v>0.58399363032785834</v>
      </c>
      <c r="J28">
        <f t="shared" si="0"/>
        <v>93.331749476685204</v>
      </c>
      <c r="K28" s="4">
        <f t="shared" si="0"/>
        <v>33.34189472062053</v>
      </c>
      <c r="L28" s="4">
        <f t="shared" si="1"/>
        <v>3.2297833540946974</v>
      </c>
      <c r="M28">
        <f t="shared" si="1"/>
        <v>1.8357754690570061</v>
      </c>
      <c r="N28">
        <f t="shared" si="1"/>
        <v>0.12296292491235279</v>
      </c>
      <c r="O28" s="4">
        <f t="shared" si="1"/>
        <v>3.5636774582953425E-2</v>
      </c>
      <c r="P28">
        <f t="shared" si="1"/>
        <v>6.7420924886668634E-2</v>
      </c>
      <c r="Q28" s="4">
        <f t="shared" ref="Q28:T28" si="12">100*Q9/$E9</f>
        <v>4.6873595397398195E-2</v>
      </c>
      <c r="R28" s="4">
        <f t="shared" si="12"/>
        <v>0.4266781389256315</v>
      </c>
      <c r="S28" s="4">
        <f t="shared" si="12"/>
        <v>4.4305179211239387E-2</v>
      </c>
      <c r="T28" s="4">
        <f t="shared" si="12"/>
        <v>21.551259166035265</v>
      </c>
      <c r="W28" s="4">
        <f t="shared" ref="W28" si="13">100*W9/$E9</f>
        <v>3.2105202326985063E-2</v>
      </c>
    </row>
    <row r="29" spans="1:23" x14ac:dyDescent="0.25">
      <c r="A29" s="7">
        <v>68</v>
      </c>
      <c r="F29">
        <f t="shared" si="0"/>
        <v>90.268691044149875</v>
      </c>
      <c r="G29">
        <f t="shared" si="0"/>
        <v>43.280651861981795</v>
      </c>
      <c r="H29">
        <f t="shared" si="0"/>
        <v>34.591576144669432</v>
      </c>
      <c r="I29" s="4">
        <f t="shared" si="0"/>
        <v>1.588732277631872</v>
      </c>
      <c r="J29">
        <f t="shared" si="0"/>
        <v>84.702688982475763</v>
      </c>
      <c r="K29" s="4">
        <f t="shared" si="0"/>
        <v>15.100467761736779</v>
      </c>
      <c r="L29" s="4">
        <f t="shared" si="1"/>
        <v>2.9262303998508137</v>
      </c>
      <c r="M29">
        <f t="shared" si="1"/>
        <v>0.66564100970230045</v>
      </c>
      <c r="N29">
        <f t="shared" si="1"/>
        <v>1.6576274171574798E-2</v>
      </c>
      <c r="O29" s="4">
        <f t="shared" si="1"/>
        <v>0</v>
      </c>
      <c r="P29">
        <f t="shared" si="1"/>
        <v>9.8421627893725359E-3</v>
      </c>
      <c r="Q29" s="4">
        <f t="shared" ref="Q29:T29" si="14">100*Q10/$E10</f>
        <v>7.7701285179256861E-3</v>
      </c>
      <c r="R29" s="4">
        <f t="shared" si="14"/>
        <v>2.9526488368117609E-2</v>
      </c>
      <c r="S29" s="4">
        <f t="shared" si="14"/>
        <v>0.12069599631177899</v>
      </c>
      <c r="T29" s="4">
        <f t="shared" si="14"/>
        <v>10.31510461183028</v>
      </c>
      <c r="W29" s="4">
        <f t="shared" ref="W29" si="15">100*W10/$E10</f>
        <v>0</v>
      </c>
    </row>
    <row r="30" spans="1:23" x14ac:dyDescent="0.25">
      <c r="A30" s="7">
        <v>69</v>
      </c>
      <c r="F30">
        <f t="shared" si="0"/>
        <v>94.928474025692026</v>
      </c>
      <c r="G30">
        <f t="shared" si="0"/>
        <v>51.164739909495971</v>
      </c>
      <c r="H30">
        <f t="shared" si="0"/>
        <v>41.973196216549553</v>
      </c>
      <c r="I30" s="4">
        <f t="shared" si="0"/>
        <v>1.1438944525027577</v>
      </c>
      <c r="J30">
        <f t="shared" si="0"/>
        <v>91.857243362024789</v>
      </c>
      <c r="K30" s="4">
        <f t="shared" si="0"/>
        <v>14.934467094577576</v>
      </c>
      <c r="L30" s="4">
        <f t="shared" si="1"/>
        <v>2.2026699556165479</v>
      </c>
      <c r="M30">
        <f t="shared" si="1"/>
        <v>0.77432187122718943</v>
      </c>
      <c r="N30">
        <f t="shared" si="1"/>
        <v>0.11725569558684304</v>
      </c>
      <c r="O30" s="4">
        <f t="shared" si="1"/>
        <v>3.7348110446179639E-2</v>
      </c>
      <c r="P30">
        <f t="shared" si="1"/>
        <v>5.3416483545117389E-2</v>
      </c>
      <c r="Q30" s="4">
        <f t="shared" ref="Q30:T30" si="16">100*Q11/$E11</f>
        <v>4.2125194340458423E-2</v>
      </c>
      <c r="R30" s="4">
        <f t="shared" si="16"/>
        <v>0.1654608148836563</v>
      </c>
      <c r="S30" s="4">
        <f t="shared" si="16"/>
        <v>4.5165156818635838E-2</v>
      </c>
      <c r="T30" s="4">
        <f t="shared" si="16"/>
        <v>9.5815274508611772</v>
      </c>
      <c r="W30" s="4">
        <f t="shared" ref="W30" si="17">100*W11/$E11</f>
        <v>1.9542615931140508E-2</v>
      </c>
    </row>
    <row r="31" spans="1:23" x14ac:dyDescent="0.25">
      <c r="A31" s="7">
        <v>70</v>
      </c>
      <c r="F31">
        <f t="shared" si="0"/>
        <v>95.997772277227725</v>
      </c>
      <c r="G31">
        <f t="shared" si="0"/>
        <v>57.678960396039606</v>
      </c>
      <c r="H31">
        <f t="shared" si="0"/>
        <v>35.225000000000001</v>
      </c>
      <c r="I31" s="4">
        <f t="shared" si="0"/>
        <v>0.8044554455445545</v>
      </c>
      <c r="J31">
        <f t="shared" si="0"/>
        <v>92.951980198019797</v>
      </c>
      <c r="K31" s="4">
        <f t="shared" si="0"/>
        <v>30.832178217821781</v>
      </c>
      <c r="L31" s="4">
        <f t="shared" si="1"/>
        <v>3.9074257425742576</v>
      </c>
      <c r="M31">
        <f t="shared" si="1"/>
        <v>1.5702970297029704</v>
      </c>
      <c r="N31">
        <f t="shared" si="1"/>
        <v>7.4999999999999997E-2</v>
      </c>
      <c r="O31" s="4">
        <f t="shared" si="1"/>
        <v>1.2623762376237625E-2</v>
      </c>
      <c r="P31">
        <f t="shared" si="1"/>
        <v>3.5148514851485152E-2</v>
      </c>
      <c r="Q31" s="4">
        <f t="shared" ref="Q31:T31" si="18">100*Q12/$E12</f>
        <v>2.3019801980198019E-2</v>
      </c>
      <c r="R31" s="4">
        <f t="shared" si="18"/>
        <v>0.37698019801980198</v>
      </c>
      <c r="S31" s="4">
        <f t="shared" si="18"/>
        <v>0.05</v>
      </c>
      <c r="T31" s="4">
        <f t="shared" si="18"/>
        <v>18.308168316831683</v>
      </c>
      <c r="W31" s="4">
        <f t="shared" ref="W31" si="19">100*W12/$E12</f>
        <v>4.4554455445544551E-3</v>
      </c>
    </row>
    <row r="32" spans="1:23" x14ac:dyDescent="0.25">
      <c r="A32" s="7">
        <v>71</v>
      </c>
      <c r="F32">
        <f t="shared" si="0"/>
        <v>93.589743589743591</v>
      </c>
      <c r="G32">
        <f t="shared" si="0"/>
        <v>72.756410256410263</v>
      </c>
      <c r="H32">
        <f t="shared" si="0"/>
        <v>35.893589743589743</v>
      </c>
      <c r="I32" s="4">
        <f t="shared" si="0"/>
        <v>1.6785256410256411</v>
      </c>
      <c r="J32">
        <f t="shared" si="0"/>
        <v>85.57692307692308</v>
      </c>
      <c r="K32" s="4">
        <f t="shared" si="0"/>
        <v>39.762660256410257</v>
      </c>
      <c r="L32" s="4">
        <f t="shared" si="1"/>
        <v>2.6275641025641026</v>
      </c>
      <c r="M32">
        <f t="shared" si="1"/>
        <v>1.3698717948717949</v>
      </c>
      <c r="N32">
        <f t="shared" si="1"/>
        <v>7.8685897435897434E-2</v>
      </c>
      <c r="O32" s="4">
        <f t="shared" si="1"/>
        <v>1.9230769230769232E-2</v>
      </c>
      <c r="P32">
        <f t="shared" si="1"/>
        <v>8.3333333333333329E-2</v>
      </c>
      <c r="Q32" s="4">
        <f t="shared" ref="Q32:T32" si="20">100*Q13/$E13</f>
        <v>5.4807692307692307E-2</v>
      </c>
      <c r="R32" s="4">
        <f t="shared" si="20"/>
        <v>0.27131410256410254</v>
      </c>
      <c r="S32" s="4">
        <f t="shared" si="20"/>
        <v>5.3685897435897433E-2</v>
      </c>
      <c r="T32" s="4">
        <f t="shared" si="20"/>
        <v>24.806570512820514</v>
      </c>
      <c r="W32" s="4">
        <f t="shared" ref="W32" si="21">100*W13/$E13</f>
        <v>1.7467948717948718E-2</v>
      </c>
    </row>
    <row r="33" spans="1:23" x14ac:dyDescent="0.25">
      <c r="A33" s="7">
        <v>72</v>
      </c>
      <c r="F33">
        <f t="shared" si="0"/>
        <v>95.652173913043484</v>
      </c>
      <c r="G33">
        <f t="shared" si="0"/>
        <v>57.864426877470358</v>
      </c>
      <c r="H33">
        <f t="shared" si="0"/>
        <v>46.774110671936761</v>
      </c>
      <c r="I33" s="4">
        <f t="shared" si="0"/>
        <v>0.64071146245059285</v>
      </c>
      <c r="J33">
        <f t="shared" si="0"/>
        <v>93.675889328063235</v>
      </c>
      <c r="K33" s="4">
        <f t="shared" si="0"/>
        <v>16.296442687747035</v>
      </c>
      <c r="L33" s="4">
        <f t="shared" si="1"/>
        <v>1.0922924901185771</v>
      </c>
      <c r="M33">
        <f t="shared" si="1"/>
        <v>0.44624505928853753</v>
      </c>
      <c r="N33">
        <f t="shared" si="1"/>
        <v>3.0039525691699605E-2</v>
      </c>
      <c r="O33" s="4">
        <f t="shared" si="1"/>
        <v>1.0671936758893281E-2</v>
      </c>
      <c r="P33">
        <f t="shared" si="1"/>
        <v>1.8379446640316207E-2</v>
      </c>
      <c r="Q33" s="4">
        <f t="shared" ref="Q33:T33" si="22">100*Q14/$E14</f>
        <v>1.16600790513834E-2</v>
      </c>
      <c r="R33" s="4">
        <f t="shared" si="22"/>
        <v>4.9802371541501973E-2</v>
      </c>
      <c r="S33" s="4">
        <f t="shared" si="22"/>
        <v>3.1225296442687747E-2</v>
      </c>
      <c r="T33" s="4">
        <f t="shared" si="22"/>
        <v>8.5025691699604735</v>
      </c>
      <c r="W33" s="4">
        <f t="shared" ref="W33" si="23">100*W14/$E14</f>
        <v>3.952569169960474E-3</v>
      </c>
    </row>
    <row r="34" spans="1:23" x14ac:dyDescent="0.25">
      <c r="A34" s="7">
        <v>73</v>
      </c>
      <c r="F34">
        <f t="shared" si="0"/>
        <v>89.41327025245279</v>
      </c>
      <c r="G34">
        <f t="shared" si="0"/>
        <v>51.525962694380887</v>
      </c>
      <c r="H34">
        <f t="shared" si="0"/>
        <v>37.054329701012136</v>
      </c>
      <c r="I34" s="4">
        <f t="shared" si="0"/>
        <v>0.5747081862954202</v>
      </c>
      <c r="J34">
        <f t="shared" si="0"/>
        <v>84.790010470392062</v>
      </c>
      <c r="K34" s="4">
        <f t="shared" si="0"/>
        <v>20.169077442121999</v>
      </c>
      <c r="L34" s="4">
        <f t="shared" si="1"/>
        <v>4.7233101950595264</v>
      </c>
      <c r="M34">
        <f t="shared" si="1"/>
        <v>1.2773878310776747</v>
      </c>
      <c r="N34">
        <f t="shared" si="1"/>
        <v>5.5842090976073212E-2</v>
      </c>
      <c r="O34" s="4">
        <f t="shared" si="1"/>
        <v>5.4290921782293401E-3</v>
      </c>
      <c r="P34">
        <f t="shared" si="1"/>
        <v>2.0940784116027455E-2</v>
      </c>
      <c r="Q34" s="4">
        <f t="shared" ref="Q34:T34" si="24">100*Q15/$E15</f>
        <v>1.8614030325357737E-2</v>
      </c>
      <c r="R34" s="4">
        <f t="shared" si="24"/>
        <v>1.9389614922247646E-2</v>
      </c>
      <c r="S34" s="4">
        <f t="shared" si="24"/>
        <v>0.1357273044557335</v>
      </c>
      <c r="T34" s="4">
        <f t="shared" si="24"/>
        <v>10.707720944662039</v>
      </c>
      <c r="W34" s="4">
        <f t="shared" ref="W34" si="25">100*W15/$E15</f>
        <v>1.3184938147128398E-2</v>
      </c>
    </row>
    <row r="35" spans="1:23" x14ac:dyDescent="0.25">
      <c r="A35" s="7">
        <v>74</v>
      </c>
      <c r="F35">
        <f t="shared" si="0"/>
        <v>80.038883751807859</v>
      </c>
      <c r="G35">
        <f t="shared" si="0"/>
        <v>40.979680868719917</v>
      </c>
      <c r="H35">
        <f t="shared" si="0"/>
        <v>31.68836095502288</v>
      </c>
      <c r="I35" s="4">
        <f t="shared" si="0"/>
        <v>0.63636579178225094</v>
      </c>
      <c r="J35">
        <f t="shared" si="0"/>
        <v>76.924864262512742</v>
      </c>
      <c r="K35" s="4">
        <f t="shared" si="0"/>
        <v>16.105460321976434</v>
      </c>
      <c r="L35" s="4">
        <f t="shared" si="1"/>
        <v>2.2182706214287409</v>
      </c>
      <c r="M35">
        <f t="shared" si="1"/>
        <v>0.4888920501695237</v>
      </c>
      <c r="N35">
        <f t="shared" si="1"/>
        <v>3.8883751807857365E-2</v>
      </c>
      <c r="O35" s="4">
        <f t="shared" si="1"/>
        <v>1.4225762856533181E-3</v>
      </c>
      <c r="P35">
        <f t="shared" si="1"/>
        <v>1.0432226094790999E-2</v>
      </c>
      <c r="Q35" s="4">
        <f t="shared" ref="Q35:T35" si="26">100*Q16/$E16</f>
        <v>9.4838419043554549E-3</v>
      </c>
      <c r="R35" s="4">
        <f t="shared" si="26"/>
        <v>2.8925717808284138E-2</v>
      </c>
      <c r="S35" s="4">
        <f t="shared" si="26"/>
        <v>5.0738554188301678E-2</v>
      </c>
      <c r="T35" s="4">
        <f t="shared" si="26"/>
        <v>11.091827299238922</v>
      </c>
      <c r="W35" s="4">
        <f t="shared" ref="W35" si="27">100*W16/$E16</f>
        <v>4.7419209521777275E-3</v>
      </c>
    </row>
    <row r="36" spans="1:23" x14ac:dyDescent="0.25">
      <c r="A36" s="7">
        <v>75</v>
      </c>
      <c r="F36" s="1">
        <f>100*F17/$E17</f>
        <v>90.748898678414093</v>
      </c>
      <c r="G36">
        <f t="shared" si="0"/>
        <v>78.38876651982379</v>
      </c>
      <c r="H36">
        <f t="shared" si="0"/>
        <v>61.129295154185023</v>
      </c>
      <c r="I36" s="4">
        <f>100*I17/$E17</f>
        <v>1.775330396475771</v>
      </c>
      <c r="J36">
        <f>100*J17/$E17</f>
        <v>86.034361233480183</v>
      </c>
      <c r="K36" s="4">
        <f t="shared" ref="K36" si="28">100*K17/$E17</f>
        <v>20.668502202643172</v>
      </c>
      <c r="L36" s="4">
        <f t="shared" si="1"/>
        <v>1.129295154185022</v>
      </c>
      <c r="M36">
        <f t="shared" si="1"/>
        <v>0.79295154185022021</v>
      </c>
      <c r="N36">
        <f t="shared" si="1"/>
        <v>5.0660792951541848E-2</v>
      </c>
      <c r="O36" s="4">
        <f t="shared" si="1"/>
        <v>8.8105726872246704E-3</v>
      </c>
      <c r="P36">
        <f t="shared" si="1"/>
        <v>4.185022026431718E-2</v>
      </c>
      <c r="Q36" s="4">
        <f t="shared" ref="Q36:T36" si="29">100*Q17/$E17</f>
        <v>2.7753303964757708E-2</v>
      </c>
      <c r="R36" s="4">
        <f t="shared" si="29"/>
        <v>0.11651982378854625</v>
      </c>
      <c r="S36" s="4">
        <f t="shared" si="29"/>
        <v>2.1585903083700439E-2</v>
      </c>
      <c r="T36" s="4">
        <f t="shared" si="29"/>
        <v>8.8268722466960359</v>
      </c>
      <c r="W36" s="4">
        <f t="shared" ref="W36" si="30">100*W17/$E17</f>
        <v>6.3876651982378851E-3</v>
      </c>
    </row>
    <row r="37" spans="1:23" x14ac:dyDescent="0.25">
      <c r="I37" s="4"/>
      <c r="K37" s="4"/>
      <c r="L37" s="4"/>
      <c r="O37" s="4"/>
      <c r="Q37" s="4"/>
      <c r="R37" s="4"/>
      <c r="S37" s="4"/>
      <c r="T37" s="4"/>
      <c r="W37" s="4"/>
    </row>
    <row r="38" spans="1:23" s="8" customFormat="1" ht="27" customHeight="1" x14ac:dyDescent="0.25">
      <c r="A38" s="8" t="s">
        <v>86</v>
      </c>
      <c r="B38" s="9" t="s">
        <v>70</v>
      </c>
      <c r="C38" s="9" t="s">
        <v>71</v>
      </c>
      <c r="D38" s="9" t="s">
        <v>72</v>
      </c>
      <c r="E38" s="9" t="s">
        <v>73</v>
      </c>
      <c r="F38" s="9" t="s">
        <v>74</v>
      </c>
      <c r="G38" s="9" t="s">
        <v>75</v>
      </c>
      <c r="H38" s="9" t="s">
        <v>76</v>
      </c>
      <c r="I38" s="3" t="s">
        <v>18</v>
      </c>
      <c r="J38" s="9" t="s">
        <v>77</v>
      </c>
      <c r="K38" s="3" t="s">
        <v>12</v>
      </c>
      <c r="L38" s="3" t="s">
        <v>79</v>
      </c>
      <c r="O38" s="4" t="s">
        <v>80</v>
      </c>
      <c r="Q38" s="4" t="s">
        <v>25</v>
      </c>
      <c r="R38" s="4" t="s">
        <v>81</v>
      </c>
      <c r="S38" s="4" t="s">
        <v>82</v>
      </c>
      <c r="T38" s="4" t="s">
        <v>83</v>
      </c>
      <c r="W38" s="8" t="s">
        <v>84</v>
      </c>
    </row>
    <row r="39" spans="1:23" x14ac:dyDescent="0.25">
      <c r="A39" s="8"/>
      <c r="I39" s="4"/>
      <c r="K39" s="4"/>
      <c r="L39" s="4"/>
      <c r="O39" s="4"/>
      <c r="Q39" s="4"/>
      <c r="R39" s="4"/>
      <c r="S39" s="4"/>
      <c r="T39" s="4"/>
      <c r="W39" s="4"/>
    </row>
    <row r="40" spans="1:23" x14ac:dyDescent="0.25">
      <c r="A40" s="8">
        <v>62</v>
      </c>
      <c r="G40">
        <f t="shared" ref="G40:V52" si="31">100*(G4/$F4)</f>
        <v>65.724276659703136</v>
      </c>
      <c r="H40">
        <f t="shared" si="31"/>
        <v>52.223861754098202</v>
      </c>
      <c r="I40" s="4">
        <f>100*(I4/$F4)</f>
        <v>3.5245988976749141</v>
      </c>
      <c r="J40">
        <f t="shared" si="31"/>
        <v>91.034487212189504</v>
      </c>
      <c r="K40" s="4">
        <f>100*(K4/$F4)</f>
        <v>20.901878860478707</v>
      </c>
      <c r="L40" s="4">
        <f t="shared" ref="L40:W40" si="32">100*(L4/$F4)</f>
        <v>4.653400450099932</v>
      </c>
      <c r="M40">
        <f t="shared" si="32"/>
        <v>3.5039343383627859</v>
      </c>
      <c r="N40">
        <f t="shared" si="32"/>
        <v>0.39230374319118916</v>
      </c>
      <c r="O40" s="4">
        <f t="shared" si="32"/>
        <v>0.12947637944005502</v>
      </c>
      <c r="P40">
        <f t="shared" si="32"/>
        <v>0.61573929075357836</v>
      </c>
      <c r="Q40" s="4">
        <f t="shared" si="32"/>
        <v>0.36582727657252451</v>
      </c>
      <c r="R40" s="4">
        <f t="shared" si="32"/>
        <v>2.3864337168115877</v>
      </c>
      <c r="S40" s="4">
        <f t="shared" si="32"/>
        <v>0.11462372743446267</v>
      </c>
      <c r="T40" s="4">
        <f t="shared" si="32"/>
        <v>7.3898401402606968</v>
      </c>
      <c r="U40">
        <f t="shared" si="32"/>
        <v>4.0186110187304855</v>
      </c>
      <c r="V40">
        <f t="shared" si="32"/>
        <v>6.2962329154141461E-2</v>
      </c>
      <c r="W40" s="4">
        <f t="shared" si="32"/>
        <v>2.8736652793428671E-2</v>
      </c>
    </row>
    <row r="41" spans="1:23" x14ac:dyDescent="0.25">
      <c r="A41" s="8">
        <v>63</v>
      </c>
      <c r="G41">
        <f t="shared" si="31"/>
        <v>47.81069958847737</v>
      </c>
      <c r="H41">
        <f t="shared" si="31"/>
        <v>38.925720164609054</v>
      </c>
      <c r="I41" s="4">
        <f t="shared" si="31"/>
        <v>1.2820987654320988</v>
      </c>
      <c r="J41">
        <f t="shared" si="31"/>
        <v>96.090534979423865</v>
      </c>
      <c r="K41" s="4">
        <f t="shared" si="31"/>
        <v>14.530864197530866</v>
      </c>
      <c r="L41" s="4">
        <f t="shared" si="31"/>
        <v>4.4162551440329221</v>
      </c>
      <c r="M41">
        <f t="shared" si="31"/>
        <v>1.221604938271605</v>
      </c>
      <c r="N41">
        <f t="shared" si="31"/>
        <v>0.12489711934156379</v>
      </c>
      <c r="O41" s="4">
        <f t="shared" si="31"/>
        <v>4.5473251028806581E-2</v>
      </c>
      <c r="P41">
        <f t="shared" si="31"/>
        <v>0.10761316872427984</v>
      </c>
      <c r="Q41" s="4">
        <f t="shared" si="31"/>
        <v>9.0534979423868317E-2</v>
      </c>
      <c r="R41" s="4">
        <f t="shared" si="31"/>
        <v>0.27777777777777779</v>
      </c>
      <c r="S41" s="4">
        <f t="shared" si="31"/>
        <v>0.18189300411522633</v>
      </c>
      <c r="T41" s="4">
        <f t="shared" si="31"/>
        <v>6.8100823045267491</v>
      </c>
      <c r="U41">
        <f t="shared" si="31"/>
        <v>3.9059670781893008</v>
      </c>
      <c r="V41">
        <f t="shared" si="31"/>
        <v>6.0699588477366256E-2</v>
      </c>
      <c r="W41" s="4">
        <f t="shared" ref="W41:W53" si="33">100*(W5/$F5)</f>
        <v>8.8477366255144043E-3</v>
      </c>
    </row>
    <row r="42" spans="1:23" x14ac:dyDescent="0.25">
      <c r="A42" s="8">
        <v>64</v>
      </c>
      <c r="G42">
        <f t="shared" si="31"/>
        <v>45.175315467064017</v>
      </c>
      <c r="H42">
        <f t="shared" si="31"/>
        <v>34.948639874461023</v>
      </c>
      <c r="I42" s="4">
        <f t="shared" si="31"/>
        <v>6.4727435017024062</v>
      </c>
      <c r="J42">
        <f t="shared" si="31"/>
        <v>84.190295203748889</v>
      </c>
      <c r="K42" s="4">
        <f t="shared" si="31"/>
        <v>13.884149984523578</v>
      </c>
      <c r="L42" s="4">
        <f t="shared" si="31"/>
        <v>3.2860402674901561</v>
      </c>
      <c r="M42">
        <f t="shared" si="31"/>
        <v>0.73207074524369964</v>
      </c>
      <c r="N42">
        <f t="shared" si="31"/>
        <v>2.7353675830148069E-2</v>
      </c>
      <c r="O42" s="4">
        <f t="shared" si="31"/>
        <v>5.0388350213430655E-3</v>
      </c>
      <c r="P42">
        <f t="shared" si="31"/>
        <v>9.3578364682085496E-3</v>
      </c>
      <c r="Q42" s="4">
        <f t="shared" si="31"/>
        <v>5.0388350213430655E-3</v>
      </c>
      <c r="R42" s="4">
        <f t="shared" si="31"/>
        <v>6.76643560008926E-2</v>
      </c>
      <c r="S42" s="4">
        <f t="shared" si="31"/>
        <v>9.9337033277906134E-2</v>
      </c>
      <c r="T42" s="4">
        <f t="shared" si="31"/>
        <v>8.4638031687073934</v>
      </c>
      <c r="U42">
        <f t="shared" si="31"/>
        <v>2.8087906076115203</v>
      </c>
      <c r="V42">
        <f t="shared" si="31"/>
        <v>8.4940361788354526E-2</v>
      </c>
      <c r="W42" s="4">
        <f t="shared" si="33"/>
        <v>0</v>
      </c>
    </row>
    <row r="43" spans="1:23" x14ac:dyDescent="0.25">
      <c r="A43" s="8">
        <v>65</v>
      </c>
      <c r="G43">
        <f t="shared" si="31"/>
        <v>59.687262141626718</v>
      </c>
      <c r="H43">
        <f t="shared" si="31"/>
        <v>48.261380479923083</v>
      </c>
      <c r="I43" s="4">
        <f t="shared" si="31"/>
        <v>4.0841534578765337</v>
      </c>
      <c r="J43">
        <f t="shared" si="31"/>
        <v>83.987207392471319</v>
      </c>
      <c r="K43" s="4">
        <f t="shared" si="31"/>
        <v>11.610826979315501</v>
      </c>
      <c r="L43" s="4">
        <f t="shared" si="31"/>
        <v>1.4281517486346094</v>
      </c>
      <c r="M43">
        <f t="shared" si="31"/>
        <v>0.79519809846835909</v>
      </c>
      <c r="N43">
        <f t="shared" si="31"/>
        <v>4.6737083873035368E-3</v>
      </c>
      <c r="O43" s="4">
        <f t="shared" si="31"/>
        <v>0</v>
      </c>
      <c r="P43">
        <f t="shared" si="31"/>
        <v>2.0030178802729445E-3</v>
      </c>
      <c r="Q43" s="4">
        <f t="shared" si="31"/>
        <v>1.3353452535152964E-3</v>
      </c>
      <c r="R43" s="4">
        <f t="shared" si="31"/>
        <v>8.6797441478494268E-3</v>
      </c>
      <c r="S43" s="4">
        <f t="shared" si="31"/>
        <v>5.3413810140611848E-2</v>
      </c>
      <c r="T43" s="4">
        <f t="shared" si="31"/>
        <v>8.5315208247092276</v>
      </c>
      <c r="U43">
        <f t="shared" si="31"/>
        <v>3.6174502917729376</v>
      </c>
      <c r="V43">
        <f t="shared" si="31"/>
        <v>6.5431917422249519E-2</v>
      </c>
      <c r="W43" s="4">
        <f t="shared" si="33"/>
        <v>0</v>
      </c>
    </row>
    <row r="44" spans="1:23" x14ac:dyDescent="0.25">
      <c r="A44" s="8">
        <v>66</v>
      </c>
      <c r="G44">
        <f t="shared" si="31"/>
        <v>71.666666666666671</v>
      </c>
      <c r="H44">
        <f t="shared" si="31"/>
        <v>45.780333333333331</v>
      </c>
      <c r="I44" s="4">
        <f t="shared" si="31"/>
        <v>0.81433333333333335</v>
      </c>
      <c r="J44">
        <f t="shared" si="31"/>
        <v>96.333333333333343</v>
      </c>
      <c r="K44" s="4">
        <f t="shared" si="31"/>
        <v>29.505500000000001</v>
      </c>
      <c r="L44" s="4">
        <f t="shared" si="31"/>
        <v>1.9686666666666668</v>
      </c>
      <c r="M44">
        <f t="shared" si="31"/>
        <v>1.2063333333333335</v>
      </c>
      <c r="N44">
        <f t="shared" si="31"/>
        <v>9.0999999999999998E-2</v>
      </c>
      <c r="O44" s="4">
        <f t="shared" si="31"/>
        <v>1.8833333333333334E-2</v>
      </c>
      <c r="P44">
        <f t="shared" si="31"/>
        <v>0.15283333333333335</v>
      </c>
      <c r="Q44" s="4">
        <f t="shared" si="31"/>
        <v>0.123</v>
      </c>
      <c r="R44" s="4">
        <f t="shared" si="31"/>
        <v>0.26833333333333331</v>
      </c>
      <c r="S44" s="4">
        <f t="shared" si="31"/>
        <v>5.8500000000000003E-2</v>
      </c>
      <c r="T44" s="4">
        <f t="shared" si="31"/>
        <v>18.802833333333332</v>
      </c>
      <c r="U44">
        <f t="shared" si="31"/>
        <v>14.925833333333333</v>
      </c>
      <c r="V44">
        <f t="shared" si="31"/>
        <v>0.34916666666666668</v>
      </c>
      <c r="W44" s="4">
        <f t="shared" si="33"/>
        <v>3.3666666666666664E-2</v>
      </c>
    </row>
    <row r="45" spans="1:23" x14ac:dyDescent="0.25">
      <c r="A45" s="8">
        <v>67</v>
      </c>
      <c r="G45">
        <f t="shared" si="31"/>
        <v>72.458763844989235</v>
      </c>
      <c r="H45">
        <f t="shared" si="31"/>
        <v>43.611052086376795</v>
      </c>
      <c r="I45" s="4">
        <f t="shared" si="31"/>
        <v>0.60393370341841757</v>
      </c>
      <c r="J45">
        <f t="shared" si="31"/>
        <v>96.518499827352656</v>
      </c>
      <c r="K45" s="4">
        <f t="shared" si="31"/>
        <v>34.480331482907914</v>
      </c>
      <c r="L45" s="4">
        <f t="shared" si="31"/>
        <v>3.3400621530452335</v>
      </c>
      <c r="M45">
        <f t="shared" si="31"/>
        <v>1.8984567983213365</v>
      </c>
      <c r="N45">
        <f t="shared" si="31"/>
        <v>0.12716141198969427</v>
      </c>
      <c r="O45" s="4">
        <f t="shared" si="31"/>
        <v>3.6853568487874848E-2</v>
      </c>
      <c r="P45">
        <f t="shared" si="31"/>
        <v>6.972296740949295E-2</v>
      </c>
      <c r="Q45" s="4">
        <f t="shared" si="31"/>
        <v>4.8474063056123666E-2</v>
      </c>
      <c r="R45" s="4">
        <f t="shared" si="31"/>
        <v>0.44124677946293395</v>
      </c>
      <c r="S45" s="4">
        <f t="shared" si="31"/>
        <v>4.5817950011952505E-2</v>
      </c>
      <c r="T45" s="4">
        <f t="shared" si="31"/>
        <v>22.287112539509682</v>
      </c>
      <c r="U45">
        <f t="shared" si="31"/>
        <v>17.125952880554596</v>
      </c>
      <c r="V45">
        <f t="shared" si="31"/>
        <v>0.21315307179473561</v>
      </c>
      <c r="W45" s="4">
        <f t="shared" si="33"/>
        <v>3.32014130521395E-2</v>
      </c>
    </row>
    <row r="46" spans="1:23" x14ac:dyDescent="0.25">
      <c r="A46" s="8">
        <v>68</v>
      </c>
      <c r="G46">
        <f t="shared" si="31"/>
        <v>47.946471097950777</v>
      </c>
      <c r="H46">
        <f t="shared" si="31"/>
        <v>38.320679899690695</v>
      </c>
      <c r="I46" s="4">
        <f t="shared" si="31"/>
        <v>1.7600036726519417</v>
      </c>
      <c r="J46">
        <f t="shared" si="31"/>
        <v>93.833961701126469</v>
      </c>
      <c r="K46" s="4">
        <f t="shared" si="31"/>
        <v>16.728355742248695</v>
      </c>
      <c r="L46" s="4">
        <f t="shared" si="31"/>
        <v>3.2416891903524023</v>
      </c>
      <c r="M46">
        <f t="shared" si="31"/>
        <v>0.73739964765495436</v>
      </c>
      <c r="N46">
        <f t="shared" si="31"/>
        <v>1.836325970813894E-2</v>
      </c>
      <c r="O46" s="4">
        <f t="shared" si="31"/>
        <v>0</v>
      </c>
      <c r="P46">
        <f t="shared" si="31"/>
        <v>1.0903185451707495E-2</v>
      </c>
      <c r="Q46" s="4">
        <f t="shared" si="31"/>
        <v>8.6077779881901274E-3</v>
      </c>
      <c r="R46" s="4">
        <f t="shared" si="31"/>
        <v>3.2709556355122488E-2</v>
      </c>
      <c r="S46" s="4">
        <f t="shared" si="31"/>
        <v>0.13370748474988667</v>
      </c>
      <c r="T46" s="4">
        <f t="shared" si="31"/>
        <v>11.427112205255336</v>
      </c>
      <c r="U46">
        <f t="shared" si="31"/>
        <v>4.1047623966349329</v>
      </c>
      <c r="V46">
        <f t="shared" si="31"/>
        <v>0.43784897366593789</v>
      </c>
      <c r="W46" s="4">
        <f t="shared" si="33"/>
        <v>0</v>
      </c>
    </row>
    <row r="47" spans="1:23" x14ac:dyDescent="0.25">
      <c r="A47" s="8">
        <v>69</v>
      </c>
      <c r="G47">
        <f t="shared" si="31"/>
        <v>53.898201182132595</v>
      </c>
      <c r="H47">
        <f t="shared" si="31"/>
        <v>44.215601954361631</v>
      </c>
      <c r="I47" s="4">
        <f t="shared" si="31"/>
        <v>1.2050066792321628</v>
      </c>
      <c r="J47">
        <f t="shared" si="31"/>
        <v>96.764689735941587</v>
      </c>
      <c r="K47" s="4">
        <f t="shared" si="31"/>
        <v>15.732336633301006</v>
      </c>
      <c r="L47" s="4">
        <f t="shared" si="31"/>
        <v>2.3203469540871411</v>
      </c>
      <c r="M47">
        <f t="shared" si="31"/>
        <v>0.81568979083938742</v>
      </c>
      <c r="N47">
        <f t="shared" si="31"/>
        <v>0.12352004684612147</v>
      </c>
      <c r="O47" s="4">
        <f t="shared" si="31"/>
        <v>3.9343422328764616E-2</v>
      </c>
      <c r="P47">
        <f t="shared" si="31"/>
        <v>5.627024356323311E-2</v>
      </c>
      <c r="Q47" s="4">
        <f t="shared" si="31"/>
        <v>4.4375720533606604E-2</v>
      </c>
      <c r="R47" s="4">
        <f t="shared" si="31"/>
        <v>0.17430051054952697</v>
      </c>
      <c r="S47" s="4">
        <f t="shared" si="31"/>
        <v>4.7578092118506048E-2</v>
      </c>
      <c r="T47" s="4">
        <f t="shared" si="31"/>
        <v>10.093417753948067</v>
      </c>
      <c r="U47">
        <f t="shared" si="31"/>
        <v>3.5056819221549214</v>
      </c>
      <c r="V47">
        <f t="shared" si="31"/>
        <v>0.11757278533130822</v>
      </c>
      <c r="W47" s="4">
        <f t="shared" si="33"/>
        <v>2.0586674474353577E-2</v>
      </c>
    </row>
    <row r="48" spans="1:23" x14ac:dyDescent="0.25">
      <c r="A48" s="8">
        <v>70</v>
      </c>
      <c r="G48">
        <f t="shared" si="31"/>
        <v>60.083644680286</v>
      </c>
      <c r="H48">
        <f t="shared" si="31"/>
        <v>36.693559823737658</v>
      </c>
      <c r="I48" s="4">
        <f t="shared" si="31"/>
        <v>0.83799386846332546</v>
      </c>
      <c r="J48">
        <f t="shared" si="31"/>
        <v>96.82722629186425</v>
      </c>
      <c r="K48" s="4">
        <f t="shared" si="31"/>
        <v>32.117597613393464</v>
      </c>
      <c r="L48" s="4">
        <f t="shared" si="31"/>
        <v>4.0703296023267868</v>
      </c>
      <c r="M48">
        <f t="shared" si="31"/>
        <v>1.6357640312404114</v>
      </c>
      <c r="N48">
        <f t="shared" si="31"/>
        <v>7.8126812967503886E-2</v>
      </c>
      <c r="O48" s="4">
        <f t="shared" si="31"/>
        <v>1.3150057628193724E-2</v>
      </c>
      <c r="P48">
        <f t="shared" si="31"/>
        <v>3.6613885945166839E-2</v>
      </c>
      <c r="Q48" s="4">
        <f t="shared" si="31"/>
        <v>2.3979516851412086E-2</v>
      </c>
      <c r="R48" s="4">
        <f t="shared" si="31"/>
        <v>0.39269681897527531</v>
      </c>
      <c r="S48" s="4">
        <f t="shared" si="31"/>
        <v>5.2084541978335924E-2</v>
      </c>
      <c r="T48" s="4">
        <f t="shared" si="31"/>
        <v>19.071451224889191</v>
      </c>
      <c r="U48">
        <f t="shared" si="31"/>
        <v>11.12469090918467</v>
      </c>
      <c r="V48">
        <f t="shared" si="31"/>
        <v>0.33261910471313538</v>
      </c>
      <c r="W48" s="4">
        <f t="shared" si="33"/>
        <v>4.6411968099507256E-3</v>
      </c>
    </row>
    <row r="49" spans="1:23" x14ac:dyDescent="0.25">
      <c r="A49" s="8">
        <v>71</v>
      </c>
      <c r="G49">
        <f t="shared" si="31"/>
        <v>77.739726027397253</v>
      </c>
      <c r="H49">
        <f t="shared" si="31"/>
        <v>38.352054794520548</v>
      </c>
      <c r="I49" s="4">
        <f t="shared" si="31"/>
        <v>1.7934931506849314</v>
      </c>
      <c r="J49">
        <f t="shared" si="31"/>
        <v>91.438356164383563</v>
      </c>
      <c r="K49" s="4">
        <f t="shared" si="31"/>
        <v>42.486130136986297</v>
      </c>
      <c r="L49" s="4">
        <f t="shared" si="31"/>
        <v>2.8075342465753423</v>
      </c>
      <c r="M49">
        <f t="shared" si="31"/>
        <v>1.4636986301369863</v>
      </c>
      <c r="N49">
        <f t="shared" si="31"/>
        <v>8.4075342465753419E-2</v>
      </c>
      <c r="O49" s="4">
        <f t="shared" si="31"/>
        <v>2.0547945205479454E-2</v>
      </c>
      <c r="P49">
        <f t="shared" si="31"/>
        <v>8.9041095890410954E-2</v>
      </c>
      <c r="Q49" s="4">
        <f t="shared" si="31"/>
        <v>5.8561643835616434E-2</v>
      </c>
      <c r="R49" s="4">
        <f t="shared" si="31"/>
        <v>0.28989726027397256</v>
      </c>
      <c r="S49" s="4">
        <f t="shared" si="31"/>
        <v>5.7363013698630144E-2</v>
      </c>
      <c r="T49" s="4">
        <f t="shared" si="31"/>
        <v>26.50565068493151</v>
      </c>
      <c r="U49">
        <f t="shared" si="31"/>
        <v>20.638698630136986</v>
      </c>
      <c r="V49">
        <f t="shared" si="31"/>
        <v>0.20702054794520547</v>
      </c>
      <c r="W49" s="4">
        <f t="shared" si="33"/>
        <v>1.8664383561643835E-2</v>
      </c>
    </row>
    <row r="50" spans="1:23" x14ac:dyDescent="0.25">
      <c r="A50" s="8">
        <v>72</v>
      </c>
      <c r="G50">
        <f t="shared" si="31"/>
        <v>60.494628099173553</v>
      </c>
      <c r="H50">
        <f t="shared" si="31"/>
        <v>48.900206611570248</v>
      </c>
      <c r="I50" s="4">
        <f t="shared" si="31"/>
        <v>0.66983471074380163</v>
      </c>
      <c r="J50">
        <f t="shared" si="31"/>
        <v>97.933884297520663</v>
      </c>
      <c r="K50" s="4">
        <f t="shared" si="31"/>
        <v>17.037190082644628</v>
      </c>
      <c r="L50" s="4">
        <f t="shared" si="31"/>
        <v>1.1419421487603305</v>
      </c>
      <c r="M50">
        <f t="shared" si="31"/>
        <v>0.46652892561983467</v>
      </c>
      <c r="N50">
        <f t="shared" si="31"/>
        <v>3.1404958677685953E-2</v>
      </c>
      <c r="O50" s="4">
        <f t="shared" si="31"/>
        <v>1.1157024793388429E-2</v>
      </c>
      <c r="P50">
        <f t="shared" si="31"/>
        <v>1.921487603305785E-2</v>
      </c>
      <c r="Q50" s="4">
        <f t="shared" si="31"/>
        <v>1.2190082644628099E-2</v>
      </c>
      <c r="R50" s="4">
        <f t="shared" si="31"/>
        <v>5.2066115702479342E-2</v>
      </c>
      <c r="S50" s="4">
        <f t="shared" si="31"/>
        <v>3.2644628099173553E-2</v>
      </c>
      <c r="T50" s="4">
        <f t="shared" si="31"/>
        <v>8.88904958677686</v>
      </c>
      <c r="U50">
        <f t="shared" si="31"/>
        <v>4.580578512396694</v>
      </c>
      <c r="V50">
        <f t="shared" si="31"/>
        <v>7.9338842975206603E-2</v>
      </c>
      <c r="W50" s="4">
        <f t="shared" si="33"/>
        <v>4.1322314049586778E-3</v>
      </c>
    </row>
    <row r="51" spans="1:23" x14ac:dyDescent="0.25">
      <c r="A51" s="8">
        <v>73</v>
      </c>
      <c r="G51">
        <f t="shared" si="31"/>
        <v>57.62675109511212</v>
      </c>
      <c r="H51">
        <f t="shared" si="31"/>
        <v>41.44164461985514</v>
      </c>
      <c r="I51" s="4">
        <f t="shared" si="31"/>
        <v>0.64275491174046928</v>
      </c>
      <c r="J51">
        <f t="shared" si="31"/>
        <v>94.829335993407639</v>
      </c>
      <c r="K51" s="4">
        <f t="shared" si="31"/>
        <v>22.55714099839528</v>
      </c>
      <c r="L51" s="4">
        <f t="shared" si="31"/>
        <v>5.2825606106605365</v>
      </c>
      <c r="M51">
        <f t="shared" si="31"/>
        <v>1.428633386823958</v>
      </c>
      <c r="N51">
        <f t="shared" si="31"/>
        <v>6.2453918549681228E-2</v>
      </c>
      <c r="O51" s="4">
        <f t="shared" si="31"/>
        <v>6.0719087478856744E-3</v>
      </c>
      <c r="P51">
        <f t="shared" si="31"/>
        <v>2.3420219456130459E-2</v>
      </c>
      <c r="Q51" s="4">
        <f t="shared" si="31"/>
        <v>2.0817972849893739E-2</v>
      </c>
      <c r="R51" s="4">
        <f t="shared" si="31"/>
        <v>2.1685388385305981E-2</v>
      </c>
      <c r="S51" s="4">
        <f t="shared" si="31"/>
        <v>0.15179771869714187</v>
      </c>
      <c r="T51" s="4">
        <f t="shared" si="31"/>
        <v>11.975538881901375</v>
      </c>
      <c r="U51">
        <f t="shared" si="31"/>
        <v>3.6526868196209392</v>
      </c>
      <c r="V51">
        <f t="shared" si="31"/>
        <v>2.1633343453181246</v>
      </c>
      <c r="W51" s="4">
        <f t="shared" si="33"/>
        <v>1.4746064102008067E-2</v>
      </c>
    </row>
    <row r="52" spans="1:23" x14ac:dyDescent="0.25">
      <c r="A52" s="8">
        <v>74</v>
      </c>
      <c r="G52">
        <f t="shared" si="31"/>
        <v>51.199715622963446</v>
      </c>
      <c r="H52">
        <f t="shared" si="31"/>
        <v>39.591208009953192</v>
      </c>
      <c r="I52" s="4">
        <f t="shared" si="31"/>
        <v>0.79507079803305891</v>
      </c>
      <c r="J52">
        <f t="shared" si="31"/>
        <v>96.109366668641499</v>
      </c>
      <c r="K52" s="4">
        <f t="shared" si="31"/>
        <v>20.122045144854553</v>
      </c>
      <c r="L52" s="4">
        <f t="shared" si="31"/>
        <v>2.7714912020854316</v>
      </c>
      <c r="M52">
        <f t="shared" si="31"/>
        <v>0.61081817643225311</v>
      </c>
      <c r="N52">
        <f t="shared" si="31"/>
        <v>4.8581077078025947E-2</v>
      </c>
      <c r="O52" s="4">
        <f t="shared" si="31"/>
        <v>1.7773564784643642E-3</v>
      </c>
      <c r="P52">
        <f t="shared" si="31"/>
        <v>1.3033947508738668E-2</v>
      </c>
      <c r="Q52" s="4">
        <f t="shared" si="31"/>
        <v>1.1849043189762426E-2</v>
      </c>
      <c r="R52" s="4">
        <f t="shared" si="31"/>
        <v>3.6139581728775398E-2</v>
      </c>
      <c r="S52" s="4">
        <f t="shared" si="31"/>
        <v>6.3392381065228987E-2</v>
      </c>
      <c r="T52" s="4">
        <f t="shared" si="31"/>
        <v>13.858048462586648</v>
      </c>
      <c r="U52">
        <f t="shared" si="31"/>
        <v>3.7833994904911425</v>
      </c>
      <c r="V52">
        <f t="shared" si="31"/>
        <v>0.51010130931927244</v>
      </c>
      <c r="W52" s="4">
        <f t="shared" si="33"/>
        <v>5.9245215948812132E-3</v>
      </c>
    </row>
    <row r="53" spans="1:23" x14ac:dyDescent="0.25">
      <c r="A53" s="8">
        <v>75</v>
      </c>
      <c r="G53">
        <f>100*(G17/$F17)</f>
        <v>86.379854368932044</v>
      </c>
      <c r="H53">
        <f>100*(H17/$F17)</f>
        <v>67.360922330097083</v>
      </c>
      <c r="I53" s="3">
        <f>100*(I17/$F17)</f>
        <v>1.9563106796116507</v>
      </c>
      <c r="J53">
        <f>100*(J17/$F17)</f>
        <v>94.804854368932041</v>
      </c>
      <c r="K53" s="4">
        <f t="shared" ref="K53:V53" si="34">100*(K17/$F17)</f>
        <v>22.775485436893202</v>
      </c>
      <c r="L53" s="4">
        <f t="shared" si="34"/>
        <v>1.2444174757281554</v>
      </c>
      <c r="M53">
        <f t="shared" si="34"/>
        <v>0.87378640776699035</v>
      </c>
      <c r="N53">
        <f t="shared" si="34"/>
        <v>5.5825242718446605E-2</v>
      </c>
      <c r="O53" s="4">
        <f t="shared" si="34"/>
        <v>9.7087378640776708E-3</v>
      </c>
      <c r="P53">
        <f t="shared" si="34"/>
        <v>4.6116504854368932E-2</v>
      </c>
      <c r="Q53" s="4">
        <f t="shared" si="34"/>
        <v>3.0582524271844661E-2</v>
      </c>
      <c r="R53" s="4">
        <f t="shared" si="34"/>
        <v>0.12839805825242717</v>
      </c>
      <c r="S53" s="4">
        <f t="shared" si="34"/>
        <v>2.378640776699029E-2</v>
      </c>
      <c r="T53" s="4">
        <f t="shared" si="34"/>
        <v>9.7266990291262143</v>
      </c>
      <c r="U53">
        <f t="shared" si="34"/>
        <v>6.3519417475728162</v>
      </c>
      <c r="V53">
        <f t="shared" si="34"/>
        <v>0.10339805825242718</v>
      </c>
      <c r="W53" s="4">
        <f t="shared" si="33"/>
        <v>7.0388349514563103E-3</v>
      </c>
    </row>
    <row r="54" spans="1:23" x14ac:dyDescent="0.25">
      <c r="A54" s="10" t="s">
        <v>87</v>
      </c>
      <c r="B54" s="10"/>
      <c r="C54" s="10"/>
      <c r="D54" s="10"/>
      <c r="E54" s="10"/>
    </row>
    <row r="55" spans="1:23" s="10" customFormat="1" ht="27" customHeight="1" x14ac:dyDescent="0.25">
      <c r="A55" s="10" t="s">
        <v>87</v>
      </c>
      <c r="B55" s="13" t="s">
        <v>70</v>
      </c>
      <c r="C55" s="13" t="s">
        <v>222</v>
      </c>
      <c r="D55" s="13" t="s">
        <v>223</v>
      </c>
      <c r="E55" s="13" t="s">
        <v>224</v>
      </c>
      <c r="F55" s="13"/>
      <c r="G55" s="13"/>
      <c r="H55" s="13"/>
      <c r="I55" s="3" t="s">
        <v>18</v>
      </c>
      <c r="J55" s="13" t="s">
        <v>77</v>
      </c>
      <c r="K55" s="3" t="s">
        <v>12</v>
      </c>
      <c r="L55" s="3" t="s">
        <v>79</v>
      </c>
      <c r="O55" s="4" t="s">
        <v>80</v>
      </c>
      <c r="Q55" s="4" t="s">
        <v>25</v>
      </c>
      <c r="R55" s="4" t="s">
        <v>81</v>
      </c>
      <c r="S55" s="4" t="s">
        <v>82</v>
      </c>
      <c r="T55" s="4" t="s">
        <v>83</v>
      </c>
      <c r="W55" s="4" t="s">
        <v>84</v>
      </c>
    </row>
    <row r="56" spans="1:23" s="6" customFormat="1" x14ac:dyDescent="0.25">
      <c r="A56" s="12">
        <v>62</v>
      </c>
      <c r="B56" s="6">
        <v>3110000</v>
      </c>
      <c r="C56" s="14">
        <v>331371</v>
      </c>
      <c r="D56" s="6">
        <v>825000</v>
      </c>
      <c r="E56" s="6">
        <f>(C56/B56)*D56</f>
        <v>87903.882636655952</v>
      </c>
      <c r="I56" s="6">
        <f>I23*$E56</f>
        <v>289572.34726688103</v>
      </c>
      <c r="K56" s="6">
        <f t="shared" ref="K56:L56" si="35">K23*$E56</f>
        <v>1717246.7845659165</v>
      </c>
      <c r="L56" s="6">
        <f t="shared" si="35"/>
        <v>382311.8971061093</v>
      </c>
      <c r="O56" s="6">
        <f t="shared" ref="O56" si="36">O23*$E56</f>
        <v>10637.459807073956</v>
      </c>
      <c r="Q56" s="6">
        <f t="shared" ref="Q56:T56" si="37">Q23*$E56</f>
        <v>30055.466237942121</v>
      </c>
      <c r="R56" s="6">
        <f t="shared" si="37"/>
        <v>196063.50482315113</v>
      </c>
      <c r="S56" s="6">
        <f t="shared" si="37"/>
        <v>9417.2025723472671</v>
      </c>
      <c r="T56" s="6">
        <f t="shared" si="37"/>
        <v>607131.02893890685</v>
      </c>
      <c r="W56" s="6">
        <f t="shared" ref="W56" si="38">W23*$E56</f>
        <v>2360.9324758842445</v>
      </c>
    </row>
    <row r="57" spans="1:23" s="6" customFormat="1" x14ac:dyDescent="0.25">
      <c r="A57" s="12">
        <v>63</v>
      </c>
      <c r="B57" s="6">
        <v>3040000</v>
      </c>
      <c r="C57" s="14">
        <v>499000</v>
      </c>
      <c r="D57" s="6">
        <v>550000</v>
      </c>
      <c r="E57" s="6">
        <f t="shared" ref="E57:E69" si="39">(C57/B57)*D57</f>
        <v>90279.605263157893</v>
      </c>
      <c r="I57" s="6">
        <f t="shared" ref="I57:L69" si="40">I24*$E57</f>
        <v>112731.90789473684</v>
      </c>
      <c r="K57" s="6">
        <f t="shared" si="40"/>
        <v>1277664.4736842106</v>
      </c>
      <c r="L57" s="6">
        <f t="shared" si="40"/>
        <v>388310.85526315792</v>
      </c>
      <c r="O57" s="6">
        <f t="shared" ref="O57" si="41">O24*$E57</f>
        <v>3998.3552631578946</v>
      </c>
      <c r="Q57" s="6">
        <f t="shared" ref="Q57:T57" si="42">Q24*$E57</f>
        <v>7960.5263157894742</v>
      </c>
      <c r="R57" s="6">
        <f t="shared" si="42"/>
        <v>24424.342105263157</v>
      </c>
      <c r="S57" s="6">
        <f t="shared" si="42"/>
        <v>15993.421052631578</v>
      </c>
      <c r="T57" s="6">
        <f t="shared" si="42"/>
        <v>598794.40789473685</v>
      </c>
      <c r="W57" s="6">
        <f t="shared" ref="W57" si="43">W24*$E57</f>
        <v>777.96052631578948</v>
      </c>
    </row>
    <row r="58" spans="1:23" s="6" customFormat="1" x14ac:dyDescent="0.25">
      <c r="A58" s="12">
        <v>64</v>
      </c>
      <c r="B58" s="6">
        <v>2460000</v>
      </c>
      <c r="C58" s="14">
        <v>237151</v>
      </c>
      <c r="D58" s="6">
        <v>662500</v>
      </c>
      <c r="E58" s="6">
        <f t="shared" si="39"/>
        <v>63866.885162601626</v>
      </c>
      <c r="I58" s="6">
        <f t="shared" si="40"/>
        <v>242162.60162601626</v>
      </c>
      <c r="K58" s="6">
        <f t="shared" si="40"/>
        <v>519443.08943089435</v>
      </c>
      <c r="L58" s="6">
        <f t="shared" si="40"/>
        <v>122939.5325203252</v>
      </c>
      <c r="O58" s="6">
        <f t="shared" ref="O58" si="44">O25*$E58</f>
        <v>188.51626016260161</v>
      </c>
      <c r="Q58" s="6">
        <f t="shared" ref="Q58:T58" si="45">Q25*$E58</f>
        <v>188.51626016260161</v>
      </c>
      <c r="R58" s="6">
        <f t="shared" si="45"/>
        <v>2531.5040650406504</v>
      </c>
      <c r="S58" s="6">
        <f t="shared" si="45"/>
        <v>3716.4634146341464</v>
      </c>
      <c r="T58" s="6">
        <f t="shared" si="45"/>
        <v>316653.45528455288</v>
      </c>
      <c r="W58" s="6">
        <f t="shared" ref="W58" si="46">W25*$E58</f>
        <v>0</v>
      </c>
    </row>
    <row r="59" spans="1:23" s="6" customFormat="1" x14ac:dyDescent="0.25">
      <c r="A59" s="12">
        <v>65</v>
      </c>
      <c r="B59" s="6">
        <v>3090000</v>
      </c>
      <c r="C59" s="14">
        <v>304441</v>
      </c>
      <c r="D59" s="6">
        <v>450000</v>
      </c>
      <c r="E59" s="6">
        <f t="shared" si="39"/>
        <v>44336.067961165048</v>
      </c>
      <c r="I59" s="6">
        <f t="shared" si="40"/>
        <v>89082.524271844668</v>
      </c>
      <c r="K59" s="6">
        <f t="shared" si="40"/>
        <v>253252.42718446601</v>
      </c>
      <c r="L59" s="6">
        <f t="shared" si="40"/>
        <v>31150.485436893206</v>
      </c>
      <c r="O59" s="6">
        <f t="shared" ref="O59" si="47">O26*$E59</f>
        <v>0</v>
      </c>
      <c r="Q59" s="6">
        <f t="shared" ref="Q59:T59" si="48">Q26*$E59</f>
        <v>29.126213592233011</v>
      </c>
      <c r="R59" s="6">
        <f t="shared" si="48"/>
        <v>189.32038834951456</v>
      </c>
      <c r="S59" s="6">
        <f t="shared" si="48"/>
        <v>1165.0485436893205</v>
      </c>
      <c r="T59" s="6">
        <f t="shared" si="48"/>
        <v>186087.3786407767</v>
      </c>
      <c r="W59" s="6">
        <f t="shared" ref="W59" si="49">W26*$E59</f>
        <v>0</v>
      </c>
    </row>
    <row r="60" spans="1:23" s="6" customFormat="1" x14ac:dyDescent="0.25">
      <c r="A60" s="12">
        <v>66</v>
      </c>
      <c r="B60" s="6">
        <v>3530000</v>
      </c>
      <c r="C60" s="14">
        <v>670000</v>
      </c>
      <c r="D60" s="6">
        <v>850000</v>
      </c>
      <c r="E60" s="6">
        <f t="shared" si="39"/>
        <v>161331.44475920679</v>
      </c>
      <c r="I60" s="6">
        <f t="shared" si="40"/>
        <v>117651.55807365438</v>
      </c>
      <c r="K60" s="6">
        <f t="shared" si="40"/>
        <v>4262834.2776203966</v>
      </c>
      <c r="L60" s="6">
        <f t="shared" si="40"/>
        <v>284424.92917847022</v>
      </c>
      <c r="O60" s="6">
        <f t="shared" ref="O60" si="50">O27*$E60</f>
        <v>2720.9631728045324</v>
      </c>
      <c r="Q60" s="6">
        <f t="shared" ref="Q60:T60" si="51">Q27*$E60</f>
        <v>17770.538243626059</v>
      </c>
      <c r="R60" s="6">
        <f t="shared" si="51"/>
        <v>38767.705382436259</v>
      </c>
      <c r="S60" s="6">
        <f t="shared" si="51"/>
        <v>8451.8413597733706</v>
      </c>
      <c r="T60" s="6">
        <f t="shared" si="51"/>
        <v>2716556.657223796</v>
      </c>
      <c r="W60" s="6">
        <f t="shared" ref="W60" si="52">W27*$E60</f>
        <v>4864.022662889518</v>
      </c>
    </row>
    <row r="61" spans="1:23" s="6" customFormat="1" x14ac:dyDescent="0.25">
      <c r="A61" s="12">
        <v>67</v>
      </c>
      <c r="B61" s="6">
        <v>2390000</v>
      </c>
      <c r="C61" s="14">
        <v>311476</v>
      </c>
      <c r="D61" s="6">
        <v>362500</v>
      </c>
      <c r="E61" s="6">
        <f t="shared" si="39"/>
        <v>47242.698744769878</v>
      </c>
      <c r="I61" s="6">
        <f t="shared" si="40"/>
        <v>27589.435146443517</v>
      </c>
      <c r="K61" s="6">
        <f t="shared" si="40"/>
        <v>1575161.0878661089</v>
      </c>
      <c r="L61" s="6">
        <f t="shared" si="40"/>
        <v>152583.6820083682</v>
      </c>
      <c r="O61" s="6">
        <f t="shared" ref="O61" si="53">O28*$E61</f>
        <v>1683.5774058577408</v>
      </c>
      <c r="Q61" s="6">
        <f t="shared" ref="Q61:T61" si="54">Q28*$E61</f>
        <v>2214.4351464435149</v>
      </c>
      <c r="R61" s="6">
        <f t="shared" si="54"/>
        <v>20157.42677824268</v>
      </c>
      <c r="S61" s="6">
        <f t="shared" si="54"/>
        <v>2093.0962343096235</v>
      </c>
      <c r="T61" s="6">
        <f t="shared" si="54"/>
        <v>1018139.6443514646</v>
      </c>
      <c r="W61" s="6">
        <f t="shared" ref="W61" si="55">W28*$E61</f>
        <v>1516.7364016736401</v>
      </c>
    </row>
    <row r="62" spans="1:23" s="6" customFormat="1" x14ac:dyDescent="0.25">
      <c r="A62" s="12">
        <v>68</v>
      </c>
      <c r="B62" s="6">
        <v>2240000</v>
      </c>
      <c r="C62" s="14">
        <v>193047</v>
      </c>
      <c r="D62" s="6">
        <v>387500</v>
      </c>
      <c r="E62" s="6">
        <f t="shared" si="39"/>
        <v>33395.407366071428</v>
      </c>
      <c r="I62" s="6">
        <f t="shared" si="40"/>
        <v>53056.361607142855</v>
      </c>
      <c r="K62" s="6">
        <f t="shared" si="40"/>
        <v>504286.27232142852</v>
      </c>
      <c r="L62" s="6">
        <f t="shared" si="40"/>
        <v>97722.65625</v>
      </c>
      <c r="O62" s="6">
        <f t="shared" ref="O62" si="56">O29*$E62</f>
        <v>0</v>
      </c>
      <c r="Q62" s="6">
        <f t="shared" ref="Q62:T62" si="57">Q29*$E62</f>
        <v>259.48660714285711</v>
      </c>
      <c r="R62" s="6">
        <f t="shared" si="57"/>
        <v>986.04910714285711</v>
      </c>
      <c r="S62" s="6">
        <f t="shared" si="57"/>
        <v>4030.6919642857138</v>
      </c>
      <c r="T62" s="6">
        <f t="shared" si="57"/>
        <v>344477.12053571432</v>
      </c>
      <c r="W62" s="6">
        <f t="shared" ref="W62" si="58">W29*$E62</f>
        <v>0</v>
      </c>
    </row>
    <row r="63" spans="1:23" s="6" customFormat="1" x14ac:dyDescent="0.25">
      <c r="A63" s="12">
        <v>69</v>
      </c>
      <c r="B63" s="6">
        <v>2590000</v>
      </c>
      <c r="C63" s="14">
        <v>230266</v>
      </c>
      <c r="D63" s="6">
        <v>525000</v>
      </c>
      <c r="E63" s="6">
        <f t="shared" si="39"/>
        <v>46675.54054054054</v>
      </c>
      <c r="I63" s="6">
        <f t="shared" si="40"/>
        <v>53391.891891891893</v>
      </c>
      <c r="K63" s="6">
        <f t="shared" si="40"/>
        <v>697074.32432432438</v>
      </c>
      <c r="L63" s="6">
        <f t="shared" si="40"/>
        <v>102810.81081081081</v>
      </c>
      <c r="O63" s="6">
        <f t="shared" ref="O63" si="59">O30*$E63</f>
        <v>1743.2432432432433</v>
      </c>
      <c r="Q63" s="6">
        <f t="shared" ref="Q63:T63" si="60">Q30*$E63</f>
        <v>1966.216216216216</v>
      </c>
      <c r="R63" s="6">
        <f t="shared" si="60"/>
        <v>7722.9729729729734</v>
      </c>
      <c r="S63" s="6">
        <f t="shared" si="60"/>
        <v>2108.1081081081079</v>
      </c>
      <c r="T63" s="6">
        <f t="shared" si="60"/>
        <v>447222.97297297296</v>
      </c>
      <c r="W63" s="6">
        <f t="shared" ref="W63" si="61">W30*$E63</f>
        <v>912.16216216216219</v>
      </c>
    </row>
    <row r="64" spans="1:23" s="6" customFormat="1" x14ac:dyDescent="0.25">
      <c r="A64" s="12">
        <v>70</v>
      </c>
      <c r="B64" s="6">
        <v>2470000</v>
      </c>
      <c r="C64" s="14">
        <v>404000</v>
      </c>
      <c r="D64" s="6">
        <v>550000</v>
      </c>
      <c r="E64" s="6">
        <f t="shared" si="39"/>
        <v>89959.514170040493</v>
      </c>
      <c r="I64" s="6">
        <f t="shared" si="40"/>
        <v>72368.421052631587</v>
      </c>
      <c r="K64" s="6">
        <f t="shared" si="40"/>
        <v>2773647.7732793521</v>
      </c>
      <c r="L64" s="6">
        <f t="shared" si="40"/>
        <v>351510.12145748991</v>
      </c>
      <c r="O64" s="6">
        <f t="shared" ref="O64" si="62">O31*$E64</f>
        <v>1135.6275303643727</v>
      </c>
      <c r="Q64" s="6">
        <f t="shared" ref="Q64:T64" si="63">Q31*$E64</f>
        <v>2070.8502024291497</v>
      </c>
      <c r="R64" s="6">
        <f t="shared" si="63"/>
        <v>33912.955465587045</v>
      </c>
      <c r="S64" s="6">
        <f t="shared" si="63"/>
        <v>4497.9757085020246</v>
      </c>
      <c r="T64" s="6">
        <f t="shared" si="63"/>
        <v>1646993.9271255061</v>
      </c>
      <c r="W64" s="6">
        <f t="shared" ref="W64" si="64">W31*$E64</f>
        <v>400.80971659919027</v>
      </c>
    </row>
    <row r="65" spans="1:23" s="6" customFormat="1" x14ac:dyDescent="0.25">
      <c r="A65" s="12">
        <v>71</v>
      </c>
      <c r="B65" s="6">
        <v>3630000</v>
      </c>
      <c r="C65" s="14">
        <v>624000</v>
      </c>
      <c r="D65" s="6">
        <v>925000</v>
      </c>
      <c r="E65" s="6">
        <f t="shared" si="39"/>
        <v>159008.26446280992</v>
      </c>
      <c r="I65" s="6">
        <f t="shared" si="40"/>
        <v>266899.44903581269</v>
      </c>
      <c r="K65" s="6">
        <f t="shared" si="40"/>
        <v>6322591.597796144</v>
      </c>
      <c r="L65" s="6">
        <f t="shared" si="40"/>
        <v>417804.40771349863</v>
      </c>
      <c r="O65" s="6">
        <f t="shared" ref="O65" si="65">O32*$E65</f>
        <v>3057.8512396694218</v>
      </c>
      <c r="Q65" s="6">
        <f t="shared" ref="Q65:T65" si="66">Q32*$E65</f>
        <v>8714.8760330578516</v>
      </c>
      <c r="R65" s="6">
        <f t="shared" si="66"/>
        <v>43141.184573002756</v>
      </c>
      <c r="S65" s="6">
        <f t="shared" si="66"/>
        <v>8536.5013774104682</v>
      </c>
      <c r="T65" s="6">
        <f t="shared" si="66"/>
        <v>3944449.7245179066</v>
      </c>
      <c r="W65" s="6">
        <f t="shared" ref="W65" si="67">W32*$E65</f>
        <v>2777.5482093663913</v>
      </c>
    </row>
    <row r="66" spans="1:23" s="6" customFormat="1" x14ac:dyDescent="0.25">
      <c r="A66" s="12">
        <v>72</v>
      </c>
      <c r="B66" s="6">
        <v>4000000</v>
      </c>
      <c r="C66" s="14">
        <v>506000</v>
      </c>
      <c r="D66" s="6">
        <v>875000</v>
      </c>
      <c r="E66" s="6">
        <f t="shared" si="39"/>
        <v>110687.5</v>
      </c>
      <c r="I66" s="6">
        <f t="shared" si="40"/>
        <v>70918.75</v>
      </c>
      <c r="K66" s="6">
        <f t="shared" si="40"/>
        <v>1803812.5</v>
      </c>
      <c r="L66" s="6">
        <f t="shared" si="40"/>
        <v>120903.125</v>
      </c>
      <c r="O66" s="6">
        <f t="shared" ref="O66" si="68">O33*$E66</f>
        <v>1181.25</v>
      </c>
      <c r="Q66" s="6">
        <f t="shared" ref="Q66:T66" si="69">Q33*$E66</f>
        <v>1290.625</v>
      </c>
      <c r="R66" s="6">
        <f t="shared" si="69"/>
        <v>5512.5</v>
      </c>
      <c r="S66" s="6">
        <f t="shared" si="69"/>
        <v>3456.25</v>
      </c>
      <c r="T66" s="6">
        <f t="shared" si="69"/>
        <v>941128.12499999988</v>
      </c>
      <c r="W66" s="6">
        <f t="shared" ref="W66" si="70">W33*$E66</f>
        <v>437.49999999999994</v>
      </c>
    </row>
    <row r="67" spans="1:23" s="6" customFormat="1" x14ac:dyDescent="0.25">
      <c r="A67" s="12">
        <v>73</v>
      </c>
      <c r="B67" s="6">
        <v>2320000</v>
      </c>
      <c r="C67" s="14">
        <v>128935</v>
      </c>
      <c r="D67" s="6">
        <v>325000</v>
      </c>
      <c r="E67" s="6">
        <f t="shared" si="39"/>
        <v>18062.015086206895</v>
      </c>
      <c r="I67" s="6">
        <f t="shared" si="40"/>
        <v>10380.387931034482</v>
      </c>
      <c r="K67" s="6">
        <f t="shared" si="40"/>
        <v>364294.18103448272</v>
      </c>
      <c r="L67" s="6">
        <f t="shared" si="40"/>
        <v>85312.5</v>
      </c>
      <c r="O67" s="6">
        <f t="shared" ref="O67" si="71">O34*$E67</f>
        <v>98.060344827586192</v>
      </c>
      <c r="Q67" s="6">
        <f t="shared" ref="Q67:T67" si="72">Q34*$E67</f>
        <v>336.20689655172407</v>
      </c>
      <c r="R67" s="6">
        <f t="shared" si="72"/>
        <v>350.2155172413793</v>
      </c>
      <c r="S67" s="6">
        <f t="shared" si="72"/>
        <v>2451.5086206896549</v>
      </c>
      <c r="T67" s="6">
        <f t="shared" si="72"/>
        <v>193403.0172413793</v>
      </c>
      <c r="W67" s="6">
        <f t="shared" ref="W67" si="73">W34*$E67</f>
        <v>238.14655172413791</v>
      </c>
    </row>
    <row r="68" spans="1:23" s="6" customFormat="1" x14ac:dyDescent="0.25">
      <c r="A68" s="12">
        <v>74</v>
      </c>
      <c r="B68" s="6">
        <v>2740000</v>
      </c>
      <c r="C68" s="14">
        <v>210885</v>
      </c>
      <c r="D68" s="6">
        <v>375000</v>
      </c>
      <c r="E68" s="6">
        <f t="shared" si="39"/>
        <v>28861.998175182482</v>
      </c>
      <c r="I68" s="6">
        <f t="shared" si="40"/>
        <v>18366.788321167882</v>
      </c>
      <c r="K68" s="6">
        <f t="shared" si="40"/>
        <v>464835.76642335771</v>
      </c>
      <c r="L68" s="6">
        <f t="shared" si="40"/>
        <v>64023.722627737232</v>
      </c>
      <c r="O68" s="6">
        <f t="shared" ref="O68" si="74">O35*$E68</f>
        <v>41.058394160583937</v>
      </c>
      <c r="Q68" s="6">
        <f t="shared" ref="Q68:T68" si="75">Q35*$E68</f>
        <v>273.72262773722628</v>
      </c>
      <c r="R68" s="6">
        <f t="shared" si="75"/>
        <v>834.85401459854018</v>
      </c>
      <c r="S68" s="6">
        <f t="shared" si="75"/>
        <v>1464.4160583941605</v>
      </c>
      <c r="T68" s="6">
        <f t="shared" si="75"/>
        <v>320132.29927007301</v>
      </c>
      <c r="W68" s="6">
        <f t="shared" ref="W68" si="76">W35*$E68</f>
        <v>136.86131386861314</v>
      </c>
    </row>
    <row r="69" spans="1:23" s="6" customFormat="1" x14ac:dyDescent="0.25">
      <c r="A69" s="12">
        <v>75</v>
      </c>
      <c r="B69" s="6">
        <v>4000000</v>
      </c>
      <c r="C69" s="14">
        <v>454000</v>
      </c>
      <c r="D69" s="6">
        <v>2487500</v>
      </c>
      <c r="E69" s="6">
        <f t="shared" si="39"/>
        <v>282331.25</v>
      </c>
      <c r="I69" s="6">
        <f t="shared" si="40"/>
        <v>501231.25</v>
      </c>
      <c r="K69" s="6">
        <f t="shared" si="40"/>
        <v>5835364.0625</v>
      </c>
      <c r="L69" s="6">
        <f>L36*$E69</f>
        <v>318835.3125</v>
      </c>
      <c r="O69" s="6">
        <f>O36*$E69</f>
        <v>2487.5000000000005</v>
      </c>
      <c r="Q69" s="6">
        <f t="shared" ref="Q69:T69" si="77">Q36*$E69</f>
        <v>7835.625</v>
      </c>
      <c r="R69" s="6">
        <f t="shared" si="77"/>
        <v>32897.1875</v>
      </c>
      <c r="S69" s="6">
        <f t="shared" si="77"/>
        <v>6094.375</v>
      </c>
      <c r="T69" s="6">
        <f t="shared" si="77"/>
        <v>2492101.875</v>
      </c>
      <c r="W69" s="6">
        <f>W36*$E69</f>
        <v>1803.4375</v>
      </c>
    </row>
    <row r="70" spans="1:23" s="12" customForma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4E5C-8890-A94F-84BD-F834915D4074}">
  <dimension ref="A1:AT70"/>
  <sheetViews>
    <sheetView topLeftCell="A26" zoomScale="55" zoomScaleNormal="55" workbookViewId="0">
      <selection activeCell="A55" sqref="A55:A70"/>
    </sheetView>
  </sheetViews>
  <sheetFormatPr defaultColWidth="11" defaultRowHeight="15.75" x14ac:dyDescent="0.25"/>
  <cols>
    <col min="1" max="1" width="34.5" customWidth="1"/>
    <col min="2" max="2" width="14.625" customWidth="1"/>
  </cols>
  <sheetData>
    <row r="1" spans="1:30" x14ac:dyDescent="0.25">
      <c r="A1" t="s">
        <v>31</v>
      </c>
      <c r="B1" t="s">
        <v>32</v>
      </c>
      <c r="C1" t="s">
        <v>33</v>
      </c>
      <c r="D1" t="s">
        <v>34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191</v>
      </c>
      <c r="K1" t="s">
        <v>192</v>
      </c>
      <c r="L1" t="s">
        <v>193</v>
      </c>
      <c r="M1" t="s">
        <v>194</v>
      </c>
      <c r="N1" t="s">
        <v>195</v>
      </c>
      <c r="O1" t="s">
        <v>196</v>
      </c>
      <c r="P1" t="s">
        <v>197</v>
      </c>
      <c r="Q1" t="s">
        <v>198</v>
      </c>
      <c r="R1" t="s">
        <v>199</v>
      </c>
      <c r="S1" t="s">
        <v>225</v>
      </c>
      <c r="T1" t="s">
        <v>201</v>
      </c>
      <c r="U1" t="s">
        <v>202</v>
      </c>
      <c r="V1" t="s">
        <v>203</v>
      </c>
      <c r="W1" t="s">
        <v>204</v>
      </c>
    </row>
    <row r="3" spans="1:30" x14ac:dyDescent="0.25">
      <c r="A3" t="s">
        <v>226</v>
      </c>
      <c r="B3" s="1">
        <v>2920000</v>
      </c>
      <c r="C3" s="1">
        <v>1050000</v>
      </c>
      <c r="D3" s="1">
        <v>872000</v>
      </c>
      <c r="E3" s="1">
        <v>534000</v>
      </c>
      <c r="F3" s="1">
        <v>495000</v>
      </c>
      <c r="G3">
        <v>302541</v>
      </c>
      <c r="H3">
        <v>220827</v>
      </c>
      <c r="I3">
        <v>3809</v>
      </c>
      <c r="J3" s="1">
        <v>477000</v>
      </c>
      <c r="K3">
        <v>128129</v>
      </c>
      <c r="L3">
        <v>21570</v>
      </c>
      <c r="M3">
        <v>11878</v>
      </c>
      <c r="N3">
        <v>1754</v>
      </c>
      <c r="O3">
        <v>493</v>
      </c>
      <c r="P3">
        <v>1208</v>
      </c>
      <c r="Q3">
        <v>985</v>
      </c>
      <c r="R3">
        <v>647</v>
      </c>
      <c r="S3">
        <v>564</v>
      </c>
      <c r="T3">
        <v>26821</v>
      </c>
      <c r="U3">
        <v>14274</v>
      </c>
      <c r="V3">
        <v>1936</v>
      </c>
      <c r="W3">
        <v>276</v>
      </c>
      <c r="AC3" t="s">
        <v>31</v>
      </c>
      <c r="AD3" t="s">
        <v>32</v>
      </c>
    </row>
    <row r="4" spans="1:30" x14ac:dyDescent="0.25">
      <c r="A4" t="s">
        <v>227</v>
      </c>
      <c r="B4" s="1">
        <v>3380000</v>
      </c>
      <c r="C4" s="1">
        <v>759000</v>
      </c>
      <c r="D4" s="1">
        <v>597000</v>
      </c>
      <c r="E4">
        <v>357085</v>
      </c>
      <c r="F4">
        <v>320214</v>
      </c>
      <c r="G4">
        <v>159066</v>
      </c>
      <c r="H4">
        <v>125841</v>
      </c>
      <c r="I4">
        <v>16438</v>
      </c>
      <c r="J4">
        <v>266289</v>
      </c>
      <c r="K4">
        <v>55581</v>
      </c>
      <c r="L4">
        <v>20390</v>
      </c>
      <c r="M4">
        <v>10481</v>
      </c>
      <c r="N4">
        <v>139</v>
      </c>
      <c r="O4">
        <v>0</v>
      </c>
      <c r="P4">
        <v>166</v>
      </c>
      <c r="Q4">
        <v>81</v>
      </c>
      <c r="R4">
        <v>101</v>
      </c>
      <c r="S4">
        <v>862</v>
      </c>
      <c r="T4">
        <v>25416</v>
      </c>
      <c r="U4">
        <v>8340</v>
      </c>
      <c r="V4">
        <v>81</v>
      </c>
      <c r="W4">
        <v>0</v>
      </c>
      <c r="AC4" t="s">
        <v>228</v>
      </c>
      <c r="AD4">
        <v>10000</v>
      </c>
    </row>
    <row r="5" spans="1:30" x14ac:dyDescent="0.25">
      <c r="A5" t="s">
        <v>229</v>
      </c>
      <c r="B5" s="1">
        <v>2670000</v>
      </c>
      <c r="C5" s="1">
        <v>632000</v>
      </c>
      <c r="D5" s="1">
        <v>495000</v>
      </c>
      <c r="E5">
        <v>290690</v>
      </c>
      <c r="F5">
        <v>278437</v>
      </c>
      <c r="G5">
        <v>148795</v>
      </c>
      <c r="H5">
        <v>112065</v>
      </c>
      <c r="I5">
        <v>4288</v>
      </c>
      <c r="J5">
        <v>254465</v>
      </c>
      <c r="K5">
        <v>47799</v>
      </c>
      <c r="L5">
        <v>10210</v>
      </c>
      <c r="M5">
        <v>5818</v>
      </c>
      <c r="N5">
        <v>83</v>
      </c>
      <c r="O5">
        <v>7</v>
      </c>
      <c r="P5">
        <v>300</v>
      </c>
      <c r="Q5">
        <v>186</v>
      </c>
      <c r="R5">
        <v>249</v>
      </c>
      <c r="S5">
        <v>1313</v>
      </c>
      <c r="T5">
        <v>26131</v>
      </c>
      <c r="U5">
        <v>12360</v>
      </c>
      <c r="V5">
        <v>1387</v>
      </c>
      <c r="W5">
        <v>14</v>
      </c>
      <c r="AC5" t="s">
        <v>226</v>
      </c>
      <c r="AD5" s="1">
        <v>2920000</v>
      </c>
    </row>
    <row r="6" spans="1:30" x14ac:dyDescent="0.25">
      <c r="A6" t="s">
        <v>230</v>
      </c>
      <c r="B6" s="1">
        <v>4000000</v>
      </c>
      <c r="C6" s="1">
        <v>1180000</v>
      </c>
      <c r="D6" s="1">
        <v>962000</v>
      </c>
      <c r="E6" s="1">
        <v>597000</v>
      </c>
      <c r="F6" s="1">
        <v>572000</v>
      </c>
      <c r="G6">
        <v>315136</v>
      </c>
      <c r="H6">
        <v>138434</v>
      </c>
      <c r="I6">
        <v>2883</v>
      </c>
      <c r="J6" s="1">
        <v>533000</v>
      </c>
      <c r="K6">
        <v>228168</v>
      </c>
      <c r="L6">
        <v>26954</v>
      </c>
      <c r="M6">
        <v>7355</v>
      </c>
      <c r="N6">
        <v>756</v>
      </c>
      <c r="O6">
        <v>531</v>
      </c>
      <c r="P6">
        <v>2424</v>
      </c>
      <c r="Q6">
        <v>1600</v>
      </c>
      <c r="R6">
        <v>865</v>
      </c>
      <c r="S6">
        <v>1878</v>
      </c>
      <c r="T6">
        <v>50417</v>
      </c>
      <c r="U6">
        <v>18710</v>
      </c>
      <c r="V6">
        <v>895</v>
      </c>
      <c r="W6">
        <v>405</v>
      </c>
      <c r="AC6" t="s">
        <v>227</v>
      </c>
      <c r="AD6" s="1">
        <v>3380000</v>
      </c>
    </row>
    <row r="7" spans="1:30" x14ac:dyDescent="0.25">
      <c r="A7" t="s">
        <v>231</v>
      </c>
      <c r="B7" s="1">
        <v>2900000</v>
      </c>
      <c r="C7" s="1">
        <v>1040000</v>
      </c>
      <c r="D7" s="1">
        <v>838000</v>
      </c>
      <c r="E7" s="1">
        <v>439000</v>
      </c>
      <c r="F7" s="1">
        <v>416000</v>
      </c>
      <c r="G7">
        <v>291632</v>
      </c>
      <c r="H7">
        <v>233765</v>
      </c>
      <c r="I7">
        <v>7923</v>
      </c>
      <c r="J7">
        <v>391801</v>
      </c>
      <c r="K7">
        <v>87486</v>
      </c>
      <c r="L7">
        <v>12174</v>
      </c>
      <c r="M7">
        <v>6948</v>
      </c>
      <c r="N7">
        <v>290</v>
      </c>
      <c r="O7">
        <v>162</v>
      </c>
      <c r="P7">
        <v>558</v>
      </c>
      <c r="Q7">
        <v>348</v>
      </c>
      <c r="R7">
        <v>273</v>
      </c>
      <c r="S7">
        <v>1121</v>
      </c>
      <c r="T7">
        <v>35412</v>
      </c>
      <c r="U7">
        <v>16833</v>
      </c>
      <c r="V7">
        <v>451</v>
      </c>
      <c r="W7">
        <v>314</v>
      </c>
      <c r="AC7" t="s">
        <v>229</v>
      </c>
      <c r="AD7" s="1">
        <v>2670000</v>
      </c>
    </row>
    <row r="8" spans="1:30" x14ac:dyDescent="0.25">
      <c r="A8" t="s">
        <v>232</v>
      </c>
      <c r="B8" s="1">
        <v>1610000</v>
      </c>
      <c r="C8" s="1">
        <v>457000</v>
      </c>
      <c r="D8">
        <v>377106</v>
      </c>
      <c r="E8">
        <v>238648</v>
      </c>
      <c r="F8">
        <v>222907</v>
      </c>
      <c r="G8">
        <v>126656</v>
      </c>
      <c r="H8">
        <v>95766</v>
      </c>
      <c r="I8">
        <v>982</v>
      </c>
      <c r="J8">
        <v>217214</v>
      </c>
      <c r="K8">
        <v>58768</v>
      </c>
      <c r="L8">
        <v>9628</v>
      </c>
      <c r="M8">
        <v>3147</v>
      </c>
      <c r="N8">
        <v>163</v>
      </c>
      <c r="O8">
        <v>21</v>
      </c>
      <c r="P8">
        <v>402</v>
      </c>
      <c r="Q8">
        <v>307</v>
      </c>
      <c r="R8">
        <v>129</v>
      </c>
      <c r="S8">
        <v>522</v>
      </c>
      <c r="T8">
        <v>17977</v>
      </c>
      <c r="U8">
        <v>4811</v>
      </c>
      <c r="V8">
        <v>567</v>
      </c>
      <c r="W8">
        <v>18</v>
      </c>
      <c r="AC8" t="s">
        <v>230</v>
      </c>
      <c r="AD8" s="1">
        <v>4000000</v>
      </c>
    </row>
    <row r="9" spans="1:30" x14ac:dyDescent="0.25">
      <c r="A9" t="s">
        <v>233</v>
      </c>
      <c r="B9" s="1">
        <v>2860000</v>
      </c>
      <c r="C9" s="1">
        <v>567000</v>
      </c>
      <c r="D9" s="1">
        <v>438000</v>
      </c>
      <c r="E9">
        <v>222634</v>
      </c>
      <c r="F9">
        <v>197292</v>
      </c>
      <c r="G9">
        <v>106823</v>
      </c>
      <c r="H9">
        <v>76908</v>
      </c>
      <c r="I9">
        <v>2411</v>
      </c>
      <c r="J9">
        <v>185194</v>
      </c>
      <c r="K9">
        <v>44151</v>
      </c>
      <c r="L9">
        <v>11200</v>
      </c>
      <c r="M9">
        <v>7134</v>
      </c>
      <c r="N9">
        <v>119</v>
      </c>
      <c r="O9">
        <v>8</v>
      </c>
      <c r="P9">
        <v>242</v>
      </c>
      <c r="Q9">
        <v>143</v>
      </c>
      <c r="R9">
        <v>127</v>
      </c>
      <c r="S9">
        <v>408</v>
      </c>
      <c r="T9">
        <v>25446</v>
      </c>
      <c r="U9">
        <v>11169</v>
      </c>
      <c r="V9">
        <v>758</v>
      </c>
      <c r="W9">
        <v>0</v>
      </c>
      <c r="AC9" t="s">
        <v>231</v>
      </c>
      <c r="AD9" s="1">
        <v>2900000</v>
      </c>
    </row>
    <row r="10" spans="1:30" x14ac:dyDescent="0.25">
      <c r="A10" t="s">
        <v>234</v>
      </c>
      <c r="B10" s="1">
        <v>4000000</v>
      </c>
      <c r="C10" s="1">
        <v>820000</v>
      </c>
      <c r="D10" s="1">
        <v>644000</v>
      </c>
      <c r="E10">
        <v>368273</v>
      </c>
      <c r="F10">
        <v>334738</v>
      </c>
      <c r="G10">
        <v>163777</v>
      </c>
      <c r="H10">
        <v>135358</v>
      </c>
      <c r="I10">
        <v>4909</v>
      </c>
      <c r="J10">
        <v>316679</v>
      </c>
      <c r="K10">
        <v>60617</v>
      </c>
      <c r="L10">
        <v>13244</v>
      </c>
      <c r="M10">
        <v>4434</v>
      </c>
      <c r="N10">
        <v>155</v>
      </c>
      <c r="O10">
        <v>7</v>
      </c>
      <c r="P10">
        <v>190</v>
      </c>
      <c r="Q10">
        <v>113</v>
      </c>
      <c r="R10">
        <v>79</v>
      </c>
      <c r="S10">
        <v>637</v>
      </c>
      <c r="T10">
        <v>42231</v>
      </c>
      <c r="U10">
        <v>10682</v>
      </c>
      <c r="V10">
        <v>1283</v>
      </c>
      <c r="W10">
        <v>10</v>
      </c>
      <c r="AC10" t="s">
        <v>232</v>
      </c>
      <c r="AD10" s="1">
        <v>1610000</v>
      </c>
    </row>
    <row r="11" spans="1:30" x14ac:dyDescent="0.25">
      <c r="A11" t="s">
        <v>235</v>
      </c>
      <c r="B11" s="1">
        <v>2790000</v>
      </c>
      <c r="C11" s="1">
        <v>557000</v>
      </c>
      <c r="D11" s="1">
        <v>447000</v>
      </c>
      <c r="E11">
        <v>256050</v>
      </c>
      <c r="F11">
        <v>243584</v>
      </c>
      <c r="G11">
        <v>152779</v>
      </c>
      <c r="H11">
        <v>127069</v>
      </c>
      <c r="I11">
        <v>1276</v>
      </c>
      <c r="J11">
        <v>238514</v>
      </c>
      <c r="K11">
        <v>50689</v>
      </c>
      <c r="L11">
        <v>7579</v>
      </c>
      <c r="M11">
        <v>2381</v>
      </c>
      <c r="N11">
        <v>70</v>
      </c>
      <c r="O11">
        <v>6</v>
      </c>
      <c r="P11">
        <v>226</v>
      </c>
      <c r="Q11">
        <v>175</v>
      </c>
      <c r="R11">
        <v>105</v>
      </c>
      <c r="S11">
        <v>223</v>
      </c>
      <c r="T11">
        <v>20443</v>
      </c>
      <c r="U11">
        <v>4763</v>
      </c>
      <c r="V11">
        <v>547</v>
      </c>
      <c r="W11">
        <v>4</v>
      </c>
      <c r="AC11" t="s">
        <v>233</v>
      </c>
      <c r="AD11" s="1">
        <v>2860000</v>
      </c>
    </row>
    <row r="12" spans="1:30" x14ac:dyDescent="0.25">
      <c r="A12" t="s">
        <v>236</v>
      </c>
      <c r="B12" s="1">
        <v>2730000</v>
      </c>
      <c r="C12" s="1">
        <v>614000</v>
      </c>
      <c r="D12" s="1">
        <v>500000</v>
      </c>
      <c r="E12">
        <v>307401</v>
      </c>
      <c r="F12">
        <v>291316</v>
      </c>
      <c r="G12">
        <v>142672</v>
      </c>
      <c r="H12">
        <v>117550</v>
      </c>
      <c r="I12">
        <v>3964</v>
      </c>
      <c r="J12">
        <v>276977</v>
      </c>
      <c r="K12">
        <v>44434</v>
      </c>
      <c r="L12">
        <v>12664</v>
      </c>
      <c r="M12">
        <v>4100</v>
      </c>
      <c r="N12">
        <v>198</v>
      </c>
      <c r="O12">
        <v>32</v>
      </c>
      <c r="P12">
        <v>219</v>
      </c>
      <c r="Q12">
        <v>161</v>
      </c>
      <c r="R12">
        <v>264</v>
      </c>
      <c r="S12">
        <v>751</v>
      </c>
      <c r="T12">
        <v>22411</v>
      </c>
      <c r="U12">
        <v>7276</v>
      </c>
      <c r="V12">
        <v>552</v>
      </c>
      <c r="W12">
        <v>19</v>
      </c>
      <c r="AC12" t="s">
        <v>234</v>
      </c>
      <c r="AD12" s="1">
        <v>4000000</v>
      </c>
    </row>
    <row r="13" spans="1:30" x14ac:dyDescent="0.25">
      <c r="A13" t="s">
        <v>237</v>
      </c>
      <c r="B13" s="1">
        <v>3100000</v>
      </c>
      <c r="C13" s="1">
        <v>725000</v>
      </c>
      <c r="D13" s="1">
        <v>568000</v>
      </c>
      <c r="E13">
        <v>282178</v>
      </c>
      <c r="F13">
        <v>266041</v>
      </c>
      <c r="G13">
        <v>186293</v>
      </c>
      <c r="H13">
        <v>129642</v>
      </c>
      <c r="I13">
        <v>3481</v>
      </c>
      <c r="J13">
        <v>249219</v>
      </c>
      <c r="K13">
        <v>77508</v>
      </c>
      <c r="L13">
        <v>8865</v>
      </c>
      <c r="M13">
        <v>3805</v>
      </c>
      <c r="N13">
        <v>160</v>
      </c>
      <c r="O13">
        <v>55</v>
      </c>
      <c r="P13">
        <v>384</v>
      </c>
      <c r="Q13">
        <v>288</v>
      </c>
      <c r="R13">
        <v>262</v>
      </c>
      <c r="S13">
        <v>730</v>
      </c>
      <c r="T13">
        <v>23759</v>
      </c>
      <c r="U13">
        <v>8528</v>
      </c>
      <c r="V13">
        <v>1338</v>
      </c>
      <c r="W13">
        <v>144</v>
      </c>
      <c r="AC13" t="s">
        <v>235</v>
      </c>
      <c r="AD13" s="1">
        <v>2790000</v>
      </c>
    </row>
    <row r="14" spans="1:30" x14ac:dyDescent="0.25">
      <c r="A14" t="s">
        <v>238</v>
      </c>
      <c r="B14" s="1">
        <v>2380000</v>
      </c>
      <c r="C14" s="1">
        <v>473000</v>
      </c>
      <c r="D14">
        <v>384862</v>
      </c>
      <c r="E14">
        <v>215354</v>
      </c>
      <c r="F14">
        <v>201197</v>
      </c>
      <c r="G14">
        <v>102162</v>
      </c>
      <c r="H14">
        <v>85888</v>
      </c>
      <c r="I14">
        <v>2213</v>
      </c>
      <c r="J14">
        <v>191960</v>
      </c>
      <c r="K14">
        <v>27450</v>
      </c>
      <c r="L14">
        <v>7450</v>
      </c>
      <c r="M14">
        <v>1667</v>
      </c>
      <c r="N14">
        <v>69</v>
      </c>
      <c r="O14">
        <v>16</v>
      </c>
      <c r="P14">
        <v>301</v>
      </c>
      <c r="Q14">
        <v>254</v>
      </c>
      <c r="R14">
        <v>69</v>
      </c>
      <c r="S14">
        <v>439</v>
      </c>
      <c r="T14">
        <v>6316</v>
      </c>
      <c r="U14">
        <v>1695</v>
      </c>
      <c r="V14">
        <v>659</v>
      </c>
      <c r="W14">
        <v>10</v>
      </c>
      <c r="AC14" t="s">
        <v>236</v>
      </c>
      <c r="AD14" s="1">
        <v>2730000</v>
      </c>
    </row>
    <row r="15" spans="1:30" x14ac:dyDescent="0.25">
      <c r="A15" t="s">
        <v>239</v>
      </c>
      <c r="B15" s="1">
        <v>2820000</v>
      </c>
      <c r="C15" s="1">
        <v>663000</v>
      </c>
      <c r="D15" s="1">
        <v>502000</v>
      </c>
      <c r="E15">
        <v>267132</v>
      </c>
      <c r="F15">
        <v>250087</v>
      </c>
      <c r="G15">
        <v>121021</v>
      </c>
      <c r="H15">
        <v>91029</v>
      </c>
      <c r="I15">
        <v>3422</v>
      </c>
      <c r="J15">
        <v>232909</v>
      </c>
      <c r="K15">
        <v>46263</v>
      </c>
      <c r="L15">
        <v>10085</v>
      </c>
      <c r="M15">
        <v>5173</v>
      </c>
      <c r="N15">
        <v>99</v>
      </c>
      <c r="O15">
        <v>0</v>
      </c>
      <c r="P15">
        <v>191</v>
      </c>
      <c r="Q15">
        <v>102</v>
      </c>
      <c r="R15">
        <v>127</v>
      </c>
      <c r="S15">
        <v>879</v>
      </c>
      <c r="T15">
        <v>25244</v>
      </c>
      <c r="U15">
        <v>9880</v>
      </c>
      <c r="V15">
        <v>748</v>
      </c>
      <c r="W15">
        <v>0</v>
      </c>
      <c r="AC15" t="s">
        <v>237</v>
      </c>
      <c r="AD15" s="1">
        <v>3100000</v>
      </c>
    </row>
    <row r="16" spans="1:30" x14ac:dyDescent="0.25">
      <c r="A16" t="s">
        <v>240</v>
      </c>
      <c r="B16" s="1">
        <v>2750000</v>
      </c>
      <c r="C16">
        <v>292943</v>
      </c>
      <c r="D16">
        <v>238740</v>
      </c>
      <c r="E16">
        <v>119255</v>
      </c>
      <c r="F16">
        <v>110422</v>
      </c>
      <c r="G16">
        <v>72868</v>
      </c>
      <c r="H16">
        <v>67165</v>
      </c>
      <c r="I16">
        <v>1050</v>
      </c>
      <c r="J16">
        <v>107244</v>
      </c>
      <c r="K16">
        <v>8340</v>
      </c>
      <c r="L16">
        <v>2201</v>
      </c>
      <c r="M16">
        <v>791</v>
      </c>
      <c r="N16">
        <v>17</v>
      </c>
      <c r="O16">
        <v>7</v>
      </c>
      <c r="P16">
        <v>47</v>
      </c>
      <c r="Q16">
        <v>32</v>
      </c>
      <c r="R16">
        <v>24</v>
      </c>
      <c r="S16">
        <v>23</v>
      </c>
      <c r="T16">
        <v>4300</v>
      </c>
      <c r="U16">
        <v>702</v>
      </c>
      <c r="V16">
        <v>44</v>
      </c>
      <c r="W16">
        <v>1</v>
      </c>
      <c r="AC16" t="s">
        <v>238</v>
      </c>
      <c r="AD16" s="1">
        <v>2380000</v>
      </c>
    </row>
    <row r="17" spans="1:30" x14ac:dyDescent="0.25">
      <c r="A17" t="s">
        <v>241</v>
      </c>
      <c r="B17" s="1">
        <v>4000000</v>
      </c>
      <c r="C17" s="1">
        <v>1120000</v>
      </c>
      <c r="D17" s="1">
        <v>916000</v>
      </c>
      <c r="E17" s="1">
        <v>567000</v>
      </c>
      <c r="F17" s="1">
        <v>528000</v>
      </c>
      <c r="G17">
        <v>331534</v>
      </c>
      <c r="H17">
        <v>139440</v>
      </c>
      <c r="I17">
        <v>6541</v>
      </c>
      <c r="J17" s="1">
        <v>455000</v>
      </c>
      <c r="K17">
        <v>191858</v>
      </c>
      <c r="L17">
        <v>13275</v>
      </c>
      <c r="M17">
        <v>7368</v>
      </c>
      <c r="N17">
        <v>665</v>
      </c>
      <c r="O17">
        <v>384</v>
      </c>
      <c r="P17">
        <v>2001</v>
      </c>
      <c r="Q17">
        <v>1708</v>
      </c>
      <c r="R17">
        <v>2691</v>
      </c>
      <c r="S17">
        <v>785</v>
      </c>
      <c r="T17">
        <v>63928</v>
      </c>
      <c r="U17">
        <v>33780</v>
      </c>
      <c r="V17">
        <v>1228</v>
      </c>
      <c r="W17">
        <v>708</v>
      </c>
      <c r="AC17" t="s">
        <v>239</v>
      </c>
      <c r="AD17" s="1">
        <v>2820000</v>
      </c>
    </row>
    <row r="18" spans="1:30" ht="27" customHeight="1" x14ac:dyDescent="0.25">
      <c r="B18" s="1" t="s">
        <v>70</v>
      </c>
      <c r="C18" s="1" t="s">
        <v>71</v>
      </c>
      <c r="D18" s="1" t="s">
        <v>72</v>
      </c>
      <c r="E18" s="1" t="s">
        <v>73</v>
      </c>
      <c r="F18" s="1" t="s">
        <v>74</v>
      </c>
      <c r="G18" s="1" t="s">
        <v>75</v>
      </c>
      <c r="H18" s="1" t="s">
        <v>76</v>
      </c>
      <c r="I18" s="3" t="s">
        <v>18</v>
      </c>
      <c r="J18" s="1" t="s">
        <v>77</v>
      </c>
      <c r="K18" s="3" t="s">
        <v>12</v>
      </c>
      <c r="L18" s="3" t="s">
        <v>79</v>
      </c>
      <c r="O18" s="4" t="s">
        <v>80</v>
      </c>
      <c r="Q18" s="4" t="s">
        <v>25</v>
      </c>
      <c r="R18" s="4" t="s">
        <v>81</v>
      </c>
      <c r="S18" s="4" t="s">
        <v>82</v>
      </c>
      <c r="T18" s="4" t="s">
        <v>83</v>
      </c>
      <c r="W18" s="4" t="s">
        <v>84</v>
      </c>
      <c r="AC18" t="s">
        <v>240</v>
      </c>
      <c r="AD18" s="1">
        <v>2750000</v>
      </c>
    </row>
    <row r="19" spans="1:30" x14ac:dyDescent="0.25">
      <c r="B19" s="1"/>
      <c r="I19" s="4"/>
      <c r="K19" s="4"/>
      <c r="L19" s="4"/>
      <c r="O19" s="4"/>
      <c r="Q19" s="4"/>
      <c r="R19" s="4"/>
      <c r="S19" s="4"/>
      <c r="T19" s="4"/>
      <c r="W19" s="4"/>
      <c r="AC19" t="s">
        <v>241</v>
      </c>
      <c r="AD19" s="1">
        <v>4000000</v>
      </c>
    </row>
    <row r="20" spans="1:30" s="7" customFormat="1" x14ac:dyDescent="0.25">
      <c r="A20" s="7" t="s">
        <v>85</v>
      </c>
      <c r="AC20" s="7" t="s">
        <v>242</v>
      </c>
      <c r="AD20" s="19">
        <v>2810000</v>
      </c>
    </row>
    <row r="21" spans="1:30" ht="27" customHeight="1" x14ac:dyDescent="0.25">
      <c r="A21" s="7"/>
      <c r="B21" s="1" t="s">
        <v>70</v>
      </c>
      <c r="C21" s="1" t="s">
        <v>71</v>
      </c>
      <c r="D21" s="1" t="s">
        <v>72</v>
      </c>
      <c r="E21" s="1" t="s">
        <v>73</v>
      </c>
      <c r="F21" s="1" t="s">
        <v>74</v>
      </c>
      <c r="G21" s="1" t="s">
        <v>75</v>
      </c>
      <c r="H21" s="1" t="s">
        <v>76</v>
      </c>
      <c r="I21" s="3" t="s">
        <v>18</v>
      </c>
      <c r="J21" s="1" t="s">
        <v>77</v>
      </c>
      <c r="K21" s="3" t="s">
        <v>12</v>
      </c>
      <c r="L21" s="3" t="s">
        <v>79</v>
      </c>
      <c r="O21" s="4" t="s">
        <v>80</v>
      </c>
      <c r="Q21" s="4" t="s">
        <v>25</v>
      </c>
      <c r="R21" s="4" t="s">
        <v>81</v>
      </c>
      <c r="S21" s="4" t="s">
        <v>82</v>
      </c>
      <c r="T21" s="4" t="s">
        <v>83</v>
      </c>
      <c r="W21" s="4" t="s">
        <v>84</v>
      </c>
      <c r="AC21" t="s">
        <v>243</v>
      </c>
      <c r="AD21" s="1">
        <v>972000</v>
      </c>
    </row>
    <row r="22" spans="1:30" x14ac:dyDescent="0.25">
      <c r="A22" s="7"/>
      <c r="I22" s="4"/>
      <c r="K22" s="4"/>
      <c r="L22" s="4"/>
      <c r="O22" s="4"/>
      <c r="Q22" s="4"/>
      <c r="R22" s="4"/>
      <c r="S22" s="4"/>
      <c r="T22" s="4"/>
      <c r="W22" s="4"/>
    </row>
    <row r="23" spans="1:30" x14ac:dyDescent="0.25">
      <c r="A23" s="7">
        <v>46</v>
      </c>
      <c r="F23" s="1">
        <f>100*F3/$E3</f>
        <v>92.696629213483149</v>
      </c>
      <c r="G23" s="1">
        <f t="shared" ref="G23:W23" si="0">100*G3/$E3</f>
        <v>56.655617977528088</v>
      </c>
      <c r="H23" s="1">
        <f t="shared" si="0"/>
        <v>41.353370786516855</v>
      </c>
      <c r="I23" s="1">
        <f t="shared" si="0"/>
        <v>0.71329588014981271</v>
      </c>
      <c r="J23" s="1">
        <f t="shared" si="0"/>
        <v>89.325842696629209</v>
      </c>
      <c r="K23" s="1">
        <f t="shared" si="0"/>
        <v>23.994194756554307</v>
      </c>
      <c r="L23" s="1">
        <f t="shared" si="0"/>
        <v>4.0393258426966296</v>
      </c>
      <c r="M23" s="1">
        <f t="shared" si="0"/>
        <v>2.2243445692883896</v>
      </c>
      <c r="N23" s="1">
        <f t="shared" si="0"/>
        <v>0.32846441947565541</v>
      </c>
      <c r="O23" s="1">
        <f t="shared" si="0"/>
        <v>9.2322097378277151E-2</v>
      </c>
      <c r="P23" s="1">
        <f t="shared" si="0"/>
        <v>0.22621722846441947</v>
      </c>
      <c r="Q23" s="1">
        <f t="shared" si="0"/>
        <v>0.18445692883895132</v>
      </c>
      <c r="R23" s="1">
        <f t="shared" si="0"/>
        <v>0.12116104868913857</v>
      </c>
      <c r="S23" s="1">
        <f t="shared" si="0"/>
        <v>0.10561797752808989</v>
      </c>
      <c r="T23" s="1">
        <f t="shared" si="0"/>
        <v>5.0226591760299621</v>
      </c>
      <c r="U23" s="1">
        <f t="shared" si="0"/>
        <v>2.6730337078651685</v>
      </c>
      <c r="V23" s="1">
        <f t="shared" si="0"/>
        <v>0.36254681647940074</v>
      </c>
      <c r="W23" s="1">
        <f t="shared" si="0"/>
        <v>5.1685393258426963E-2</v>
      </c>
    </row>
    <row r="24" spans="1:30" x14ac:dyDescent="0.25">
      <c r="A24" s="7">
        <v>47</v>
      </c>
      <c r="F24" s="1">
        <f t="shared" ref="F24:U37" si="1">100*F4/$E4</f>
        <v>89.674447260456191</v>
      </c>
      <c r="G24" s="1">
        <f t="shared" si="1"/>
        <v>44.545696402817256</v>
      </c>
      <c r="H24" s="1">
        <f t="shared" si="1"/>
        <v>35.241189072629766</v>
      </c>
      <c r="I24" s="1">
        <f t="shared" si="1"/>
        <v>4.6033857484912559</v>
      </c>
      <c r="J24" s="1">
        <f t="shared" si="1"/>
        <v>74.573000826133836</v>
      </c>
      <c r="K24" s="1">
        <f t="shared" si="1"/>
        <v>15.565201562653149</v>
      </c>
      <c r="L24" s="1">
        <f t="shared" si="1"/>
        <v>5.7101250402565213</v>
      </c>
      <c r="M24" s="1">
        <f t="shared" si="1"/>
        <v>2.9351554951902208</v>
      </c>
      <c r="N24" s="1">
        <f t="shared" si="1"/>
        <v>3.8926306061581976E-2</v>
      </c>
      <c r="O24" s="1">
        <f t="shared" si="1"/>
        <v>0</v>
      </c>
      <c r="P24" s="1">
        <f t="shared" si="1"/>
        <v>4.648753098001876E-2</v>
      </c>
      <c r="Q24" s="1">
        <f t="shared" si="1"/>
        <v>2.268367475531036E-2</v>
      </c>
      <c r="R24" s="1">
        <f t="shared" si="1"/>
        <v>2.8284582102300573E-2</v>
      </c>
      <c r="S24" s="1">
        <f t="shared" si="1"/>
        <v>0.24139910665527817</v>
      </c>
      <c r="T24" s="1">
        <f t="shared" si="1"/>
        <v>7.117633056555162</v>
      </c>
      <c r="U24" s="1">
        <f t="shared" si="1"/>
        <v>2.3355783636949186</v>
      </c>
      <c r="V24" s="1">
        <f t="shared" ref="V24:W24" si="2">100*V4/$E4</f>
        <v>2.268367475531036E-2</v>
      </c>
      <c r="W24" s="1">
        <f t="shared" si="2"/>
        <v>0</v>
      </c>
    </row>
    <row r="25" spans="1:30" x14ac:dyDescent="0.25">
      <c r="A25" s="7">
        <v>48</v>
      </c>
      <c r="F25" s="1">
        <f t="shared" si="1"/>
        <v>95.784856720217419</v>
      </c>
      <c r="G25" s="1">
        <f t="shared" si="1"/>
        <v>51.186831332347175</v>
      </c>
      <c r="H25" s="1">
        <f t="shared" si="1"/>
        <v>38.551377756372766</v>
      </c>
      <c r="I25" s="1">
        <f t="shared" si="1"/>
        <v>1.4751109429288933</v>
      </c>
      <c r="J25" s="1">
        <f t="shared" si="1"/>
        <v>87.538271010354677</v>
      </c>
      <c r="K25" s="1">
        <f t="shared" si="1"/>
        <v>16.443290102858715</v>
      </c>
      <c r="L25" s="1">
        <f t="shared" si="1"/>
        <v>3.5123327255839554</v>
      </c>
      <c r="M25" s="1">
        <f t="shared" si="1"/>
        <v>2.0014448381437271</v>
      </c>
      <c r="N25" s="1">
        <f t="shared" si="1"/>
        <v>2.8552753792700128E-2</v>
      </c>
      <c r="O25" s="1">
        <f t="shared" si="1"/>
        <v>2.408063572878324E-3</v>
      </c>
      <c r="P25" s="1">
        <f t="shared" si="1"/>
        <v>0.10320272455192817</v>
      </c>
      <c r="Q25" s="1">
        <f t="shared" si="1"/>
        <v>6.3985689222195469E-2</v>
      </c>
      <c r="R25" s="1">
        <f t="shared" si="1"/>
        <v>8.5658261378100384E-2</v>
      </c>
      <c r="S25" s="1">
        <f t="shared" si="1"/>
        <v>0.45168392445560562</v>
      </c>
      <c r="T25" s="1">
        <f t="shared" si="1"/>
        <v>8.9893013175547836</v>
      </c>
      <c r="U25" s="1">
        <f t="shared" si="1"/>
        <v>4.251952251539441</v>
      </c>
      <c r="V25" s="1">
        <f t="shared" ref="V25:W25" si="3">100*V5/$E5</f>
        <v>0.47714059651174789</v>
      </c>
      <c r="W25" s="1">
        <f t="shared" si="3"/>
        <v>4.816127145756648E-3</v>
      </c>
    </row>
    <row r="26" spans="1:30" x14ac:dyDescent="0.25">
      <c r="A26" s="7">
        <v>49</v>
      </c>
      <c r="F26" s="1">
        <f t="shared" si="1"/>
        <v>95.812395309882746</v>
      </c>
      <c r="G26" s="1">
        <f t="shared" si="1"/>
        <v>52.786599664991627</v>
      </c>
      <c r="H26" s="1">
        <f t="shared" si="1"/>
        <v>23.18827470686767</v>
      </c>
      <c r="I26" s="1">
        <f t="shared" si="1"/>
        <v>0.4829145728643216</v>
      </c>
      <c r="J26" s="1">
        <f t="shared" si="1"/>
        <v>89.279731993299833</v>
      </c>
      <c r="K26" s="1">
        <f t="shared" si="1"/>
        <v>38.219095477386936</v>
      </c>
      <c r="L26" s="1">
        <f t="shared" si="1"/>
        <v>4.514907872696817</v>
      </c>
      <c r="M26" s="1">
        <f t="shared" si="1"/>
        <v>1.2319932998324958</v>
      </c>
      <c r="N26" s="1">
        <f t="shared" si="1"/>
        <v>0.12663316582914572</v>
      </c>
      <c r="O26" s="1">
        <f t="shared" si="1"/>
        <v>8.8944723618090457E-2</v>
      </c>
      <c r="P26" s="1">
        <f t="shared" si="1"/>
        <v>0.40603015075376886</v>
      </c>
      <c r="Q26" s="1">
        <f t="shared" si="1"/>
        <v>0.26800670016750416</v>
      </c>
      <c r="R26" s="1">
        <f t="shared" si="1"/>
        <v>0.14489112227805695</v>
      </c>
      <c r="S26" s="1">
        <f t="shared" si="1"/>
        <v>0.31457286432160803</v>
      </c>
      <c r="T26" s="1">
        <f t="shared" si="1"/>
        <v>8.4450586264656611</v>
      </c>
      <c r="U26" s="1">
        <f t="shared" si="1"/>
        <v>3.1340033500837521</v>
      </c>
      <c r="V26" s="1">
        <f t="shared" ref="V26:W26" si="4">100*V6/$E6</f>
        <v>0.14991624790619765</v>
      </c>
      <c r="W26" s="1">
        <f t="shared" si="4"/>
        <v>6.78391959798995E-2</v>
      </c>
    </row>
    <row r="27" spans="1:30" x14ac:dyDescent="0.25">
      <c r="A27" s="7">
        <v>50</v>
      </c>
      <c r="F27" s="1">
        <f t="shared" si="1"/>
        <v>94.760820045558091</v>
      </c>
      <c r="G27" s="1">
        <f t="shared" si="1"/>
        <v>66.430979498861049</v>
      </c>
      <c r="H27" s="1">
        <f t="shared" si="1"/>
        <v>53.249430523917994</v>
      </c>
      <c r="I27" s="1">
        <f t="shared" si="1"/>
        <v>1.8047835990888383</v>
      </c>
      <c r="J27" s="1">
        <f t="shared" si="1"/>
        <v>89.248519362186784</v>
      </c>
      <c r="K27" s="1">
        <f t="shared" si="1"/>
        <v>19.928473804100229</v>
      </c>
      <c r="L27" s="1">
        <f t="shared" si="1"/>
        <v>2.7731207289293849</v>
      </c>
      <c r="M27" s="1">
        <f t="shared" si="1"/>
        <v>1.5826879271070615</v>
      </c>
      <c r="N27" s="1">
        <f t="shared" si="1"/>
        <v>6.6059225512528477E-2</v>
      </c>
      <c r="O27" s="1">
        <f t="shared" si="1"/>
        <v>3.6902050113895218E-2</v>
      </c>
      <c r="P27" s="1">
        <f t="shared" si="1"/>
        <v>0.12710706150341686</v>
      </c>
      <c r="Q27" s="1">
        <f t="shared" si="1"/>
        <v>7.9271070615034175E-2</v>
      </c>
      <c r="R27" s="1">
        <f t="shared" si="1"/>
        <v>6.2186788154897497E-2</v>
      </c>
      <c r="S27" s="1">
        <f t="shared" si="1"/>
        <v>0.25535307517084282</v>
      </c>
      <c r="T27" s="1">
        <f t="shared" si="1"/>
        <v>8.066514806378132</v>
      </c>
      <c r="U27" s="1">
        <f t="shared" si="1"/>
        <v>3.8343963553530753</v>
      </c>
      <c r="V27" s="1">
        <f t="shared" ref="V27:W27" si="5">100*V7/$E7</f>
        <v>0.10273348519362187</v>
      </c>
      <c r="W27" s="1">
        <f t="shared" si="5"/>
        <v>7.1526195899772216E-2</v>
      </c>
    </row>
    <row r="28" spans="1:30" x14ac:dyDescent="0.25">
      <c r="A28" s="7">
        <v>51</v>
      </c>
      <c r="F28" s="1">
        <f t="shared" si="1"/>
        <v>93.404093057557574</v>
      </c>
      <c r="G28" s="1">
        <f t="shared" si="1"/>
        <v>53.072307331299655</v>
      </c>
      <c r="H28" s="1">
        <f t="shared" si="1"/>
        <v>40.128557540813247</v>
      </c>
      <c r="I28" s="1">
        <f t="shared" si="1"/>
        <v>0.41148469712714963</v>
      </c>
      <c r="J28" s="1">
        <f t="shared" si="1"/>
        <v>91.018571284904965</v>
      </c>
      <c r="K28" s="1">
        <f t="shared" si="1"/>
        <v>24.625389695283431</v>
      </c>
      <c r="L28" s="1">
        <f t="shared" si="1"/>
        <v>4.0343937514665953</v>
      </c>
      <c r="M28" s="1">
        <f t="shared" si="1"/>
        <v>1.3186785558647045</v>
      </c>
      <c r="N28" s="1">
        <f t="shared" si="1"/>
        <v>6.8301431396869033E-2</v>
      </c>
      <c r="O28" s="1">
        <f t="shared" si="1"/>
        <v>8.7995709161610407E-3</v>
      </c>
      <c r="P28" s="1">
        <f t="shared" si="1"/>
        <v>0.16844892896651134</v>
      </c>
      <c r="Q28" s="1">
        <f t="shared" si="1"/>
        <v>0.12864134625054474</v>
      </c>
      <c r="R28" s="1">
        <f t="shared" si="1"/>
        <v>5.4054507056417823E-2</v>
      </c>
      <c r="S28" s="1">
        <f t="shared" si="1"/>
        <v>0.21873219134457444</v>
      </c>
      <c r="T28" s="1">
        <f t="shared" si="1"/>
        <v>7.5328517314203349</v>
      </c>
      <c r="U28" s="1">
        <f t="shared" si="1"/>
        <v>2.0159397941738462</v>
      </c>
      <c r="V28" s="1">
        <f t="shared" ref="V28:W28" si="6">100*V8/$E8</f>
        <v>0.23758841473634809</v>
      </c>
      <c r="W28" s="1">
        <f t="shared" si="6"/>
        <v>7.5424893567094635E-3</v>
      </c>
    </row>
    <row r="29" spans="1:30" x14ac:dyDescent="0.25">
      <c r="A29" s="7">
        <v>52</v>
      </c>
      <c r="F29" s="1">
        <f t="shared" si="1"/>
        <v>88.617192342589178</v>
      </c>
      <c r="G29" s="1">
        <f t="shared" si="1"/>
        <v>47.981440390955562</v>
      </c>
      <c r="H29" s="1">
        <f t="shared" si="1"/>
        <v>34.544588876811268</v>
      </c>
      <c r="I29" s="1">
        <f t="shared" si="1"/>
        <v>1.0829433060538822</v>
      </c>
      <c r="J29" s="1">
        <f t="shared" si="1"/>
        <v>83.183161601552328</v>
      </c>
      <c r="K29" s="1">
        <f t="shared" si="1"/>
        <v>19.83120278124635</v>
      </c>
      <c r="L29" s="1">
        <f t="shared" si="1"/>
        <v>5.0306781533817837</v>
      </c>
      <c r="M29" s="1">
        <f t="shared" si="1"/>
        <v>3.2043623166272894</v>
      </c>
      <c r="N29" s="1">
        <f t="shared" si="1"/>
        <v>5.3450955379681447E-2</v>
      </c>
      <c r="O29" s="1">
        <f t="shared" si="1"/>
        <v>3.5933415381298453E-3</v>
      </c>
      <c r="P29" s="1">
        <f t="shared" si="1"/>
        <v>0.10869858152842782</v>
      </c>
      <c r="Q29" s="1">
        <f t="shared" si="1"/>
        <v>6.4230979994070986E-2</v>
      </c>
      <c r="R29" s="1">
        <f t="shared" si="1"/>
        <v>5.7044296917811294E-2</v>
      </c>
      <c r="S29" s="1">
        <f t="shared" si="1"/>
        <v>0.18326041844462213</v>
      </c>
      <c r="T29" s="1">
        <f t="shared" si="1"/>
        <v>11.429521097406505</v>
      </c>
      <c r="U29" s="1">
        <f t="shared" si="1"/>
        <v>5.0167539549215308</v>
      </c>
      <c r="V29" s="1">
        <f t="shared" ref="V29:W29" si="7">100*V9/$E9</f>
        <v>0.34046911073780284</v>
      </c>
      <c r="W29" s="1">
        <f t="shared" si="7"/>
        <v>0</v>
      </c>
    </row>
    <row r="30" spans="1:30" x14ac:dyDescent="0.25">
      <c r="A30" s="7">
        <v>53</v>
      </c>
      <c r="F30" s="1">
        <f t="shared" si="1"/>
        <v>90.893983539385189</v>
      </c>
      <c r="G30" s="1">
        <f t="shared" si="1"/>
        <v>44.471628384377894</v>
      </c>
      <c r="H30" s="1">
        <f t="shared" si="1"/>
        <v>36.754798749840475</v>
      </c>
      <c r="I30" s="1">
        <f t="shared" si="1"/>
        <v>1.3329785240840355</v>
      </c>
      <c r="J30" s="1">
        <f t="shared" si="1"/>
        <v>85.990284381423564</v>
      </c>
      <c r="K30" s="1">
        <f t="shared" si="1"/>
        <v>16.459800202567116</v>
      </c>
      <c r="L30" s="1">
        <f t="shared" si="1"/>
        <v>3.5962451768117671</v>
      </c>
      <c r="M30" s="1">
        <f t="shared" si="1"/>
        <v>1.2039981209591797</v>
      </c>
      <c r="N30" s="1">
        <f t="shared" si="1"/>
        <v>4.2088342072321351E-2</v>
      </c>
      <c r="O30" s="1">
        <f t="shared" si="1"/>
        <v>1.90076383552419E-3</v>
      </c>
      <c r="P30" s="1">
        <f t="shared" si="1"/>
        <v>5.15921612499423E-2</v>
      </c>
      <c r="Q30" s="1">
        <f t="shared" si="1"/>
        <v>3.068375905917621E-2</v>
      </c>
      <c r="R30" s="1">
        <f t="shared" si="1"/>
        <v>2.1451477572344429E-2</v>
      </c>
      <c r="S30" s="1">
        <f t="shared" si="1"/>
        <v>0.17296950903270128</v>
      </c>
      <c r="T30" s="1">
        <f t="shared" si="1"/>
        <v>11.467308219717438</v>
      </c>
      <c r="U30" s="1">
        <f t="shared" si="1"/>
        <v>2.9005656130099138</v>
      </c>
      <c r="V30" s="1">
        <f t="shared" ref="V30:W30" si="8">100*V10/$E10</f>
        <v>0.34838285728250512</v>
      </c>
      <c r="W30" s="1">
        <f t="shared" si="8"/>
        <v>2.7153769078917E-3</v>
      </c>
    </row>
    <row r="31" spans="1:30" x14ac:dyDescent="0.25">
      <c r="A31" s="7">
        <v>54</v>
      </c>
      <c r="F31" s="1">
        <f t="shared" si="1"/>
        <v>95.131419644600669</v>
      </c>
      <c r="G31" s="1">
        <f t="shared" si="1"/>
        <v>59.667643038469052</v>
      </c>
      <c r="H31" s="1">
        <f t="shared" si="1"/>
        <v>49.626635422768992</v>
      </c>
      <c r="I31" s="1">
        <f t="shared" si="1"/>
        <v>0.49834016793594998</v>
      </c>
      <c r="J31" s="1">
        <f t="shared" si="1"/>
        <v>93.151337629369266</v>
      </c>
      <c r="K31" s="1">
        <f t="shared" si="1"/>
        <v>19.796524116383519</v>
      </c>
      <c r="L31" s="1">
        <f t="shared" si="1"/>
        <v>2.9599687561023238</v>
      </c>
      <c r="M31" s="1">
        <f t="shared" si="1"/>
        <v>0.92989650458894746</v>
      </c>
      <c r="N31" s="1">
        <f t="shared" si="1"/>
        <v>2.7338410466705723E-2</v>
      </c>
      <c r="O31" s="1">
        <f t="shared" si="1"/>
        <v>2.3432923257176333E-3</v>
      </c>
      <c r="P31" s="1">
        <f t="shared" si="1"/>
        <v>8.8264010935364193E-2</v>
      </c>
      <c r="Q31" s="1">
        <f t="shared" si="1"/>
        <v>6.8346026166764301E-2</v>
      </c>
      <c r="R31" s="1">
        <f t="shared" si="1"/>
        <v>4.1007615700058585E-2</v>
      </c>
      <c r="S31" s="1">
        <f t="shared" si="1"/>
        <v>8.7092364772505371E-2</v>
      </c>
      <c r="T31" s="1">
        <f t="shared" si="1"/>
        <v>7.9839875024409297</v>
      </c>
      <c r="U31" s="1">
        <f t="shared" si="1"/>
        <v>1.8601835578988479</v>
      </c>
      <c r="V31" s="1">
        <f t="shared" ref="V31:W31" si="9">100*V11/$E11</f>
        <v>0.21363015036125757</v>
      </c>
      <c r="W31" s="1">
        <f t="shared" si="9"/>
        <v>1.5621948838117556E-3</v>
      </c>
    </row>
    <row r="32" spans="1:30" x14ac:dyDescent="0.25">
      <c r="A32" s="7">
        <v>55</v>
      </c>
      <c r="F32" s="1">
        <f t="shared" si="1"/>
        <v>94.767421055884654</v>
      </c>
      <c r="G32" s="1">
        <f t="shared" si="1"/>
        <v>46.412340883731673</v>
      </c>
      <c r="H32" s="1">
        <f t="shared" si="1"/>
        <v>38.239953676142889</v>
      </c>
      <c r="I32" s="1">
        <f t="shared" si="1"/>
        <v>1.2895208538684</v>
      </c>
      <c r="J32" s="1">
        <f t="shared" si="1"/>
        <v>90.102829854164426</v>
      </c>
      <c r="K32" s="1">
        <f t="shared" si="1"/>
        <v>14.454735020380545</v>
      </c>
      <c r="L32" s="1">
        <f t="shared" si="1"/>
        <v>4.1197003262839091</v>
      </c>
      <c r="M32" s="1">
        <f t="shared" si="1"/>
        <v>1.3337627398739758</v>
      </c>
      <c r="N32" s="1">
        <f t="shared" si="1"/>
        <v>6.4410981096352973E-2</v>
      </c>
      <c r="O32" s="1">
        <f t="shared" si="1"/>
        <v>1.0409855530723712E-2</v>
      </c>
      <c r="P32" s="1">
        <f t="shared" si="1"/>
        <v>7.1242448788390408E-2</v>
      </c>
      <c r="Q32" s="1">
        <f t="shared" si="1"/>
        <v>5.2374585638953676E-2</v>
      </c>
      <c r="R32" s="1">
        <f t="shared" si="1"/>
        <v>8.5881308128470626E-2</v>
      </c>
      <c r="S32" s="1">
        <f t="shared" si="1"/>
        <v>0.24430629698667214</v>
      </c>
      <c r="T32" s="1">
        <f t="shared" si="1"/>
        <v>7.2904772593452849</v>
      </c>
      <c r="U32" s="1">
        <f t="shared" si="1"/>
        <v>2.366940901298304</v>
      </c>
      <c r="V32" s="1">
        <f t="shared" ref="V32:W32" si="10">100*V12/$E12</f>
        <v>0.17957000790498404</v>
      </c>
      <c r="W32" s="1">
        <f t="shared" si="10"/>
        <v>6.180851721367204E-3</v>
      </c>
    </row>
    <row r="33" spans="1:46" x14ac:dyDescent="0.25">
      <c r="A33" s="7">
        <v>56</v>
      </c>
      <c r="F33" s="1">
        <f t="shared" si="1"/>
        <v>94.281269269751718</v>
      </c>
      <c r="G33" s="1">
        <f t="shared" si="1"/>
        <v>66.019675523960061</v>
      </c>
      <c r="H33" s="1">
        <f t="shared" si="1"/>
        <v>45.943340728192844</v>
      </c>
      <c r="I33" s="1">
        <f t="shared" si="1"/>
        <v>1.2336184961265584</v>
      </c>
      <c r="J33" s="1">
        <f t="shared" si="1"/>
        <v>88.319783966149032</v>
      </c>
      <c r="K33" s="1">
        <f t="shared" si="1"/>
        <v>27.467768571610826</v>
      </c>
      <c r="L33" s="1">
        <f t="shared" si="1"/>
        <v>3.1416340040683539</v>
      </c>
      <c r="M33" s="1">
        <f t="shared" si="1"/>
        <v>1.3484396373920009</v>
      </c>
      <c r="N33" s="1">
        <f t="shared" si="1"/>
        <v>5.6701798155774016E-2</v>
      </c>
      <c r="O33" s="1">
        <f t="shared" si="1"/>
        <v>1.9491243116047316E-2</v>
      </c>
      <c r="P33" s="1">
        <f t="shared" si="1"/>
        <v>0.13608431557385764</v>
      </c>
      <c r="Q33" s="1">
        <f t="shared" si="1"/>
        <v>0.10206323668039323</v>
      </c>
      <c r="R33" s="1">
        <f t="shared" si="1"/>
        <v>9.2849194480079944E-2</v>
      </c>
      <c r="S33" s="1">
        <f t="shared" si="1"/>
        <v>0.25870195408571894</v>
      </c>
      <c r="T33" s="1">
        <f t="shared" si="1"/>
        <v>8.4198626398939673</v>
      </c>
      <c r="U33" s="1">
        <f t="shared" si="1"/>
        <v>3.0222058417027551</v>
      </c>
      <c r="V33" s="1">
        <f t="shared" ref="V33:W33" si="11">100*V13/$E13</f>
        <v>0.47416878707766019</v>
      </c>
      <c r="W33" s="1">
        <f t="shared" si="11"/>
        <v>5.1031618340196615E-2</v>
      </c>
    </row>
    <row r="34" spans="1:46" x14ac:dyDescent="0.25">
      <c r="A34" s="7">
        <v>57</v>
      </c>
      <c r="F34" s="1">
        <f t="shared" si="1"/>
        <v>93.426172720265242</v>
      </c>
      <c r="G34" s="1">
        <f t="shared" si="1"/>
        <v>47.43910027211011</v>
      </c>
      <c r="H34" s="1">
        <f t="shared" si="1"/>
        <v>39.882240404171739</v>
      </c>
      <c r="I34" s="1">
        <f t="shared" si="1"/>
        <v>1.0276103531859171</v>
      </c>
      <c r="J34" s="1">
        <f t="shared" si="1"/>
        <v>89.136955895873768</v>
      </c>
      <c r="K34" s="1">
        <f t="shared" si="1"/>
        <v>12.746454674628751</v>
      </c>
      <c r="L34" s="1">
        <f t="shared" si="1"/>
        <v>3.4594203033145425</v>
      </c>
      <c r="M34" s="1">
        <f t="shared" si="1"/>
        <v>0.77407431484903921</v>
      </c>
      <c r="N34" s="1">
        <f t="shared" si="1"/>
        <v>3.2040268581034016E-2</v>
      </c>
      <c r="O34" s="1">
        <f t="shared" si="1"/>
        <v>7.4296274970513665E-3</v>
      </c>
      <c r="P34" s="1">
        <f t="shared" si="1"/>
        <v>0.13976986728827884</v>
      </c>
      <c r="Q34" s="1">
        <f t="shared" si="1"/>
        <v>0.11794533651569045</v>
      </c>
      <c r="R34" s="1">
        <f t="shared" si="1"/>
        <v>3.2040268581034016E-2</v>
      </c>
      <c r="S34" s="1">
        <f t="shared" si="1"/>
        <v>0.20385040445034688</v>
      </c>
      <c r="T34" s="1">
        <f t="shared" si="1"/>
        <v>2.932845454461027</v>
      </c>
      <c r="U34" s="1">
        <f t="shared" si="1"/>
        <v>0.78707616296887917</v>
      </c>
      <c r="V34" s="1">
        <f t="shared" ref="V34:W34" si="12">100*V14/$E14</f>
        <v>0.30600778253480315</v>
      </c>
      <c r="W34" s="1">
        <f t="shared" si="12"/>
        <v>4.6435171856571041E-3</v>
      </c>
    </row>
    <row r="35" spans="1:46" x14ac:dyDescent="0.25">
      <c r="A35" s="7">
        <v>58</v>
      </c>
      <c r="F35" s="1">
        <f t="shared" si="1"/>
        <v>93.619259392360334</v>
      </c>
      <c r="G35" s="1">
        <f t="shared" si="1"/>
        <v>45.303819834388989</v>
      </c>
      <c r="H35" s="1">
        <f t="shared" si="1"/>
        <v>34.076411661650418</v>
      </c>
      <c r="I35" s="1">
        <f t="shared" si="1"/>
        <v>1.2810146294715721</v>
      </c>
      <c r="J35" s="1">
        <f t="shared" si="1"/>
        <v>87.188730664989592</v>
      </c>
      <c r="K35" s="1">
        <f t="shared" si="1"/>
        <v>17.318404384349311</v>
      </c>
      <c r="L35" s="1">
        <f t="shared" si="1"/>
        <v>3.7752871239686745</v>
      </c>
      <c r="M35" s="1">
        <f t="shared" si="1"/>
        <v>1.9364958148031686</v>
      </c>
      <c r="N35" s="1">
        <f t="shared" si="1"/>
        <v>3.7060329724630518E-2</v>
      </c>
      <c r="O35" s="1">
        <f t="shared" si="1"/>
        <v>0</v>
      </c>
      <c r="P35" s="1">
        <f t="shared" si="1"/>
        <v>7.1500232094994232E-2</v>
      </c>
      <c r="Q35" s="1">
        <f t="shared" si="1"/>
        <v>3.8183370019316293E-2</v>
      </c>
      <c r="R35" s="1">
        <f t="shared" si="1"/>
        <v>4.7542039141697738E-2</v>
      </c>
      <c r="S35" s="1">
        <f t="shared" si="1"/>
        <v>0.3290508063429316</v>
      </c>
      <c r="T35" s="1">
        <f t="shared" si="1"/>
        <v>9.4500097330158876</v>
      </c>
      <c r="U35" s="1">
        <f t="shared" si="1"/>
        <v>3.6985460371651468</v>
      </c>
      <c r="V35" s="1">
        <f t="shared" ref="V35:W35" si="13">100*V15/$E15</f>
        <v>0.28001138014165283</v>
      </c>
      <c r="W35" s="1">
        <f t="shared" si="13"/>
        <v>0</v>
      </c>
    </row>
    <row r="36" spans="1:46" x14ac:dyDescent="0.25">
      <c r="A36" s="7">
        <v>59</v>
      </c>
      <c r="F36" s="1">
        <f t="shared" si="1"/>
        <v>92.593182675778792</v>
      </c>
      <c r="G36" s="1">
        <f t="shared" si="1"/>
        <v>61.102679132950399</v>
      </c>
      <c r="H36" s="1">
        <f t="shared" si="1"/>
        <v>56.32048970693053</v>
      </c>
      <c r="I36" s="1">
        <f t="shared" si="1"/>
        <v>0.88046622783111816</v>
      </c>
      <c r="J36" s="1">
        <f t="shared" si="1"/>
        <v>89.928304892876611</v>
      </c>
      <c r="K36" s="1">
        <f t="shared" si="1"/>
        <v>6.9934174667728817</v>
      </c>
      <c r="L36" s="1">
        <f t="shared" si="1"/>
        <v>1.845624921386944</v>
      </c>
      <c r="M36" s="1">
        <f t="shared" si="1"/>
        <v>0.66328455829944233</v>
      </c>
      <c r="N36" s="1">
        <f t="shared" si="1"/>
        <v>1.4255167498218105E-2</v>
      </c>
      <c r="O36" s="1">
        <f t="shared" si="1"/>
        <v>5.8697748522074543E-3</v>
      </c>
      <c r="P36" s="1">
        <f t="shared" si="1"/>
        <v>3.941134543625005E-2</v>
      </c>
      <c r="Q36" s="1">
        <f t="shared" si="1"/>
        <v>2.6833256467234078E-2</v>
      </c>
      <c r="R36" s="1">
        <f t="shared" si="1"/>
        <v>2.012494235042556E-2</v>
      </c>
      <c r="S36" s="1">
        <f t="shared" si="1"/>
        <v>1.9286403085824494E-2</v>
      </c>
      <c r="T36" s="1">
        <f t="shared" si="1"/>
        <v>3.6057188377845795</v>
      </c>
      <c r="U36" s="1">
        <f t="shared" si="1"/>
        <v>0.58865456374994762</v>
      </c>
      <c r="V36" s="1">
        <f t="shared" ref="V36:W37" si="14">100*V16/$E16</f>
        <v>3.6895727642446856E-2</v>
      </c>
      <c r="W36" s="1">
        <f t="shared" si="14"/>
        <v>8.3853926460106492E-4</v>
      </c>
    </row>
    <row r="37" spans="1:46" x14ac:dyDescent="0.25">
      <c r="A37" s="7">
        <v>60</v>
      </c>
      <c r="F37" s="1">
        <f t="shared" si="1"/>
        <v>93.121693121693127</v>
      </c>
      <c r="G37" s="1">
        <f t="shared" si="1"/>
        <v>58.471604938271604</v>
      </c>
      <c r="H37" s="1">
        <f t="shared" si="1"/>
        <v>24.592592592592592</v>
      </c>
      <c r="I37" s="1">
        <f t="shared" si="1"/>
        <v>1.1536155202821869</v>
      </c>
      <c r="J37" s="1">
        <f t="shared" si="1"/>
        <v>80.246913580246911</v>
      </c>
      <c r="K37" s="1">
        <f t="shared" si="1"/>
        <v>33.837389770723107</v>
      </c>
      <c r="L37" s="1">
        <f t="shared" si="1"/>
        <v>2.3412698412698414</v>
      </c>
      <c r="M37" s="1">
        <f t="shared" si="1"/>
        <v>1.2994708994708994</v>
      </c>
      <c r="N37" s="1">
        <f t="shared" si="1"/>
        <v>0.11728395061728394</v>
      </c>
      <c r="O37" s="1">
        <f t="shared" si="1"/>
        <v>6.7724867724867729E-2</v>
      </c>
      <c r="P37" s="1">
        <f t="shared" si="1"/>
        <v>0.3529100529100529</v>
      </c>
      <c r="Q37" s="1">
        <f t="shared" si="1"/>
        <v>0.3012345679012346</v>
      </c>
      <c r="R37" s="1">
        <f t="shared" si="1"/>
        <v>0.47460317460317458</v>
      </c>
      <c r="S37" s="1">
        <f t="shared" si="1"/>
        <v>0.13844797178130511</v>
      </c>
      <c r="T37" s="1">
        <f t="shared" si="1"/>
        <v>11.274779541446208</v>
      </c>
      <c r="U37" s="1">
        <f t="shared" si="1"/>
        <v>5.9576719576719572</v>
      </c>
      <c r="V37" s="1">
        <f t="shared" si="14"/>
        <v>0.21657848324514992</v>
      </c>
      <c r="W37" s="1">
        <f>100*W17/$E17</f>
        <v>0.12486772486772486</v>
      </c>
    </row>
    <row r="38" spans="1:46" ht="27" customHeight="1" x14ac:dyDescent="0.25">
      <c r="A38" s="15" t="s">
        <v>86</v>
      </c>
      <c r="B38" s="16" t="s">
        <v>70</v>
      </c>
      <c r="C38" s="16" t="s">
        <v>71</v>
      </c>
      <c r="D38" s="16" t="s">
        <v>72</v>
      </c>
      <c r="E38" s="16" t="s">
        <v>73</v>
      </c>
      <c r="F38" s="16" t="s">
        <v>74</v>
      </c>
      <c r="G38" s="16" t="s">
        <v>75</v>
      </c>
      <c r="H38" s="16" t="s">
        <v>76</v>
      </c>
      <c r="I38" s="17" t="s">
        <v>18</v>
      </c>
      <c r="J38" s="16" t="s">
        <v>77</v>
      </c>
      <c r="K38" s="17" t="s">
        <v>12</v>
      </c>
      <c r="L38" s="17" t="s">
        <v>79</v>
      </c>
      <c r="M38" s="15"/>
      <c r="N38" s="15"/>
      <c r="O38" s="18" t="s">
        <v>80</v>
      </c>
      <c r="P38" s="15"/>
      <c r="Q38" s="18" t="s">
        <v>25</v>
      </c>
      <c r="R38" s="18" t="s">
        <v>81</v>
      </c>
      <c r="S38" s="18" t="s">
        <v>82</v>
      </c>
      <c r="T38" s="18" t="s">
        <v>83</v>
      </c>
      <c r="U38" s="15"/>
      <c r="V38" s="15"/>
      <c r="W38" s="15" t="s">
        <v>84</v>
      </c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</row>
    <row r="39" spans="1:46" x14ac:dyDescent="0.25">
      <c r="A39" s="8">
        <v>46</v>
      </c>
      <c r="G39" s="1">
        <f t="shared" ref="G39:W39" si="15">100*(G3/$F3)</f>
        <v>61.119393939393937</v>
      </c>
      <c r="H39" s="1">
        <f t="shared" si="15"/>
        <v>44.61151515151515</v>
      </c>
      <c r="I39" s="1">
        <f t="shared" si="15"/>
        <v>0.76949494949494945</v>
      </c>
      <c r="J39" s="1">
        <f t="shared" si="15"/>
        <v>96.36363636363636</v>
      </c>
      <c r="K39" s="1">
        <f t="shared" si="15"/>
        <v>25.884646464646465</v>
      </c>
      <c r="L39" s="1">
        <f t="shared" si="15"/>
        <v>4.3575757575757574</v>
      </c>
      <c r="M39" s="1">
        <f t="shared" si="15"/>
        <v>2.3995959595959593</v>
      </c>
      <c r="N39" s="1">
        <f t="shared" si="15"/>
        <v>0.35434343434343435</v>
      </c>
      <c r="O39" s="1">
        <f t="shared" si="15"/>
        <v>9.9595959595959599E-2</v>
      </c>
      <c r="P39" s="1">
        <f t="shared" si="15"/>
        <v>0.24404040404040406</v>
      </c>
      <c r="Q39" s="1">
        <f t="shared" si="15"/>
        <v>0.19898989898989899</v>
      </c>
      <c r="R39" s="1">
        <f t="shared" si="15"/>
        <v>0.13070707070707072</v>
      </c>
      <c r="S39" s="1">
        <f t="shared" si="15"/>
        <v>0.11393939393939394</v>
      </c>
      <c r="T39" s="1">
        <f t="shared" si="15"/>
        <v>5.4183838383838383</v>
      </c>
      <c r="U39" s="1">
        <f t="shared" si="15"/>
        <v>2.8836363636363638</v>
      </c>
      <c r="V39" s="1">
        <f t="shared" si="15"/>
        <v>0.39111111111111108</v>
      </c>
      <c r="W39" s="1">
        <f t="shared" si="15"/>
        <v>5.5757575757575756E-2</v>
      </c>
    </row>
    <row r="40" spans="1:46" x14ac:dyDescent="0.25">
      <c r="A40" s="8">
        <v>47</v>
      </c>
      <c r="G40" s="1">
        <f t="shared" ref="G40:W40" si="16">100*(G4/$F4)</f>
        <v>49.674904907343212</v>
      </c>
      <c r="H40" s="1">
        <f t="shared" si="16"/>
        <v>39.299031272836295</v>
      </c>
      <c r="I40" s="1">
        <f t="shared" si="16"/>
        <v>5.133442010655374</v>
      </c>
      <c r="J40" s="1">
        <f t="shared" si="16"/>
        <v>83.15969945099215</v>
      </c>
      <c r="K40" s="1">
        <f t="shared" si="16"/>
        <v>17.357454702167928</v>
      </c>
      <c r="L40" s="1">
        <f t="shared" si="16"/>
        <v>6.3676166563610579</v>
      </c>
      <c r="M40" s="1">
        <f t="shared" si="16"/>
        <v>3.2731235985934406</v>
      </c>
      <c r="N40" s="1">
        <f t="shared" si="16"/>
        <v>4.340847058529608E-2</v>
      </c>
      <c r="O40" s="1">
        <f t="shared" si="16"/>
        <v>0</v>
      </c>
      <c r="P40" s="1">
        <f t="shared" si="16"/>
        <v>5.1840331778123382E-2</v>
      </c>
      <c r="Q40" s="1">
        <f t="shared" si="16"/>
        <v>2.5295583578481891E-2</v>
      </c>
      <c r="R40" s="1">
        <f t="shared" si="16"/>
        <v>3.1541406684279891E-2</v>
      </c>
      <c r="S40" s="1">
        <f t="shared" si="16"/>
        <v>0.26919497585989371</v>
      </c>
      <c r="T40" s="1">
        <f t="shared" si="16"/>
        <v>7.9371920028480956</v>
      </c>
      <c r="U40" s="1">
        <f t="shared" si="16"/>
        <v>2.6045082351177649</v>
      </c>
      <c r="V40" s="1">
        <f t="shared" si="16"/>
        <v>2.5295583578481891E-2</v>
      </c>
      <c r="W40" s="1">
        <f t="shared" si="16"/>
        <v>0</v>
      </c>
    </row>
    <row r="41" spans="1:46" x14ac:dyDescent="0.25">
      <c r="A41" s="8">
        <v>48</v>
      </c>
      <c r="G41" s="1">
        <f t="shared" ref="G41:W41" si="17">100*(G5/$F5)</f>
        <v>53.43937766891613</v>
      </c>
      <c r="H41" s="1">
        <f t="shared" si="17"/>
        <v>40.247883722350117</v>
      </c>
      <c r="I41" s="1">
        <f t="shared" si="17"/>
        <v>1.5400252121664866</v>
      </c>
      <c r="J41" s="1">
        <f t="shared" si="17"/>
        <v>91.390512036834181</v>
      </c>
      <c r="K41" s="1">
        <f t="shared" si="17"/>
        <v>17.166899514073204</v>
      </c>
      <c r="L41" s="1">
        <f t="shared" si="17"/>
        <v>3.6668977183348481</v>
      </c>
      <c r="M41" s="1">
        <f t="shared" si="17"/>
        <v>2.0895211484105918</v>
      </c>
      <c r="N41" s="1">
        <f t="shared" si="17"/>
        <v>2.9809256672065854E-2</v>
      </c>
      <c r="O41" s="1">
        <f t="shared" si="17"/>
        <v>2.5140336952344695E-3</v>
      </c>
      <c r="P41" s="1">
        <f t="shared" si="17"/>
        <v>0.10774430122433441</v>
      </c>
      <c r="Q41" s="1">
        <f t="shared" si="17"/>
        <v>6.6801466759087325E-2</v>
      </c>
      <c r="R41" s="1">
        <f t="shared" si="17"/>
        <v>8.9427770016197561E-2</v>
      </c>
      <c r="S41" s="1">
        <f t="shared" si="17"/>
        <v>0.4715608916918369</v>
      </c>
      <c r="T41" s="1">
        <f t="shared" si="17"/>
        <v>9.3848877843102745</v>
      </c>
      <c r="U41" s="1">
        <f t="shared" si="17"/>
        <v>4.4390652104425774</v>
      </c>
      <c r="V41" s="1">
        <f t="shared" si="17"/>
        <v>0.49813781932717277</v>
      </c>
      <c r="W41" s="1">
        <f t="shared" si="17"/>
        <v>5.0280673904689391E-3</v>
      </c>
    </row>
    <row r="42" spans="1:46" x14ac:dyDescent="0.25">
      <c r="A42" s="8">
        <v>49</v>
      </c>
      <c r="G42" s="1">
        <f t="shared" ref="G42:W42" si="18">100*(G6/$F6)</f>
        <v>55.09370629370629</v>
      </c>
      <c r="H42" s="1">
        <f t="shared" si="18"/>
        <v>24.201748251748249</v>
      </c>
      <c r="I42" s="1">
        <f t="shared" si="18"/>
        <v>0.50402097902097909</v>
      </c>
      <c r="J42" s="1">
        <f t="shared" si="18"/>
        <v>93.181818181818173</v>
      </c>
      <c r="K42" s="1">
        <f t="shared" si="18"/>
        <v>39.889510489510485</v>
      </c>
      <c r="L42" s="1">
        <f t="shared" si="18"/>
        <v>4.7122377622377618</v>
      </c>
      <c r="M42" s="1">
        <f t="shared" si="18"/>
        <v>1.2858391608391608</v>
      </c>
      <c r="N42" s="1">
        <f t="shared" si="18"/>
        <v>0.13216783216783218</v>
      </c>
      <c r="O42" s="1">
        <f t="shared" si="18"/>
        <v>9.2832167832167828E-2</v>
      </c>
      <c r="P42" s="1">
        <f t="shared" si="18"/>
        <v>0.42377622377622376</v>
      </c>
      <c r="Q42" s="1">
        <f t="shared" si="18"/>
        <v>0.27972027972027974</v>
      </c>
      <c r="R42" s="1">
        <f t="shared" si="18"/>
        <v>0.15122377622377622</v>
      </c>
      <c r="S42" s="1">
        <f t="shared" si="18"/>
        <v>0.32832167832167836</v>
      </c>
      <c r="T42" s="1">
        <f t="shared" si="18"/>
        <v>8.8141608391608397</v>
      </c>
      <c r="U42" s="1">
        <f t="shared" si="18"/>
        <v>3.2709790209790208</v>
      </c>
      <c r="V42" s="1">
        <f t="shared" si="18"/>
        <v>0.15646853146853146</v>
      </c>
      <c r="W42" s="1">
        <f t="shared" si="18"/>
        <v>7.0804195804195807E-2</v>
      </c>
    </row>
    <row r="43" spans="1:46" x14ac:dyDescent="0.25">
      <c r="A43" s="8">
        <v>50</v>
      </c>
      <c r="G43" s="1">
        <f t="shared" ref="G43:W43" si="19">100*(G7/$F7)</f>
        <v>70.103846153846149</v>
      </c>
      <c r="H43" s="1">
        <f t="shared" si="19"/>
        <v>56.19350961538462</v>
      </c>
      <c r="I43" s="1">
        <f t="shared" si="19"/>
        <v>1.9045673076923078</v>
      </c>
      <c r="J43" s="1">
        <f t="shared" si="19"/>
        <v>94.182932692307702</v>
      </c>
      <c r="K43" s="1">
        <f t="shared" si="19"/>
        <v>21.030288461538461</v>
      </c>
      <c r="L43" s="1">
        <f t="shared" si="19"/>
        <v>2.9264423076923078</v>
      </c>
      <c r="M43" s="1">
        <f t="shared" si="19"/>
        <v>1.6701923076923075</v>
      </c>
      <c r="N43" s="1">
        <f t="shared" si="19"/>
        <v>6.9711538461538464E-2</v>
      </c>
      <c r="O43" s="1">
        <f t="shared" si="19"/>
        <v>3.8942307692307693E-2</v>
      </c>
      <c r="P43" s="1">
        <f t="shared" si="19"/>
        <v>0.13413461538461538</v>
      </c>
      <c r="Q43" s="1">
        <f t="shared" si="19"/>
        <v>8.3653846153846162E-2</v>
      </c>
      <c r="R43" s="1">
        <f t="shared" si="19"/>
        <v>6.5625000000000003E-2</v>
      </c>
      <c r="S43" s="1">
        <f t="shared" si="19"/>
        <v>0.26947115384615389</v>
      </c>
      <c r="T43" s="1">
        <f t="shared" si="19"/>
        <v>8.5125000000000011</v>
      </c>
      <c r="U43" s="1">
        <f t="shared" si="19"/>
        <v>4.0463942307692307</v>
      </c>
      <c r="V43" s="1">
        <f t="shared" si="19"/>
        <v>0.10841346153846153</v>
      </c>
      <c r="W43" s="1">
        <f t="shared" si="19"/>
        <v>7.5480769230769226E-2</v>
      </c>
    </row>
    <row r="44" spans="1:46" x14ac:dyDescent="0.25">
      <c r="A44" s="8">
        <v>51</v>
      </c>
      <c r="G44" s="1">
        <f t="shared" ref="G44:W44" si="20">100*(G8/$F8)</f>
        <v>56.820108834626105</v>
      </c>
      <c r="H44" s="1">
        <f t="shared" si="20"/>
        <v>42.962311636691538</v>
      </c>
      <c r="I44" s="1">
        <f t="shared" si="20"/>
        <v>0.44054246838367572</v>
      </c>
      <c r="J44" s="1">
        <f t="shared" si="20"/>
        <v>97.446020089095455</v>
      </c>
      <c r="K44" s="1">
        <f t="shared" si="20"/>
        <v>26.364358230113904</v>
      </c>
      <c r="L44" s="1">
        <f t="shared" si="20"/>
        <v>4.3192901075336358</v>
      </c>
      <c r="M44" s="1">
        <f t="shared" si="20"/>
        <v>1.4117995397183578</v>
      </c>
      <c r="N44" s="1">
        <f t="shared" si="20"/>
        <v>7.3124666340671218E-2</v>
      </c>
      <c r="O44" s="1">
        <f t="shared" si="20"/>
        <v>9.4209692831539616E-3</v>
      </c>
      <c r="P44" s="1">
        <f t="shared" si="20"/>
        <v>0.18034426913466153</v>
      </c>
      <c r="Q44" s="1">
        <f t="shared" si="20"/>
        <v>0.13772559856801267</v>
      </c>
      <c r="R44" s="1">
        <f t="shared" si="20"/>
        <v>5.7871668453660041E-2</v>
      </c>
      <c r="S44" s="1">
        <f t="shared" si="20"/>
        <v>0.23417837932411273</v>
      </c>
      <c r="T44" s="1">
        <f t="shared" si="20"/>
        <v>8.0647983239647036</v>
      </c>
      <c r="U44" s="1">
        <f t="shared" si="20"/>
        <v>2.1582992010120812</v>
      </c>
      <c r="V44" s="1">
        <f t="shared" si="20"/>
        <v>0.25436617064515693</v>
      </c>
      <c r="W44" s="1">
        <f t="shared" si="20"/>
        <v>8.0751165284176814E-3</v>
      </c>
    </row>
    <row r="45" spans="1:46" x14ac:dyDescent="0.25">
      <c r="A45" s="8">
        <v>52</v>
      </c>
      <c r="G45" s="1">
        <f t="shared" ref="G45:W45" si="21">100*(G9/$F9)</f>
        <v>54.144618129473066</v>
      </c>
      <c r="H45" s="1">
        <f t="shared" si="21"/>
        <v>38.98181375828721</v>
      </c>
      <c r="I45" s="1">
        <f t="shared" si="21"/>
        <v>1.2220465097419053</v>
      </c>
      <c r="J45" s="1">
        <f t="shared" si="21"/>
        <v>93.867972345558869</v>
      </c>
      <c r="K45" s="1">
        <f t="shared" si="21"/>
        <v>22.378504957119397</v>
      </c>
      <c r="L45" s="1">
        <f t="shared" si="21"/>
        <v>5.676864748697362</v>
      </c>
      <c r="M45" s="1">
        <f t="shared" si="21"/>
        <v>3.6159600997506236</v>
      </c>
      <c r="N45" s="1">
        <f t="shared" si="21"/>
        <v>6.0316687954909472E-2</v>
      </c>
      <c r="O45" s="1">
        <f t="shared" si="21"/>
        <v>4.0549033919266867E-3</v>
      </c>
      <c r="P45" s="1">
        <f t="shared" si="21"/>
        <v>0.1226608276057823</v>
      </c>
      <c r="Q45" s="1">
        <f t="shared" si="21"/>
        <v>7.2481398130689531E-2</v>
      </c>
      <c r="R45" s="1">
        <f t="shared" si="21"/>
        <v>6.4371591346836163E-2</v>
      </c>
      <c r="S45" s="1">
        <f t="shared" si="21"/>
        <v>0.20680007298826106</v>
      </c>
      <c r="T45" s="1">
        <f t="shared" si="21"/>
        <v>12.897633963870812</v>
      </c>
      <c r="U45" s="1">
        <f t="shared" si="21"/>
        <v>5.6611519980536462</v>
      </c>
      <c r="V45" s="1">
        <f t="shared" si="21"/>
        <v>0.38420209638505359</v>
      </c>
      <c r="W45" s="1">
        <f t="shared" si="21"/>
        <v>0</v>
      </c>
    </row>
    <row r="46" spans="1:46" x14ac:dyDescent="0.25">
      <c r="A46" s="8">
        <v>53</v>
      </c>
      <c r="G46" s="1">
        <f t="shared" ref="G46:W46" si="22">100*(G10/$F10)</f>
        <v>48.926921950898908</v>
      </c>
      <c r="H46" s="1">
        <f t="shared" si="22"/>
        <v>40.436998488370008</v>
      </c>
      <c r="I46" s="1">
        <f t="shared" si="22"/>
        <v>1.4665200843644881</v>
      </c>
      <c r="J46" s="1">
        <f t="shared" si="22"/>
        <v>94.605034385101177</v>
      </c>
      <c r="K46" s="1">
        <f t="shared" si="22"/>
        <v>18.108789560790829</v>
      </c>
      <c r="L46" s="1">
        <f t="shared" si="22"/>
        <v>3.9565271944027867</v>
      </c>
      <c r="M46" s="1">
        <f t="shared" si="22"/>
        <v>1.3246180594972785</v>
      </c>
      <c r="N46" s="1">
        <f t="shared" si="22"/>
        <v>4.6304871272457859E-2</v>
      </c>
      <c r="O46" s="1">
        <f t="shared" si="22"/>
        <v>2.0911877348851939E-3</v>
      </c>
      <c r="P46" s="1">
        <f t="shared" si="22"/>
        <v>5.6760809946883824E-2</v>
      </c>
      <c r="Q46" s="1">
        <f t="shared" si="22"/>
        <v>3.3757744863146699E-2</v>
      </c>
      <c r="R46" s="1">
        <f t="shared" si="22"/>
        <v>2.3600547293704331E-2</v>
      </c>
      <c r="S46" s="1">
        <f t="shared" si="22"/>
        <v>0.19029808387455266</v>
      </c>
      <c r="T46" s="1">
        <f t="shared" si="22"/>
        <v>12.616135604562373</v>
      </c>
      <c r="U46" s="1">
        <f t="shared" si="22"/>
        <v>3.1911524834348057</v>
      </c>
      <c r="V46" s="1">
        <f t="shared" si="22"/>
        <v>0.38328483769395766</v>
      </c>
      <c r="W46" s="1">
        <f t="shared" si="22"/>
        <v>2.9874110498359909E-3</v>
      </c>
    </row>
    <row r="47" spans="1:46" x14ac:dyDescent="0.25">
      <c r="A47" s="8">
        <v>54</v>
      </c>
      <c r="G47" s="1">
        <f t="shared" ref="G47:W47" si="23">100*(G11/$F11)</f>
        <v>62.721278901734102</v>
      </c>
      <c r="H47" s="1">
        <f t="shared" si="23"/>
        <v>52.166398449816079</v>
      </c>
      <c r="I47" s="1">
        <f t="shared" si="23"/>
        <v>0.52384393063583812</v>
      </c>
      <c r="J47" s="1">
        <f t="shared" si="23"/>
        <v>97.918582501313708</v>
      </c>
      <c r="K47" s="1">
        <f t="shared" si="23"/>
        <v>20.80965909090909</v>
      </c>
      <c r="L47" s="1">
        <f t="shared" si="23"/>
        <v>3.1114523121387285</v>
      </c>
      <c r="M47" s="1">
        <f t="shared" si="23"/>
        <v>0.97748620599054126</v>
      </c>
      <c r="N47" s="1">
        <f t="shared" si="23"/>
        <v>2.8737519705727799E-2</v>
      </c>
      <c r="O47" s="1">
        <f t="shared" si="23"/>
        <v>2.4632159747766686E-3</v>
      </c>
      <c r="P47" s="1">
        <f t="shared" si="23"/>
        <v>9.2781135049921179E-2</v>
      </c>
      <c r="Q47" s="1">
        <f t="shared" si="23"/>
        <v>7.1843799264319497E-2</v>
      </c>
      <c r="R47" s="1">
        <f t="shared" si="23"/>
        <v>4.3106279558591698E-2</v>
      </c>
      <c r="S47" s="1">
        <f t="shared" si="23"/>
        <v>9.1549527062532846E-2</v>
      </c>
      <c r="T47" s="1">
        <f t="shared" si="23"/>
        <v>8.3925873620599063</v>
      </c>
      <c r="U47" s="1">
        <f t="shared" si="23"/>
        <v>1.9553829479768785</v>
      </c>
      <c r="V47" s="1">
        <f t="shared" si="23"/>
        <v>0.22456318970047293</v>
      </c>
      <c r="W47" s="1">
        <f t="shared" si="23"/>
        <v>1.6421439831844455E-3</v>
      </c>
    </row>
    <row r="48" spans="1:46" x14ac:dyDescent="0.25">
      <c r="A48" s="8">
        <v>55</v>
      </c>
      <c r="G48" s="1">
        <f t="shared" ref="G48:W48" si="24">100*(G12/$F12)</f>
        <v>48.974996224031635</v>
      </c>
      <c r="H48" s="1">
        <f t="shared" si="24"/>
        <v>40.351371019786072</v>
      </c>
      <c r="I48" s="1">
        <f t="shared" si="24"/>
        <v>1.3607216905353636</v>
      </c>
      <c r="J48" s="1">
        <f t="shared" si="24"/>
        <v>95.077853602273819</v>
      </c>
      <c r="K48" s="1">
        <f t="shared" si="24"/>
        <v>15.252852572464265</v>
      </c>
      <c r="L48" s="1">
        <f t="shared" si="24"/>
        <v>4.3471693968062173</v>
      </c>
      <c r="M48" s="1">
        <f t="shared" si="24"/>
        <v>1.4074063903115517</v>
      </c>
      <c r="N48" s="1">
        <f t="shared" si="24"/>
        <v>6.7967430556509084E-2</v>
      </c>
      <c r="O48" s="1">
        <f t="shared" si="24"/>
        <v>1.0984635241456013E-2</v>
      </c>
      <c r="P48" s="1">
        <f t="shared" si="24"/>
        <v>7.5176097433714589E-2</v>
      </c>
      <c r="Q48" s="1">
        <f t="shared" si="24"/>
        <v>5.5266446058575565E-2</v>
      </c>
      <c r="R48" s="1">
        <f t="shared" si="24"/>
        <v>9.0623240742012112E-2</v>
      </c>
      <c r="S48" s="1">
        <f t="shared" si="24"/>
        <v>0.25779565832292084</v>
      </c>
      <c r="T48" s="1">
        <f t="shared" si="24"/>
        <v>7.6930206373834604</v>
      </c>
      <c r="U48" s="1">
        <f t="shared" si="24"/>
        <v>2.4976314380260609</v>
      </c>
      <c r="V48" s="1">
        <f t="shared" si="24"/>
        <v>0.18948495791511621</v>
      </c>
      <c r="W48" s="1">
        <f t="shared" si="24"/>
        <v>6.5221271746145077E-3</v>
      </c>
    </row>
    <row r="49" spans="1:23" x14ac:dyDescent="0.25">
      <c r="A49" s="8">
        <v>56</v>
      </c>
      <c r="G49" s="1">
        <f t="shared" ref="G49:W49" si="25">100*(G13/$F13)</f>
        <v>70.024169207001933</v>
      </c>
      <c r="H49" s="1">
        <f t="shared" si="25"/>
        <v>48.730082957138187</v>
      </c>
      <c r="I49" s="1">
        <f t="shared" si="25"/>
        <v>1.3084449389379831</v>
      </c>
      <c r="J49" s="1">
        <f t="shared" si="25"/>
        <v>93.676914460553078</v>
      </c>
      <c r="K49" s="1">
        <f t="shared" si="25"/>
        <v>29.133855308016432</v>
      </c>
      <c r="L49" s="1">
        <f t="shared" si="25"/>
        <v>3.3321931581974202</v>
      </c>
      <c r="M49" s="1">
        <f t="shared" si="25"/>
        <v>1.4302306787299701</v>
      </c>
      <c r="N49" s="1">
        <f t="shared" si="25"/>
        <v>6.0141106070117016E-2</v>
      </c>
      <c r="O49" s="1">
        <f t="shared" si="25"/>
        <v>2.0673505211602723E-2</v>
      </c>
      <c r="P49" s="1">
        <f t="shared" si="25"/>
        <v>0.14433865456828082</v>
      </c>
      <c r="Q49" s="1">
        <f t="shared" si="25"/>
        <v>0.10825399092621062</v>
      </c>
      <c r="R49" s="1">
        <f t="shared" si="25"/>
        <v>9.8481061189816602E-2</v>
      </c>
      <c r="S49" s="1">
        <f t="shared" si="25"/>
        <v>0.27439379644490891</v>
      </c>
      <c r="T49" s="1">
        <f t="shared" si="25"/>
        <v>8.9305783694994378</v>
      </c>
      <c r="U49" s="1">
        <f t="shared" si="25"/>
        <v>3.2055209535372367</v>
      </c>
      <c r="V49" s="1">
        <f t="shared" si="25"/>
        <v>0.50292999951135353</v>
      </c>
      <c r="W49" s="1">
        <f t="shared" si="25"/>
        <v>5.4126995463105308E-2</v>
      </c>
    </row>
    <row r="50" spans="1:23" x14ac:dyDescent="0.25">
      <c r="A50" s="8">
        <v>57</v>
      </c>
      <c r="G50" s="1">
        <f t="shared" ref="G50:W50" si="26">100*(G14/$F14)</f>
        <v>50.777099062113251</v>
      </c>
      <c r="H50" s="1">
        <f t="shared" si="26"/>
        <v>42.688509272007039</v>
      </c>
      <c r="I50" s="1">
        <f t="shared" si="26"/>
        <v>1.0999169967743057</v>
      </c>
      <c r="J50" s="1">
        <f t="shared" si="26"/>
        <v>95.408977271032867</v>
      </c>
      <c r="K50" s="1">
        <f t="shared" si="26"/>
        <v>13.643344582672704</v>
      </c>
      <c r="L50" s="1">
        <f t="shared" si="26"/>
        <v>3.7028385115086206</v>
      </c>
      <c r="M50" s="1">
        <f t="shared" si="26"/>
        <v>0.82854118103152641</v>
      </c>
      <c r="N50" s="1">
        <f t="shared" si="26"/>
        <v>3.4294745945516084E-2</v>
      </c>
      <c r="O50" s="1">
        <f t="shared" si="26"/>
        <v>7.952404856931267E-3</v>
      </c>
      <c r="P50" s="1">
        <f t="shared" si="26"/>
        <v>0.14960461637101946</v>
      </c>
      <c r="Q50" s="1">
        <f t="shared" si="26"/>
        <v>0.12624442710378386</v>
      </c>
      <c r="R50" s="1">
        <f t="shared" si="26"/>
        <v>3.4294745945516084E-2</v>
      </c>
      <c r="S50" s="1">
        <f t="shared" si="26"/>
        <v>0.2181941082620516</v>
      </c>
      <c r="T50" s="1">
        <f t="shared" si="26"/>
        <v>3.1392118172736176</v>
      </c>
      <c r="U50" s="1">
        <f t="shared" si="26"/>
        <v>0.84245788953115597</v>
      </c>
      <c r="V50" s="1">
        <f t="shared" si="26"/>
        <v>0.32753967504485654</v>
      </c>
      <c r="W50" s="1">
        <f t="shared" si="26"/>
        <v>4.9702530355820417E-3</v>
      </c>
    </row>
    <row r="51" spans="1:23" x14ac:dyDescent="0.25">
      <c r="A51" s="8">
        <v>58</v>
      </c>
      <c r="G51" s="1">
        <f t="shared" ref="G51:W51" si="27">100*(G15/$F15)</f>
        <v>48.391559737211445</v>
      </c>
      <c r="H51" s="1">
        <f t="shared" si="27"/>
        <v>36.398933171256402</v>
      </c>
      <c r="I51" s="1">
        <f t="shared" si="27"/>
        <v>1.3683238233094883</v>
      </c>
      <c r="J51" s="1">
        <f t="shared" si="27"/>
        <v>93.131190345759677</v>
      </c>
      <c r="K51" s="1">
        <f t="shared" si="27"/>
        <v>18.498762430674127</v>
      </c>
      <c r="L51" s="1">
        <f t="shared" si="27"/>
        <v>4.0325966563635856</v>
      </c>
      <c r="M51" s="1">
        <f t="shared" si="27"/>
        <v>2.0684801689012224</v>
      </c>
      <c r="N51" s="1">
        <f t="shared" si="27"/>
        <v>3.9586223994050068E-2</v>
      </c>
      <c r="O51" s="1">
        <f t="shared" si="27"/>
        <v>0</v>
      </c>
      <c r="P51" s="1">
        <f t="shared" si="27"/>
        <v>7.6373422049126907E-2</v>
      </c>
      <c r="Q51" s="1">
        <f t="shared" si="27"/>
        <v>4.0785806539324315E-2</v>
      </c>
      <c r="R51" s="1">
        <f t="shared" si="27"/>
        <v>5.0782327749943026E-2</v>
      </c>
      <c r="S51" s="1">
        <f t="shared" si="27"/>
        <v>0.35147768576535365</v>
      </c>
      <c r="T51" s="1">
        <f t="shared" si="27"/>
        <v>10.094087257634342</v>
      </c>
      <c r="U51" s="1">
        <f t="shared" si="27"/>
        <v>3.9506251824365126</v>
      </c>
      <c r="V51" s="1">
        <f t="shared" si="27"/>
        <v>0.29909591462171164</v>
      </c>
      <c r="W51" s="1">
        <f t="shared" si="27"/>
        <v>0</v>
      </c>
    </row>
    <row r="52" spans="1:23" x14ac:dyDescent="0.25">
      <c r="A52" s="8">
        <v>59</v>
      </c>
      <c r="G52" s="1">
        <f t="shared" ref="G52:W52" si="28">100*(G16/$F16)</f>
        <v>65.990472913006471</v>
      </c>
      <c r="H52" s="1">
        <f t="shared" si="28"/>
        <v>60.825741247215227</v>
      </c>
      <c r="I52" s="1">
        <f t="shared" si="28"/>
        <v>0.95089746608465697</v>
      </c>
      <c r="J52" s="1">
        <f t="shared" si="28"/>
        <v>97.121950335983769</v>
      </c>
      <c r="K52" s="1">
        <f t="shared" si="28"/>
        <v>7.5528427306152768</v>
      </c>
      <c r="L52" s="1">
        <f t="shared" si="28"/>
        <v>1.9932622122403143</v>
      </c>
      <c r="M52" s="1">
        <f t="shared" si="28"/>
        <v>0.71634275778377499</v>
      </c>
      <c r="N52" s="1">
        <f t="shared" si="28"/>
        <v>1.5395482784227782E-2</v>
      </c>
      <c r="O52" s="1">
        <f t="shared" si="28"/>
        <v>6.3393164405643795E-3</v>
      </c>
      <c r="P52" s="1">
        <f t="shared" si="28"/>
        <v>4.2563981815217977E-2</v>
      </c>
      <c r="Q52" s="1">
        <f t="shared" si="28"/>
        <v>2.897973229972288E-2</v>
      </c>
      <c r="R52" s="1">
        <f t="shared" si="28"/>
        <v>2.173479922479216E-2</v>
      </c>
      <c r="S52" s="1">
        <f t="shared" si="28"/>
        <v>2.0829182590425821E-2</v>
      </c>
      <c r="T52" s="1">
        <f t="shared" si="28"/>
        <v>3.8941515277752621</v>
      </c>
      <c r="U52" s="1">
        <f t="shared" si="28"/>
        <v>0.63574287732517076</v>
      </c>
      <c r="V52" s="1">
        <f t="shared" si="28"/>
        <v>3.9847131912118958E-2</v>
      </c>
      <c r="W52" s="1">
        <f t="shared" si="28"/>
        <v>9.0561663436633999E-4</v>
      </c>
    </row>
    <row r="53" spans="1:23" x14ac:dyDescent="0.25">
      <c r="A53" s="8">
        <v>60</v>
      </c>
      <c r="G53" s="1">
        <f t="shared" ref="G53:W53" si="29">100*(G17/$F17)</f>
        <v>62.790530303030302</v>
      </c>
      <c r="H53" s="1">
        <f t="shared" si="29"/>
        <v>26.40909090909091</v>
      </c>
      <c r="I53" s="1">
        <f t="shared" si="29"/>
        <v>1.2388257575757575</v>
      </c>
      <c r="J53" s="1">
        <f t="shared" si="29"/>
        <v>86.174242424242422</v>
      </c>
      <c r="K53" s="1">
        <f t="shared" si="29"/>
        <v>36.336742424242424</v>
      </c>
      <c r="L53" s="1">
        <f t="shared" si="29"/>
        <v>2.5142045454545454</v>
      </c>
      <c r="M53" s="1">
        <f t="shared" si="29"/>
        <v>1.3954545454545453</v>
      </c>
      <c r="N53" s="1">
        <f t="shared" si="29"/>
        <v>0.1259469696969697</v>
      </c>
      <c r="O53" s="1">
        <f t="shared" si="29"/>
        <v>7.2727272727272724E-2</v>
      </c>
      <c r="P53" s="1">
        <f t="shared" si="29"/>
        <v>0.37897727272727272</v>
      </c>
      <c r="Q53" s="1">
        <f t="shared" si="29"/>
        <v>0.32348484848484849</v>
      </c>
      <c r="R53" s="1">
        <f t="shared" si="29"/>
        <v>0.50965909090909089</v>
      </c>
      <c r="S53" s="1">
        <f t="shared" si="29"/>
        <v>0.14867424242424243</v>
      </c>
      <c r="T53" s="1">
        <f t="shared" si="29"/>
        <v>12.107575757575757</v>
      </c>
      <c r="U53" s="1">
        <f t="shared" si="29"/>
        <v>6.3977272727272734</v>
      </c>
      <c r="V53" s="1">
        <f t="shared" si="29"/>
        <v>0.23257575757575757</v>
      </c>
      <c r="W53" s="1">
        <f t="shared" si="29"/>
        <v>0.13409090909090909</v>
      </c>
    </row>
    <row r="54" spans="1:23" x14ac:dyDescent="0.25">
      <c r="A54" s="10" t="s">
        <v>87</v>
      </c>
      <c r="B54" s="10"/>
      <c r="C54" s="10"/>
      <c r="D54" s="10"/>
      <c r="E54" s="10"/>
    </row>
    <row r="55" spans="1:23" s="10" customFormat="1" ht="27" customHeight="1" x14ac:dyDescent="0.25">
      <c r="A55" s="10" t="s">
        <v>87</v>
      </c>
      <c r="B55" s="13" t="s">
        <v>70</v>
      </c>
      <c r="C55" s="13" t="s">
        <v>222</v>
      </c>
      <c r="D55" s="13" t="s">
        <v>223</v>
      </c>
      <c r="E55" s="13" t="s">
        <v>224</v>
      </c>
      <c r="F55" s="13"/>
      <c r="G55" s="13"/>
      <c r="H55" s="13"/>
      <c r="I55" s="3" t="s">
        <v>18</v>
      </c>
      <c r="J55" s="13" t="s">
        <v>77</v>
      </c>
      <c r="K55" s="3" t="s">
        <v>12</v>
      </c>
      <c r="L55" s="3" t="s">
        <v>79</v>
      </c>
      <c r="O55" s="4" t="s">
        <v>80</v>
      </c>
      <c r="Q55" s="4" t="s">
        <v>25</v>
      </c>
      <c r="R55" s="4" t="s">
        <v>81</v>
      </c>
      <c r="S55" s="4" t="s">
        <v>82</v>
      </c>
      <c r="T55" s="4" t="s">
        <v>83</v>
      </c>
      <c r="W55" s="4" t="s">
        <v>84</v>
      </c>
    </row>
    <row r="56" spans="1:23" s="6" customFormat="1" x14ac:dyDescent="0.25">
      <c r="A56" s="10">
        <v>46</v>
      </c>
      <c r="B56" s="1">
        <v>2920000</v>
      </c>
      <c r="C56" s="1">
        <v>534000</v>
      </c>
      <c r="D56" s="6">
        <v>866666.66666666663</v>
      </c>
      <c r="E56" s="6">
        <f>(C56/B56)*D56</f>
        <v>158493.15068493149</v>
      </c>
      <c r="I56" s="6">
        <f t="shared" ref="I56:I70" si="30">I23*$E56</f>
        <v>113052.51141552509</v>
      </c>
      <c r="K56" s="6">
        <f t="shared" ref="K56:L70" si="31">K23*$E56</f>
        <v>3802915.5251141549</v>
      </c>
      <c r="L56" s="6">
        <f t="shared" si="31"/>
        <v>640205.47945205483</v>
      </c>
      <c r="O56" s="6">
        <f t="shared" ref="O56:O70" si="32">O23*$E56</f>
        <v>14632.420091324198</v>
      </c>
      <c r="Q56" s="6">
        <f t="shared" ref="Q56:T70" si="33">Q23*$E56</f>
        <v>29235.159817351596</v>
      </c>
      <c r="R56" s="6">
        <f t="shared" si="33"/>
        <v>19203.196347031961</v>
      </c>
      <c r="S56" s="6">
        <f t="shared" si="33"/>
        <v>16739.726027397261</v>
      </c>
      <c r="T56" s="6">
        <f t="shared" si="33"/>
        <v>796057.07762557059</v>
      </c>
      <c r="W56" s="6">
        <f t="shared" ref="W56:W70" si="34">W23*$E56</f>
        <v>8191.7808219178069</v>
      </c>
    </row>
    <row r="57" spans="1:23" s="6" customFormat="1" x14ac:dyDescent="0.25">
      <c r="A57" s="10">
        <v>47</v>
      </c>
      <c r="B57" s="1">
        <v>3380000</v>
      </c>
      <c r="C57">
        <v>357085</v>
      </c>
      <c r="D57" s="6">
        <v>416666.66666666669</v>
      </c>
      <c r="E57" s="6">
        <f t="shared" ref="E57:E70" si="35">(C57/B57)*D57</f>
        <v>44019.354043392508</v>
      </c>
      <c r="I57" s="6">
        <f t="shared" si="30"/>
        <v>202638.06706114401</v>
      </c>
      <c r="K57" s="6">
        <f t="shared" si="31"/>
        <v>685170.1183431953</v>
      </c>
      <c r="L57" s="6">
        <f t="shared" si="31"/>
        <v>251356.0157790927</v>
      </c>
      <c r="O57" s="6">
        <f t="shared" si="32"/>
        <v>0</v>
      </c>
      <c r="Q57" s="6">
        <f t="shared" si="33"/>
        <v>998.52071005917162</v>
      </c>
      <c r="R57" s="6">
        <f t="shared" si="33"/>
        <v>1245.0690335305721</v>
      </c>
      <c r="S57" s="6">
        <f t="shared" si="33"/>
        <v>10626.232741617358</v>
      </c>
      <c r="T57" s="6">
        <f t="shared" si="33"/>
        <v>313313.60946745565</v>
      </c>
      <c r="W57" s="6">
        <f t="shared" si="34"/>
        <v>0</v>
      </c>
    </row>
    <row r="58" spans="1:23" s="6" customFormat="1" x14ac:dyDescent="0.25">
      <c r="A58" s="10">
        <v>48</v>
      </c>
      <c r="B58" s="1">
        <v>2670000</v>
      </c>
      <c r="C58">
        <v>290690</v>
      </c>
      <c r="D58" s="6">
        <v>633333.33333333326</v>
      </c>
      <c r="E58" s="6">
        <f t="shared" si="35"/>
        <v>68952.684144818966</v>
      </c>
      <c r="I58" s="6">
        <f t="shared" si="30"/>
        <v>101712.85892634206</v>
      </c>
      <c r="K58" s="6">
        <f t="shared" si="31"/>
        <v>1133808.9887640448</v>
      </c>
      <c r="L58" s="6">
        <f t="shared" si="31"/>
        <v>242184.76903870158</v>
      </c>
      <c r="O58" s="6">
        <f t="shared" si="32"/>
        <v>166.04244694132333</v>
      </c>
      <c r="Q58" s="6">
        <f t="shared" si="33"/>
        <v>4411.9850187265911</v>
      </c>
      <c r="R58" s="6">
        <f t="shared" si="33"/>
        <v>5906.3670411985013</v>
      </c>
      <c r="S58" s="6">
        <f t="shared" si="33"/>
        <v>31144.818976279646</v>
      </c>
      <c r="T58" s="6">
        <f t="shared" si="33"/>
        <v>619836.45443196001</v>
      </c>
      <c r="W58" s="6">
        <f t="shared" si="34"/>
        <v>332.08489388264667</v>
      </c>
    </row>
    <row r="59" spans="1:23" s="6" customFormat="1" x14ac:dyDescent="0.25">
      <c r="A59" s="10">
        <v>49</v>
      </c>
      <c r="B59" s="1">
        <v>4000000</v>
      </c>
      <c r="C59" s="1">
        <v>597000</v>
      </c>
      <c r="D59" s="6">
        <v>683333.33333333326</v>
      </c>
      <c r="E59" s="6">
        <f t="shared" si="35"/>
        <v>101987.49999999999</v>
      </c>
      <c r="I59" s="6">
        <f t="shared" si="30"/>
        <v>49251.249999999993</v>
      </c>
      <c r="K59" s="6">
        <f t="shared" si="31"/>
        <v>3897869.9999999995</v>
      </c>
      <c r="L59" s="6">
        <f t="shared" si="31"/>
        <v>460464.16666666657</v>
      </c>
      <c r="O59" s="6">
        <f t="shared" si="32"/>
        <v>9071.25</v>
      </c>
      <c r="Q59" s="6">
        <f t="shared" si="33"/>
        <v>27333.333333333328</v>
      </c>
      <c r="R59" s="6">
        <f t="shared" si="33"/>
        <v>14777.08333333333</v>
      </c>
      <c r="S59" s="6">
        <f t="shared" si="33"/>
        <v>32082.499999999993</v>
      </c>
      <c r="T59" s="6">
        <f t="shared" si="33"/>
        <v>861290.41666666651</v>
      </c>
      <c r="W59" s="6">
        <f t="shared" si="34"/>
        <v>6918.7499999999991</v>
      </c>
    </row>
    <row r="60" spans="1:23" s="6" customFormat="1" x14ac:dyDescent="0.25">
      <c r="A60" s="10">
        <v>50</v>
      </c>
      <c r="B60" s="1">
        <v>2900000</v>
      </c>
      <c r="C60" s="1">
        <v>439000</v>
      </c>
      <c r="D60" s="6">
        <v>533333.33333333326</v>
      </c>
      <c r="E60" s="6">
        <f t="shared" si="35"/>
        <v>80735.632183908048</v>
      </c>
      <c r="I60" s="6">
        <f t="shared" si="30"/>
        <v>145710.3448275862</v>
      </c>
      <c r="K60" s="6">
        <f t="shared" si="31"/>
        <v>1608937.9310344828</v>
      </c>
      <c r="L60" s="6">
        <f t="shared" si="31"/>
        <v>223889.6551724138</v>
      </c>
      <c r="O60" s="6">
        <f t="shared" si="32"/>
        <v>2979.3103448275865</v>
      </c>
      <c r="Q60" s="6">
        <f t="shared" si="33"/>
        <v>6400.0000000000009</v>
      </c>
      <c r="R60" s="6">
        <f t="shared" si="33"/>
        <v>5020.6896551724139</v>
      </c>
      <c r="S60" s="6">
        <f t="shared" si="33"/>
        <v>20616.091954022988</v>
      </c>
      <c r="T60" s="6">
        <f t="shared" si="33"/>
        <v>651255.17241379316</v>
      </c>
      <c r="W60" s="6">
        <f t="shared" si="34"/>
        <v>5774.7126436781618</v>
      </c>
    </row>
    <row r="61" spans="1:23" s="6" customFormat="1" x14ac:dyDescent="0.25">
      <c r="A61" s="10">
        <v>51</v>
      </c>
      <c r="B61" s="1">
        <v>1610000</v>
      </c>
      <c r="C61">
        <v>238648</v>
      </c>
      <c r="D61" s="6">
        <v>300000</v>
      </c>
      <c r="E61" s="6">
        <f t="shared" si="35"/>
        <v>44468.571428571428</v>
      </c>
      <c r="I61" s="6">
        <f t="shared" si="30"/>
        <v>18298.136645962735</v>
      </c>
      <c r="K61" s="6">
        <f t="shared" si="31"/>
        <v>1095055.900621118</v>
      </c>
      <c r="L61" s="6">
        <f t="shared" si="31"/>
        <v>179403.72670807454</v>
      </c>
      <c r="O61" s="6">
        <f t="shared" si="32"/>
        <v>391.30434782608694</v>
      </c>
      <c r="Q61" s="6">
        <f t="shared" si="33"/>
        <v>5720.4968944099382</v>
      </c>
      <c r="R61" s="6">
        <f t="shared" si="33"/>
        <v>2403.7267080745341</v>
      </c>
      <c r="S61" s="6">
        <f t="shared" si="33"/>
        <v>9726.7080745341609</v>
      </c>
      <c r="T61" s="6">
        <f t="shared" si="33"/>
        <v>334975.15527950309</v>
      </c>
      <c r="W61" s="6">
        <f t="shared" si="34"/>
        <v>335.40372670807454</v>
      </c>
    </row>
    <row r="62" spans="1:23" s="6" customFormat="1" x14ac:dyDescent="0.25">
      <c r="A62" s="10">
        <v>52</v>
      </c>
      <c r="B62" s="1">
        <v>2860000</v>
      </c>
      <c r="C62">
        <v>222634</v>
      </c>
      <c r="D62" s="6">
        <v>433333.33333333331</v>
      </c>
      <c r="E62" s="6">
        <f t="shared" si="35"/>
        <v>33732.42424242424</v>
      </c>
      <c r="I62" s="6">
        <f t="shared" si="30"/>
        <v>36530.303030303032</v>
      </c>
      <c r="K62" s="6">
        <f t="shared" si="31"/>
        <v>668954.54545454541</v>
      </c>
      <c r="L62" s="6">
        <f t="shared" si="31"/>
        <v>169696.9696969697</v>
      </c>
      <c r="O62" s="6">
        <f t="shared" si="32"/>
        <v>121.2121212121212</v>
      </c>
      <c r="Q62" s="6">
        <f t="shared" si="33"/>
        <v>2166.6666666666665</v>
      </c>
      <c r="R62" s="6">
        <f t="shared" si="33"/>
        <v>1924.242424242424</v>
      </c>
      <c r="S62" s="6">
        <f t="shared" si="33"/>
        <v>6181.818181818182</v>
      </c>
      <c r="T62" s="6">
        <f t="shared" si="33"/>
        <v>385545.45454545453</v>
      </c>
      <c r="W62" s="6">
        <f t="shared" si="34"/>
        <v>0</v>
      </c>
    </row>
    <row r="63" spans="1:23" s="6" customFormat="1" x14ac:dyDescent="0.25">
      <c r="A63" s="10">
        <v>53</v>
      </c>
      <c r="B63" s="1">
        <v>4000000</v>
      </c>
      <c r="C63">
        <v>368273</v>
      </c>
      <c r="D63" s="6">
        <v>550000</v>
      </c>
      <c r="E63" s="6">
        <f t="shared" si="35"/>
        <v>50637.537500000006</v>
      </c>
      <c r="I63" s="6">
        <f t="shared" si="30"/>
        <v>67498.750000000015</v>
      </c>
      <c r="K63" s="6">
        <f t="shared" si="31"/>
        <v>833483.75</v>
      </c>
      <c r="L63" s="6">
        <f t="shared" si="31"/>
        <v>182105</v>
      </c>
      <c r="O63" s="6">
        <f t="shared" si="32"/>
        <v>96.250000000000014</v>
      </c>
      <c r="Q63" s="6">
        <f t="shared" si="33"/>
        <v>1553.7500000000002</v>
      </c>
      <c r="R63" s="6">
        <f t="shared" si="33"/>
        <v>1086.25</v>
      </c>
      <c r="S63" s="6">
        <f t="shared" si="33"/>
        <v>8758.75</v>
      </c>
      <c r="T63" s="6">
        <f t="shared" si="33"/>
        <v>580676.25000000012</v>
      </c>
      <c r="W63" s="6">
        <f t="shared" si="34"/>
        <v>137.50000000000003</v>
      </c>
    </row>
    <row r="64" spans="1:23" s="6" customFormat="1" x14ac:dyDescent="0.25">
      <c r="A64" s="10">
        <v>54</v>
      </c>
      <c r="B64" s="1">
        <v>2790000</v>
      </c>
      <c r="C64">
        <v>256050</v>
      </c>
      <c r="D64" s="6">
        <v>416666.66666666669</v>
      </c>
      <c r="E64" s="6">
        <f t="shared" si="35"/>
        <v>38239.247311827959</v>
      </c>
      <c r="I64" s="6">
        <f t="shared" si="30"/>
        <v>19056.152927120671</v>
      </c>
      <c r="K64" s="6">
        <f t="shared" si="31"/>
        <v>757004.1816009559</v>
      </c>
      <c r="L64" s="6">
        <f t="shared" si="31"/>
        <v>113186.97729988053</v>
      </c>
      <c r="O64" s="6">
        <f t="shared" si="32"/>
        <v>89.605734767025098</v>
      </c>
      <c r="Q64" s="6">
        <f t="shared" si="33"/>
        <v>2613.5005973715652</v>
      </c>
      <c r="R64" s="6">
        <f t="shared" si="33"/>
        <v>1568.1003584229393</v>
      </c>
      <c r="S64" s="6">
        <f t="shared" si="33"/>
        <v>3330.3464755077662</v>
      </c>
      <c r="T64" s="6">
        <f t="shared" si="33"/>
        <v>305301.67264038237</v>
      </c>
      <c r="W64" s="6">
        <f t="shared" si="34"/>
        <v>59.737156511350065</v>
      </c>
    </row>
    <row r="65" spans="1:23" s="6" customFormat="1" x14ac:dyDescent="0.25">
      <c r="A65" s="10">
        <v>55</v>
      </c>
      <c r="B65" s="1">
        <v>2730000</v>
      </c>
      <c r="C65">
        <v>307401</v>
      </c>
      <c r="D65" s="6">
        <v>516666.66666666669</v>
      </c>
      <c r="E65" s="6">
        <f t="shared" si="35"/>
        <v>58177.234432234436</v>
      </c>
      <c r="I65" s="6">
        <f t="shared" si="30"/>
        <v>75020.757020757024</v>
      </c>
      <c r="K65" s="6">
        <f t="shared" si="31"/>
        <v>840936.50793650793</v>
      </c>
      <c r="L65" s="6">
        <f t="shared" si="31"/>
        <v>239672.77167277169</v>
      </c>
      <c r="O65" s="6">
        <f t="shared" si="32"/>
        <v>605.61660561660563</v>
      </c>
      <c r="Q65" s="6">
        <f t="shared" si="33"/>
        <v>3047.0085470085469</v>
      </c>
      <c r="R65" s="6">
        <f t="shared" si="33"/>
        <v>4996.3369963369969</v>
      </c>
      <c r="S65" s="6">
        <f t="shared" si="33"/>
        <v>14213.064713064714</v>
      </c>
      <c r="T65" s="6">
        <f t="shared" si="33"/>
        <v>424139.80463980464</v>
      </c>
      <c r="W65" s="6">
        <f t="shared" si="34"/>
        <v>359.5848595848596</v>
      </c>
    </row>
    <row r="66" spans="1:23" s="6" customFormat="1" x14ac:dyDescent="0.25">
      <c r="A66" s="10">
        <v>56</v>
      </c>
      <c r="B66" s="1">
        <v>3100000</v>
      </c>
      <c r="C66">
        <v>282178</v>
      </c>
      <c r="D66" s="6">
        <v>216666.66666666666</v>
      </c>
      <c r="E66" s="6">
        <f t="shared" si="35"/>
        <v>19722.118279569891</v>
      </c>
      <c r="I66" s="6">
        <f t="shared" si="30"/>
        <v>24329.569892473115</v>
      </c>
      <c r="K66" s="6">
        <f t="shared" si="31"/>
        <v>541722.58064516122</v>
      </c>
      <c r="L66" s="6">
        <f t="shared" si="31"/>
        <v>61959.677419354834</v>
      </c>
      <c r="O66" s="6">
        <f t="shared" si="32"/>
        <v>384.4086021505376</v>
      </c>
      <c r="Q66" s="6">
        <f t="shared" si="33"/>
        <v>2012.9032258064515</v>
      </c>
      <c r="R66" s="6">
        <f t="shared" si="33"/>
        <v>1831.1827956989246</v>
      </c>
      <c r="S66" s="6">
        <f t="shared" si="33"/>
        <v>5102.1505376344085</v>
      </c>
      <c r="T66" s="6">
        <f t="shared" si="33"/>
        <v>166057.52688172041</v>
      </c>
      <c r="W66" s="6">
        <f t="shared" si="34"/>
        <v>1006.4516129032257</v>
      </c>
    </row>
    <row r="67" spans="1:23" s="6" customFormat="1" x14ac:dyDescent="0.25">
      <c r="A67" s="10">
        <v>57</v>
      </c>
      <c r="B67" s="1">
        <v>2380000</v>
      </c>
      <c r="C67">
        <v>215354</v>
      </c>
      <c r="D67" s="6">
        <v>283333.33333333337</v>
      </c>
      <c r="E67" s="6">
        <f t="shared" si="35"/>
        <v>25637.380952380958</v>
      </c>
      <c r="I67" s="6">
        <f t="shared" si="30"/>
        <v>26345.238095238099</v>
      </c>
      <c r="K67" s="6">
        <f t="shared" si="31"/>
        <v>326785.71428571438</v>
      </c>
      <c r="L67" s="6">
        <f t="shared" si="31"/>
        <v>88690.476190476213</v>
      </c>
      <c r="O67" s="6">
        <f t="shared" si="32"/>
        <v>190.47619047619051</v>
      </c>
      <c r="Q67" s="6">
        <f t="shared" si="33"/>
        <v>3023.8095238095243</v>
      </c>
      <c r="R67" s="6">
        <f t="shared" si="33"/>
        <v>821.42857142857156</v>
      </c>
      <c r="S67" s="6">
        <f t="shared" si="33"/>
        <v>5226.190476190478</v>
      </c>
      <c r="T67" s="6">
        <f t="shared" si="33"/>
        <v>75190.476190476213</v>
      </c>
      <c r="W67" s="6">
        <f t="shared" si="34"/>
        <v>119.04761904761907</v>
      </c>
    </row>
    <row r="68" spans="1:23" s="6" customFormat="1" x14ac:dyDescent="0.25">
      <c r="A68" s="10">
        <v>58</v>
      </c>
      <c r="B68" s="1">
        <v>2820000</v>
      </c>
      <c r="C68">
        <v>267132</v>
      </c>
      <c r="D68" s="6">
        <v>433333.33333333331</v>
      </c>
      <c r="E68" s="6">
        <f t="shared" si="35"/>
        <v>41048.652482269506</v>
      </c>
      <c r="I68" s="6">
        <f t="shared" si="30"/>
        <v>52583.924349881796</v>
      </c>
      <c r="K68" s="6">
        <f t="shared" si="31"/>
        <v>710897.16312056745</v>
      </c>
      <c r="L68" s="6">
        <f t="shared" si="31"/>
        <v>154970.44917257683</v>
      </c>
      <c r="O68" s="6">
        <f t="shared" si="32"/>
        <v>0</v>
      </c>
      <c r="Q68" s="6">
        <f t="shared" si="33"/>
        <v>1567.3758865248228</v>
      </c>
      <c r="R68" s="6">
        <f t="shared" si="33"/>
        <v>1951.5366430260049</v>
      </c>
      <c r="S68" s="6">
        <f t="shared" si="33"/>
        <v>13507.092198581562</v>
      </c>
      <c r="T68" s="6">
        <f t="shared" si="33"/>
        <v>387910.16548463359</v>
      </c>
      <c r="W68" s="6">
        <f t="shared" si="34"/>
        <v>0</v>
      </c>
    </row>
    <row r="69" spans="1:23" s="6" customFormat="1" x14ac:dyDescent="0.25">
      <c r="A69" s="10">
        <v>59</v>
      </c>
      <c r="B69" s="1">
        <v>2750000</v>
      </c>
      <c r="C69">
        <v>119255</v>
      </c>
      <c r="D69" s="6">
        <v>366666.66666666663</v>
      </c>
      <c r="E69" s="6">
        <f t="shared" si="35"/>
        <v>15900.666666666666</v>
      </c>
      <c r="I69" s="6">
        <f t="shared" si="30"/>
        <v>13999.999999999998</v>
      </c>
      <c r="K69" s="6">
        <f t="shared" si="31"/>
        <v>111200</v>
      </c>
      <c r="L69" s="6">
        <f t="shared" si="31"/>
        <v>29346.666666666668</v>
      </c>
      <c r="O69" s="6">
        <f t="shared" si="32"/>
        <v>93.333333333333329</v>
      </c>
      <c r="Q69" s="6">
        <f t="shared" si="33"/>
        <v>426.66666666666663</v>
      </c>
      <c r="R69" s="6">
        <f t="shared" si="33"/>
        <v>320</v>
      </c>
      <c r="S69" s="6">
        <f t="shared" si="33"/>
        <v>306.66666666666669</v>
      </c>
      <c r="T69" s="6">
        <f t="shared" si="33"/>
        <v>57333.333333333336</v>
      </c>
      <c r="W69" s="6">
        <f t="shared" si="34"/>
        <v>13.333333333333332</v>
      </c>
    </row>
    <row r="70" spans="1:23" s="12" customFormat="1" x14ac:dyDescent="0.25">
      <c r="A70" s="10">
        <v>60</v>
      </c>
      <c r="B70" s="1">
        <v>4000000</v>
      </c>
      <c r="C70" s="1">
        <v>567000</v>
      </c>
      <c r="D70" s="6">
        <v>600000</v>
      </c>
      <c r="E70" s="6">
        <f t="shared" si="35"/>
        <v>85049.999999999985</v>
      </c>
      <c r="I70" s="6">
        <f t="shared" si="30"/>
        <v>98114.999999999985</v>
      </c>
      <c r="K70" s="6">
        <f t="shared" si="31"/>
        <v>2877869.9999999995</v>
      </c>
      <c r="L70" s="6">
        <f t="shared" si="31"/>
        <v>199124.99999999997</v>
      </c>
      <c r="O70" s="6">
        <f t="shared" si="32"/>
        <v>5759.9999999999991</v>
      </c>
      <c r="Q70" s="6">
        <f t="shared" si="33"/>
        <v>25619.999999999996</v>
      </c>
      <c r="R70" s="6">
        <f t="shared" si="33"/>
        <v>40364.999999999993</v>
      </c>
      <c r="S70" s="6">
        <f t="shared" si="33"/>
        <v>11774.999999999998</v>
      </c>
      <c r="T70" s="6">
        <f t="shared" si="33"/>
        <v>958919.99999999977</v>
      </c>
      <c r="W70" s="6">
        <f t="shared" si="34"/>
        <v>10619.999999999998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B11A-1BE9-454B-BA53-D989BF1F2E13}">
  <dimension ref="A1:AT67"/>
  <sheetViews>
    <sheetView topLeftCell="A21" zoomScale="85" zoomScaleNormal="85" workbookViewId="0">
      <selection activeCell="J71" sqref="J71"/>
    </sheetView>
  </sheetViews>
  <sheetFormatPr defaultColWidth="11" defaultRowHeight="15.75" x14ac:dyDescent="0.25"/>
  <sheetData>
    <row r="1" spans="1:23" x14ac:dyDescent="0.25">
      <c r="A1" t="s">
        <v>31</v>
      </c>
      <c r="B1" t="s">
        <v>32</v>
      </c>
      <c r="C1" t="s">
        <v>33</v>
      </c>
      <c r="D1" t="s">
        <v>34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191</v>
      </c>
      <c r="K1" t="s">
        <v>192</v>
      </c>
      <c r="L1" t="s">
        <v>193</v>
      </c>
      <c r="M1" t="s">
        <v>194</v>
      </c>
      <c r="N1" t="s">
        <v>195</v>
      </c>
      <c r="O1" t="s">
        <v>196</v>
      </c>
      <c r="P1" t="s">
        <v>197</v>
      </c>
      <c r="Q1" t="s">
        <v>198</v>
      </c>
      <c r="R1" t="s">
        <v>199</v>
      </c>
      <c r="S1" t="s">
        <v>225</v>
      </c>
      <c r="T1" t="s">
        <v>244</v>
      </c>
      <c r="U1" t="s">
        <v>245</v>
      </c>
      <c r="V1" t="s">
        <v>246</v>
      </c>
      <c r="W1" t="s">
        <v>247</v>
      </c>
    </row>
    <row r="3" spans="1:23" x14ac:dyDescent="0.25">
      <c r="A3" t="s">
        <v>248</v>
      </c>
      <c r="B3" s="1">
        <v>834000</v>
      </c>
      <c r="C3">
        <v>267144</v>
      </c>
      <c r="D3">
        <v>240325</v>
      </c>
      <c r="E3">
        <v>114538</v>
      </c>
      <c r="F3">
        <v>106581</v>
      </c>
      <c r="G3">
        <v>48080</v>
      </c>
      <c r="H3">
        <v>34412</v>
      </c>
      <c r="I3">
        <v>505</v>
      </c>
      <c r="J3">
        <v>103360</v>
      </c>
      <c r="K3">
        <v>31824</v>
      </c>
      <c r="L3">
        <v>7761</v>
      </c>
      <c r="M3">
        <v>1526</v>
      </c>
      <c r="N3">
        <v>208</v>
      </c>
      <c r="O3">
        <v>14</v>
      </c>
      <c r="P3">
        <v>462</v>
      </c>
      <c r="Q3">
        <v>245</v>
      </c>
      <c r="R3">
        <v>731</v>
      </c>
      <c r="S3">
        <v>1257</v>
      </c>
      <c r="T3">
        <v>10919</v>
      </c>
      <c r="U3">
        <v>1754</v>
      </c>
      <c r="V3">
        <v>146</v>
      </c>
      <c r="W3">
        <v>2</v>
      </c>
    </row>
    <row r="4" spans="1:23" x14ac:dyDescent="0.25">
      <c r="A4" t="s">
        <v>249</v>
      </c>
      <c r="B4" s="1">
        <v>2580000</v>
      </c>
      <c r="C4" s="1">
        <v>528000</v>
      </c>
      <c r="D4" s="1">
        <v>455000</v>
      </c>
      <c r="E4">
        <v>181914</v>
      </c>
      <c r="F4">
        <v>150741</v>
      </c>
      <c r="G4">
        <v>91328</v>
      </c>
      <c r="H4">
        <v>64879</v>
      </c>
      <c r="I4">
        <v>1530</v>
      </c>
      <c r="J4">
        <v>142400</v>
      </c>
      <c r="K4">
        <v>42046</v>
      </c>
      <c r="L4">
        <v>8026</v>
      </c>
      <c r="M4">
        <v>2822</v>
      </c>
      <c r="N4">
        <v>134</v>
      </c>
      <c r="O4">
        <v>2</v>
      </c>
      <c r="P4">
        <v>368</v>
      </c>
      <c r="Q4">
        <v>214</v>
      </c>
      <c r="R4">
        <v>397</v>
      </c>
      <c r="S4">
        <v>1035</v>
      </c>
      <c r="T4">
        <v>12746</v>
      </c>
      <c r="U4">
        <v>2291</v>
      </c>
      <c r="V4">
        <v>165</v>
      </c>
      <c r="W4">
        <v>5</v>
      </c>
    </row>
    <row r="5" spans="1:23" x14ac:dyDescent="0.25">
      <c r="A5" t="s">
        <v>250</v>
      </c>
      <c r="B5" s="1">
        <v>1870000</v>
      </c>
      <c r="C5" s="1">
        <v>572000</v>
      </c>
      <c r="D5" s="1">
        <v>506000</v>
      </c>
      <c r="E5">
        <v>207788</v>
      </c>
      <c r="F5">
        <v>185370</v>
      </c>
      <c r="G5">
        <v>98787</v>
      </c>
      <c r="H5">
        <v>58057</v>
      </c>
      <c r="I5">
        <v>2874</v>
      </c>
      <c r="J5">
        <v>173110</v>
      </c>
      <c r="K5">
        <v>58333</v>
      </c>
      <c r="L5">
        <v>9331</v>
      </c>
      <c r="M5">
        <v>4759</v>
      </c>
      <c r="N5">
        <v>289</v>
      </c>
      <c r="O5">
        <v>74</v>
      </c>
      <c r="P5">
        <v>510</v>
      </c>
      <c r="Q5">
        <v>353</v>
      </c>
      <c r="R5">
        <v>421</v>
      </c>
      <c r="S5">
        <v>627</v>
      </c>
      <c r="T5">
        <v>15459</v>
      </c>
      <c r="U5">
        <v>4452</v>
      </c>
      <c r="V5">
        <v>313</v>
      </c>
      <c r="W5">
        <v>50</v>
      </c>
    </row>
    <row r="6" spans="1:23" x14ac:dyDescent="0.25">
      <c r="A6" t="s">
        <v>251</v>
      </c>
      <c r="B6" s="1">
        <v>1830000</v>
      </c>
      <c r="C6">
        <v>397063</v>
      </c>
      <c r="D6">
        <v>337421</v>
      </c>
      <c r="E6">
        <v>73419</v>
      </c>
      <c r="F6">
        <v>61196</v>
      </c>
      <c r="G6">
        <v>37170</v>
      </c>
      <c r="H6">
        <v>24994</v>
      </c>
      <c r="I6">
        <v>1244</v>
      </c>
      <c r="J6">
        <v>53671</v>
      </c>
      <c r="K6">
        <v>16592</v>
      </c>
      <c r="L6">
        <v>4160</v>
      </c>
      <c r="M6">
        <v>1598</v>
      </c>
      <c r="N6">
        <v>634</v>
      </c>
      <c r="O6">
        <v>10</v>
      </c>
      <c r="P6">
        <v>224</v>
      </c>
      <c r="Q6">
        <v>151</v>
      </c>
      <c r="R6">
        <v>400</v>
      </c>
      <c r="S6">
        <v>591</v>
      </c>
      <c r="T6">
        <v>3834</v>
      </c>
      <c r="U6">
        <v>1232</v>
      </c>
      <c r="V6">
        <v>191</v>
      </c>
      <c r="W6">
        <v>4</v>
      </c>
    </row>
    <row r="7" spans="1:23" x14ac:dyDescent="0.25">
      <c r="A7" t="s">
        <v>252</v>
      </c>
      <c r="B7" s="1">
        <v>1040000</v>
      </c>
      <c r="C7">
        <v>340700</v>
      </c>
      <c r="D7">
        <v>301251</v>
      </c>
      <c r="E7">
        <v>156899</v>
      </c>
      <c r="F7">
        <v>116907</v>
      </c>
      <c r="G7">
        <v>60572</v>
      </c>
      <c r="H7">
        <v>45883</v>
      </c>
      <c r="I7">
        <v>1113</v>
      </c>
      <c r="J7">
        <v>111758</v>
      </c>
      <c r="K7">
        <v>22149</v>
      </c>
      <c r="L7">
        <v>7438</v>
      </c>
      <c r="M7">
        <v>5240</v>
      </c>
      <c r="N7">
        <v>185</v>
      </c>
      <c r="O7">
        <v>0</v>
      </c>
      <c r="P7">
        <v>199</v>
      </c>
      <c r="Q7">
        <v>126</v>
      </c>
      <c r="R7">
        <v>528</v>
      </c>
      <c r="S7">
        <v>492</v>
      </c>
      <c r="T7">
        <v>6575</v>
      </c>
      <c r="U7">
        <v>2638</v>
      </c>
      <c r="V7">
        <v>213</v>
      </c>
      <c r="W7">
        <v>0</v>
      </c>
    </row>
    <row r="8" spans="1:23" x14ac:dyDescent="0.25">
      <c r="A8" t="s">
        <v>253</v>
      </c>
      <c r="B8" s="1">
        <v>2780000</v>
      </c>
      <c r="C8" s="1">
        <v>693000</v>
      </c>
      <c r="D8" s="1">
        <v>597000</v>
      </c>
      <c r="E8">
        <v>319596</v>
      </c>
      <c r="F8">
        <v>298057</v>
      </c>
      <c r="G8">
        <v>164924</v>
      </c>
      <c r="H8">
        <v>117323</v>
      </c>
      <c r="I8">
        <v>5177</v>
      </c>
      <c r="J8">
        <v>279651</v>
      </c>
      <c r="K8">
        <v>70326</v>
      </c>
      <c r="L8">
        <v>27116</v>
      </c>
      <c r="M8">
        <v>15279</v>
      </c>
      <c r="N8">
        <v>208</v>
      </c>
      <c r="O8">
        <v>11</v>
      </c>
      <c r="P8">
        <v>658</v>
      </c>
      <c r="Q8">
        <v>351</v>
      </c>
      <c r="R8">
        <v>773</v>
      </c>
      <c r="S8">
        <v>1546</v>
      </c>
      <c r="T8">
        <v>23044</v>
      </c>
      <c r="U8">
        <v>9961</v>
      </c>
      <c r="V8">
        <v>280</v>
      </c>
      <c r="W8">
        <v>1</v>
      </c>
    </row>
    <row r="9" spans="1:23" x14ac:dyDescent="0.25">
      <c r="A9" t="s">
        <v>254</v>
      </c>
      <c r="B9" s="1">
        <v>3580000</v>
      </c>
      <c r="C9" s="1">
        <v>793000</v>
      </c>
      <c r="D9" s="1">
        <v>655000</v>
      </c>
      <c r="E9">
        <v>319704</v>
      </c>
      <c r="F9">
        <v>286245</v>
      </c>
      <c r="G9">
        <v>171096</v>
      </c>
      <c r="H9">
        <v>125665</v>
      </c>
      <c r="I9">
        <v>21082</v>
      </c>
      <c r="J9">
        <v>233244</v>
      </c>
      <c r="K9">
        <v>60006</v>
      </c>
      <c r="L9">
        <v>29568</v>
      </c>
      <c r="M9">
        <v>17896</v>
      </c>
      <c r="N9">
        <v>208</v>
      </c>
      <c r="O9">
        <v>1</v>
      </c>
      <c r="P9">
        <v>638</v>
      </c>
      <c r="Q9">
        <v>331</v>
      </c>
      <c r="R9">
        <v>872</v>
      </c>
      <c r="S9">
        <v>1829</v>
      </c>
      <c r="T9">
        <v>25027</v>
      </c>
      <c r="U9">
        <v>10238</v>
      </c>
      <c r="V9">
        <v>203</v>
      </c>
      <c r="W9">
        <v>1</v>
      </c>
    </row>
    <row r="10" spans="1:23" x14ac:dyDescent="0.25">
      <c r="A10" t="s">
        <v>255</v>
      </c>
      <c r="B10" s="1">
        <v>4050000</v>
      </c>
      <c r="C10" s="1">
        <v>1000000</v>
      </c>
      <c r="D10" s="1">
        <v>841000</v>
      </c>
      <c r="E10">
        <v>377262</v>
      </c>
      <c r="F10">
        <v>340645</v>
      </c>
      <c r="G10">
        <v>239706</v>
      </c>
      <c r="H10">
        <v>151142</v>
      </c>
      <c r="I10">
        <v>4719</v>
      </c>
      <c r="J10">
        <v>310952</v>
      </c>
      <c r="K10">
        <v>108457</v>
      </c>
      <c r="L10">
        <v>19970</v>
      </c>
      <c r="M10">
        <v>11241</v>
      </c>
      <c r="N10">
        <v>694</v>
      </c>
      <c r="O10">
        <v>208</v>
      </c>
      <c r="P10">
        <v>1205</v>
      </c>
      <c r="Q10">
        <v>668</v>
      </c>
      <c r="R10">
        <v>1003</v>
      </c>
      <c r="S10">
        <v>2426</v>
      </c>
      <c r="T10">
        <v>23208</v>
      </c>
      <c r="U10">
        <v>12381</v>
      </c>
      <c r="V10">
        <v>940</v>
      </c>
      <c r="W10">
        <v>225</v>
      </c>
    </row>
    <row r="11" spans="1:23" x14ac:dyDescent="0.25">
      <c r="A11" t="s">
        <v>256</v>
      </c>
      <c r="B11" s="1">
        <v>3370000</v>
      </c>
      <c r="C11" s="1">
        <v>755000</v>
      </c>
      <c r="D11" s="1">
        <v>652000</v>
      </c>
      <c r="E11">
        <v>232656</v>
      </c>
      <c r="F11">
        <v>206681</v>
      </c>
      <c r="G11">
        <v>128281</v>
      </c>
      <c r="H11">
        <v>84044</v>
      </c>
      <c r="I11">
        <v>3325</v>
      </c>
      <c r="J11">
        <v>191267</v>
      </c>
      <c r="K11">
        <v>72696</v>
      </c>
      <c r="L11">
        <v>17289</v>
      </c>
      <c r="M11">
        <v>4889</v>
      </c>
      <c r="N11">
        <v>196</v>
      </c>
      <c r="O11">
        <v>39</v>
      </c>
      <c r="P11">
        <v>1054</v>
      </c>
      <c r="Q11">
        <v>610</v>
      </c>
      <c r="R11">
        <v>840</v>
      </c>
      <c r="S11">
        <v>1472</v>
      </c>
      <c r="T11">
        <v>25583</v>
      </c>
      <c r="U11">
        <v>5991</v>
      </c>
      <c r="V11">
        <v>307</v>
      </c>
      <c r="W11">
        <v>65</v>
      </c>
    </row>
    <row r="12" spans="1:23" x14ac:dyDescent="0.25">
      <c r="A12" t="s">
        <v>257</v>
      </c>
      <c r="B12" s="1">
        <v>4010000</v>
      </c>
      <c r="C12" s="1">
        <v>865000</v>
      </c>
      <c r="D12" s="1">
        <v>724000</v>
      </c>
      <c r="E12">
        <v>348877</v>
      </c>
      <c r="F12">
        <v>310989</v>
      </c>
      <c r="G12">
        <v>162968</v>
      </c>
      <c r="H12">
        <v>133481</v>
      </c>
      <c r="I12">
        <v>15917</v>
      </c>
      <c r="J12">
        <v>265901</v>
      </c>
      <c r="K12">
        <v>36283</v>
      </c>
      <c r="L12">
        <v>16391</v>
      </c>
      <c r="M12">
        <v>8220</v>
      </c>
      <c r="N12">
        <v>184</v>
      </c>
      <c r="O12">
        <v>1</v>
      </c>
      <c r="P12">
        <v>298</v>
      </c>
      <c r="Q12">
        <v>149</v>
      </c>
      <c r="R12">
        <v>246</v>
      </c>
      <c r="S12">
        <v>1430</v>
      </c>
      <c r="T12">
        <v>14846</v>
      </c>
      <c r="U12">
        <v>5104</v>
      </c>
      <c r="V12">
        <v>235</v>
      </c>
      <c r="W12">
        <v>1</v>
      </c>
    </row>
    <row r="13" spans="1:23" x14ac:dyDescent="0.25">
      <c r="A13" t="s">
        <v>258</v>
      </c>
      <c r="B13" s="1">
        <v>3340000</v>
      </c>
      <c r="C13" s="1">
        <v>1250000</v>
      </c>
      <c r="D13" s="1">
        <v>1090000</v>
      </c>
      <c r="E13" s="1">
        <v>652000</v>
      </c>
      <c r="F13" s="1">
        <v>571000</v>
      </c>
      <c r="G13" s="1">
        <v>423000</v>
      </c>
      <c r="H13">
        <v>320086</v>
      </c>
      <c r="I13">
        <v>18240</v>
      </c>
      <c r="J13" s="1">
        <v>500000</v>
      </c>
      <c r="K13">
        <v>153314</v>
      </c>
      <c r="L13">
        <v>23555</v>
      </c>
      <c r="M13">
        <v>4388</v>
      </c>
      <c r="N13">
        <v>419</v>
      </c>
      <c r="O13">
        <v>173</v>
      </c>
      <c r="P13">
        <v>1693</v>
      </c>
      <c r="Q13">
        <v>753</v>
      </c>
      <c r="R13">
        <v>862</v>
      </c>
      <c r="S13">
        <v>3677</v>
      </c>
      <c r="T13">
        <v>32808</v>
      </c>
      <c r="U13">
        <v>6049</v>
      </c>
      <c r="V13">
        <v>540</v>
      </c>
      <c r="W13">
        <v>201</v>
      </c>
    </row>
    <row r="14" spans="1:23" x14ac:dyDescent="0.25">
      <c r="A14" t="s">
        <v>259</v>
      </c>
      <c r="B14" s="1">
        <v>3750000</v>
      </c>
      <c r="C14" s="1">
        <v>834000</v>
      </c>
      <c r="D14" s="1">
        <v>717000</v>
      </c>
      <c r="E14">
        <v>387245</v>
      </c>
      <c r="F14">
        <v>320753</v>
      </c>
      <c r="G14">
        <v>150144</v>
      </c>
      <c r="H14">
        <v>106797</v>
      </c>
      <c r="I14">
        <v>6542</v>
      </c>
      <c r="J14">
        <v>289812</v>
      </c>
      <c r="K14">
        <v>55085</v>
      </c>
      <c r="L14">
        <v>9968</v>
      </c>
      <c r="M14">
        <v>3974</v>
      </c>
      <c r="N14">
        <v>114</v>
      </c>
      <c r="O14">
        <v>3</v>
      </c>
      <c r="P14">
        <v>414</v>
      </c>
      <c r="Q14">
        <v>221</v>
      </c>
      <c r="R14">
        <v>362</v>
      </c>
      <c r="S14">
        <v>1025</v>
      </c>
      <c r="T14">
        <v>33593</v>
      </c>
      <c r="U14">
        <v>9331</v>
      </c>
      <c r="V14">
        <v>572</v>
      </c>
      <c r="W14">
        <v>1</v>
      </c>
    </row>
    <row r="15" spans="1:23" x14ac:dyDescent="0.25">
      <c r="A15" t="s">
        <v>260</v>
      </c>
      <c r="B15" s="1">
        <v>1200000</v>
      </c>
      <c r="C15">
        <v>379212</v>
      </c>
      <c r="D15">
        <v>343298</v>
      </c>
      <c r="E15">
        <v>151038</v>
      </c>
      <c r="F15">
        <v>138184</v>
      </c>
      <c r="G15">
        <v>93582</v>
      </c>
      <c r="H15">
        <v>70021</v>
      </c>
      <c r="I15">
        <v>1343</v>
      </c>
      <c r="J15">
        <v>131500</v>
      </c>
      <c r="K15">
        <v>40600</v>
      </c>
      <c r="L15">
        <v>8936</v>
      </c>
      <c r="M15">
        <v>1951</v>
      </c>
      <c r="N15">
        <v>100</v>
      </c>
      <c r="O15">
        <v>14</v>
      </c>
      <c r="P15">
        <v>575</v>
      </c>
      <c r="Q15">
        <v>391</v>
      </c>
      <c r="R15">
        <v>808</v>
      </c>
      <c r="S15">
        <v>989</v>
      </c>
      <c r="T15">
        <v>6159</v>
      </c>
      <c r="U15">
        <v>1708</v>
      </c>
      <c r="V15">
        <v>119</v>
      </c>
      <c r="W15">
        <v>22</v>
      </c>
    </row>
    <row r="16" spans="1:23" x14ac:dyDescent="0.25">
      <c r="A16" t="s">
        <v>261</v>
      </c>
      <c r="B16" s="1">
        <v>2300000</v>
      </c>
      <c r="C16" s="1">
        <v>505000</v>
      </c>
      <c r="D16" s="1">
        <v>424000</v>
      </c>
      <c r="E16">
        <v>182808</v>
      </c>
      <c r="F16">
        <v>160869</v>
      </c>
      <c r="G16">
        <v>85021</v>
      </c>
      <c r="H16">
        <v>61177</v>
      </c>
      <c r="I16">
        <v>4802</v>
      </c>
      <c r="J16">
        <v>140836</v>
      </c>
      <c r="K16">
        <v>38120</v>
      </c>
      <c r="L16">
        <v>9561</v>
      </c>
      <c r="M16">
        <v>2272</v>
      </c>
      <c r="N16">
        <v>97</v>
      </c>
      <c r="O16">
        <v>7</v>
      </c>
      <c r="P16">
        <v>368</v>
      </c>
      <c r="Q16">
        <v>216</v>
      </c>
      <c r="R16">
        <v>426</v>
      </c>
      <c r="S16">
        <v>1038</v>
      </c>
      <c r="T16">
        <v>20035</v>
      </c>
      <c r="U16">
        <v>4374</v>
      </c>
      <c r="V16">
        <v>186</v>
      </c>
      <c r="W16">
        <v>4</v>
      </c>
    </row>
    <row r="17" spans="1:23" ht="27" customHeight="1" x14ac:dyDescent="0.25">
      <c r="B17" s="1" t="s">
        <v>70</v>
      </c>
      <c r="C17" s="1" t="s">
        <v>71</v>
      </c>
      <c r="D17" s="1" t="s">
        <v>72</v>
      </c>
      <c r="E17" s="1" t="s">
        <v>73</v>
      </c>
      <c r="F17" s="1" t="s">
        <v>74</v>
      </c>
      <c r="G17" s="1" t="s">
        <v>75</v>
      </c>
      <c r="H17" s="1" t="s">
        <v>76</v>
      </c>
      <c r="I17" s="3" t="s">
        <v>18</v>
      </c>
      <c r="J17" s="1" t="s">
        <v>77</v>
      </c>
      <c r="K17" s="3" t="s">
        <v>12</v>
      </c>
      <c r="L17" s="3" t="s">
        <v>79</v>
      </c>
      <c r="O17" s="4" t="s">
        <v>80</v>
      </c>
      <c r="Q17" s="4" t="s">
        <v>25</v>
      </c>
      <c r="R17" s="4" t="s">
        <v>81</v>
      </c>
      <c r="S17" s="4" t="s">
        <v>82</v>
      </c>
      <c r="T17" s="4" t="s">
        <v>83</v>
      </c>
      <c r="W17" s="4" t="s">
        <v>84</v>
      </c>
    </row>
    <row r="18" spans="1:23" x14ac:dyDescent="0.25">
      <c r="B18" s="1"/>
      <c r="I18" s="4"/>
      <c r="K18" s="4"/>
      <c r="L18" s="4"/>
      <c r="O18" s="4"/>
      <c r="Q18" s="4"/>
      <c r="R18" s="4"/>
      <c r="S18" s="4"/>
      <c r="T18" s="4"/>
      <c r="W18" s="4"/>
    </row>
    <row r="19" spans="1:23" s="7" customFormat="1" x14ac:dyDescent="0.25">
      <c r="A19" s="7" t="s">
        <v>85</v>
      </c>
    </row>
    <row r="20" spans="1:23" ht="27" customHeight="1" x14ac:dyDescent="0.25">
      <c r="A20" s="7"/>
      <c r="B20" s="1" t="s">
        <v>70</v>
      </c>
      <c r="C20" s="1" t="s">
        <v>71</v>
      </c>
      <c r="D20" s="1" t="s">
        <v>72</v>
      </c>
      <c r="E20" s="1" t="s">
        <v>73</v>
      </c>
      <c r="F20" s="1" t="s">
        <v>74</v>
      </c>
      <c r="G20" s="1" t="s">
        <v>75</v>
      </c>
      <c r="H20" s="1" t="s">
        <v>76</v>
      </c>
      <c r="I20" s="3" t="s">
        <v>18</v>
      </c>
      <c r="J20" s="1" t="s">
        <v>77</v>
      </c>
      <c r="K20" s="3" t="s">
        <v>12</v>
      </c>
      <c r="L20" s="3" t="s">
        <v>79</v>
      </c>
      <c r="O20" s="4" t="s">
        <v>80</v>
      </c>
      <c r="Q20" s="4" t="s">
        <v>25</v>
      </c>
      <c r="R20" s="4" t="s">
        <v>81</v>
      </c>
      <c r="S20" s="4" t="s">
        <v>82</v>
      </c>
      <c r="T20" s="4" t="s">
        <v>83</v>
      </c>
      <c r="W20" s="4" t="s">
        <v>84</v>
      </c>
    </row>
    <row r="21" spans="1:23" x14ac:dyDescent="0.25">
      <c r="A21" s="7">
        <v>16</v>
      </c>
      <c r="F21" s="1">
        <f>100*F3/$E3</f>
        <v>93.052960589498682</v>
      </c>
      <c r="G21" s="1">
        <f t="shared" ref="G21:W21" si="0">100*G3/$E3</f>
        <v>41.977335032914837</v>
      </c>
      <c r="H21" s="1">
        <f t="shared" si="0"/>
        <v>30.044177478216838</v>
      </c>
      <c r="I21" s="1">
        <f t="shared" si="0"/>
        <v>0.44090170947633101</v>
      </c>
      <c r="J21" s="1">
        <f t="shared" si="0"/>
        <v>90.240793448462526</v>
      </c>
      <c r="K21" s="1">
        <f t="shared" si="0"/>
        <v>27.784665351237145</v>
      </c>
      <c r="L21" s="1">
        <f t="shared" si="0"/>
        <v>6.7759171628629797</v>
      </c>
      <c r="M21" s="1">
        <f t="shared" si="0"/>
        <v>1.3323089280413487</v>
      </c>
      <c r="N21" s="1">
        <f t="shared" si="0"/>
        <v>0.18159911994272643</v>
      </c>
      <c r="O21" s="1">
        <f t="shared" si="0"/>
        <v>1.222301768845274E-2</v>
      </c>
      <c r="P21" s="1">
        <f t="shared" si="0"/>
        <v>0.40335958371894043</v>
      </c>
      <c r="Q21" s="1">
        <f t="shared" si="0"/>
        <v>0.21390280954792296</v>
      </c>
      <c r="R21" s="1">
        <f t="shared" si="0"/>
        <v>0.63821613787563958</v>
      </c>
      <c r="S21" s="1">
        <f t="shared" si="0"/>
        <v>1.0974523738846496</v>
      </c>
      <c r="T21" s="1">
        <f t="shared" si="0"/>
        <v>9.5330807243011044</v>
      </c>
      <c r="U21" s="1">
        <f t="shared" si="0"/>
        <v>1.531369501824722</v>
      </c>
      <c r="V21" s="1">
        <f t="shared" si="0"/>
        <v>0.12746861303672144</v>
      </c>
      <c r="W21" s="1">
        <f t="shared" si="0"/>
        <v>1.7461453840646771E-3</v>
      </c>
    </row>
    <row r="22" spans="1:23" x14ac:dyDescent="0.25">
      <c r="A22" s="7">
        <v>17</v>
      </c>
      <c r="F22" s="1">
        <f t="shared" ref="F22:R33" si="1">100*F4/$E4</f>
        <v>82.863880734852728</v>
      </c>
      <c r="G22" s="1">
        <f t="shared" si="1"/>
        <v>50.203942522290752</v>
      </c>
      <c r="H22" s="1">
        <f t="shared" si="1"/>
        <v>35.664654726958894</v>
      </c>
      <c r="I22" s="1">
        <f t="shared" si="1"/>
        <v>0.84105676308585375</v>
      </c>
      <c r="J22" s="1">
        <f t="shared" si="1"/>
        <v>78.278747100278153</v>
      </c>
      <c r="K22" s="1">
        <f t="shared" si="1"/>
        <v>23.113119386083532</v>
      </c>
      <c r="L22" s="1">
        <f t="shared" si="1"/>
        <v>4.4119748892333739</v>
      </c>
      <c r="M22" s="1">
        <f t="shared" si="1"/>
        <v>1.5512824741361302</v>
      </c>
      <c r="N22" s="1">
        <f t="shared" si="1"/>
        <v>7.3661180557846012E-2</v>
      </c>
      <c r="O22" s="1">
        <f t="shared" si="1"/>
        <v>1.0994206053409853E-3</v>
      </c>
      <c r="P22" s="1">
        <f t="shared" si="1"/>
        <v>0.2022933913827413</v>
      </c>
      <c r="Q22" s="1">
        <f t="shared" si="1"/>
        <v>0.11763800477148542</v>
      </c>
      <c r="R22" s="1">
        <f t="shared" si="1"/>
        <v>0.21823499016018558</v>
      </c>
      <c r="S22" s="1">
        <f t="shared" ref="S22:W22" si="2">100*S4/$E4</f>
        <v>0.56895016326395986</v>
      </c>
      <c r="T22" s="1">
        <f t="shared" si="2"/>
        <v>7.0066075178380993</v>
      </c>
      <c r="U22" s="1">
        <f t="shared" si="2"/>
        <v>1.2593863034180988</v>
      </c>
      <c r="V22" s="1">
        <f t="shared" si="2"/>
        <v>9.0702199940631292E-2</v>
      </c>
      <c r="W22" s="1">
        <f t="shared" si="2"/>
        <v>2.7485515133524631E-3</v>
      </c>
    </row>
    <row r="23" spans="1:23" x14ac:dyDescent="0.25">
      <c r="A23" s="7">
        <v>18</v>
      </c>
      <c r="F23" s="1">
        <f t="shared" si="1"/>
        <v>89.211119025160258</v>
      </c>
      <c r="G23" s="1">
        <f t="shared" si="1"/>
        <v>47.542206479681212</v>
      </c>
      <c r="H23" s="1">
        <f t="shared" si="1"/>
        <v>27.940497045065161</v>
      </c>
      <c r="I23" s="1">
        <f t="shared" si="1"/>
        <v>1.383140508595299</v>
      </c>
      <c r="J23" s="1">
        <f t="shared" si="1"/>
        <v>83.310874545209543</v>
      </c>
      <c r="K23" s="1">
        <f t="shared" si="1"/>
        <v>28.073324734825881</v>
      </c>
      <c r="L23" s="1">
        <f t="shared" si="1"/>
        <v>4.4906346853523784</v>
      </c>
      <c r="M23" s="1">
        <f t="shared" si="1"/>
        <v>2.2903151288813599</v>
      </c>
      <c r="N23" s="1">
        <f t="shared" si="1"/>
        <v>0.13908406645234567</v>
      </c>
      <c r="O23" s="1">
        <f t="shared" si="1"/>
        <v>3.5613221167728644E-2</v>
      </c>
      <c r="P23" s="1">
        <f t="shared" si="1"/>
        <v>0.24544247021002175</v>
      </c>
      <c r="Q23" s="1">
        <f t="shared" si="1"/>
        <v>0.16988469016497584</v>
      </c>
      <c r="R23" s="1">
        <f t="shared" si="1"/>
        <v>0.2026103528596454</v>
      </c>
      <c r="S23" s="1">
        <f t="shared" ref="S23:W23" si="3">100*S5/$E5</f>
        <v>0.30174986043467378</v>
      </c>
      <c r="T23" s="1">
        <f t="shared" si="3"/>
        <v>7.439794405836718</v>
      </c>
      <c r="U23" s="1">
        <f t="shared" si="3"/>
        <v>2.1425683870098369</v>
      </c>
      <c r="V23" s="1">
        <f t="shared" si="3"/>
        <v>0.15063430034458197</v>
      </c>
      <c r="W23" s="1">
        <f t="shared" si="3"/>
        <v>2.4062987275492328E-2</v>
      </c>
    </row>
    <row r="24" spans="1:23" x14ac:dyDescent="0.25">
      <c r="A24" s="7">
        <v>19</v>
      </c>
      <c r="F24" s="1">
        <f t="shared" si="1"/>
        <v>83.35172094416977</v>
      </c>
      <c r="G24" s="1">
        <f t="shared" si="1"/>
        <v>50.627221836309403</v>
      </c>
      <c r="H24" s="1">
        <f t="shared" si="1"/>
        <v>34.042958907094892</v>
      </c>
      <c r="I24" s="1">
        <f t="shared" si="1"/>
        <v>1.6943842874460289</v>
      </c>
      <c r="J24" s="1">
        <f t="shared" si="1"/>
        <v>73.102330459417857</v>
      </c>
      <c r="K24" s="1">
        <f t="shared" si="1"/>
        <v>22.599054740598483</v>
      </c>
      <c r="L24" s="1">
        <f t="shared" si="1"/>
        <v>5.6661082281153377</v>
      </c>
      <c r="M24" s="1">
        <f t="shared" si="1"/>
        <v>2.1765483049346899</v>
      </c>
      <c r="N24" s="1">
        <f t="shared" si="1"/>
        <v>0.86353668668873185</v>
      </c>
      <c r="O24" s="1">
        <f t="shared" si="1"/>
        <v>1.3620452471431101E-2</v>
      </c>
      <c r="P24" s="1">
        <f t="shared" si="1"/>
        <v>0.30509813536005664</v>
      </c>
      <c r="Q24" s="1">
        <f t="shared" si="1"/>
        <v>0.20566883231860963</v>
      </c>
      <c r="R24" s="1">
        <f t="shared" si="1"/>
        <v>0.54481809885724408</v>
      </c>
      <c r="S24" s="1">
        <f t="shared" ref="S24:W24" si="4">100*S6/$E6</f>
        <v>0.80496874106157812</v>
      </c>
      <c r="T24" s="1">
        <f t="shared" si="4"/>
        <v>5.2220814775466842</v>
      </c>
      <c r="U24" s="1">
        <f t="shared" si="4"/>
        <v>1.6780397444803117</v>
      </c>
      <c r="V24" s="1">
        <f t="shared" si="4"/>
        <v>0.26015064220433404</v>
      </c>
      <c r="W24" s="1">
        <f t="shared" si="4"/>
        <v>5.4481809885724404E-3</v>
      </c>
    </row>
    <row r="25" spans="1:23" x14ac:dyDescent="0.25">
      <c r="A25" s="7">
        <v>20</v>
      </c>
      <c r="F25" s="1">
        <f t="shared" si="1"/>
        <v>74.510991147171111</v>
      </c>
      <c r="G25" s="1">
        <f t="shared" si="1"/>
        <v>38.605727251289046</v>
      </c>
      <c r="H25" s="1">
        <f t="shared" si="1"/>
        <v>29.243653560570813</v>
      </c>
      <c r="I25" s="1">
        <f t="shared" si="1"/>
        <v>0.70937354603917169</v>
      </c>
      <c r="J25" s="1">
        <f t="shared" si="1"/>
        <v>71.229262136788634</v>
      </c>
      <c r="K25" s="1">
        <f t="shared" si="1"/>
        <v>14.116724771987075</v>
      </c>
      <c r="L25" s="1">
        <f t="shared" si="1"/>
        <v>4.7406293220479414</v>
      </c>
      <c r="M25" s="1">
        <f t="shared" si="1"/>
        <v>3.3397281053416528</v>
      </c>
      <c r="N25" s="1">
        <f t="shared" si="1"/>
        <v>0.1179102479939324</v>
      </c>
      <c r="O25" s="1">
        <f t="shared" si="1"/>
        <v>0</v>
      </c>
      <c r="P25" s="1">
        <f t="shared" si="1"/>
        <v>0.12683318567995971</v>
      </c>
      <c r="Q25" s="1">
        <f t="shared" si="1"/>
        <v>8.0306439174245847E-2</v>
      </c>
      <c r="R25" s="1">
        <f t="shared" si="1"/>
        <v>0.33652222130160164</v>
      </c>
      <c r="S25" s="1">
        <f t="shared" ref="S25:W25" si="5">100*S7/$E7</f>
        <v>0.31357752439467429</v>
      </c>
      <c r="T25" s="1">
        <f t="shared" si="5"/>
        <v>4.1905939489735431</v>
      </c>
      <c r="U25" s="1">
        <f t="shared" si="5"/>
        <v>1.6813364011242902</v>
      </c>
      <c r="V25" s="1">
        <f t="shared" si="5"/>
        <v>0.13575612336598702</v>
      </c>
      <c r="W25" s="1">
        <f t="shared" si="5"/>
        <v>0</v>
      </c>
    </row>
    <row r="26" spans="1:23" x14ac:dyDescent="0.25">
      <c r="A26" s="7">
        <v>21</v>
      </c>
      <c r="F26" s="1">
        <f t="shared" si="1"/>
        <v>93.260553949361068</v>
      </c>
      <c r="G26" s="1">
        <f t="shared" si="1"/>
        <v>51.603899923653614</v>
      </c>
      <c r="H26" s="1">
        <f t="shared" si="1"/>
        <v>36.70978360179727</v>
      </c>
      <c r="I26" s="1">
        <f t="shared" si="1"/>
        <v>1.6198575701823552</v>
      </c>
      <c r="J26" s="1">
        <f t="shared" si="1"/>
        <v>87.501408027634895</v>
      </c>
      <c r="K26" s="1">
        <f t="shared" si="1"/>
        <v>22.004655878046034</v>
      </c>
      <c r="L26" s="1">
        <f t="shared" si="1"/>
        <v>8.4844616328114242</v>
      </c>
      <c r="M26" s="1">
        <f t="shared" si="1"/>
        <v>4.7807231629932794</v>
      </c>
      <c r="N26" s="1">
        <f t="shared" si="1"/>
        <v>6.5082166234871522E-2</v>
      </c>
      <c r="O26" s="1">
        <f t="shared" si="1"/>
        <v>3.4418453297287827E-3</v>
      </c>
      <c r="P26" s="1">
        <f t="shared" si="1"/>
        <v>0.20588492972377626</v>
      </c>
      <c r="Q26" s="1">
        <f t="shared" si="1"/>
        <v>0.1098261555213457</v>
      </c>
      <c r="R26" s="1">
        <f t="shared" si="1"/>
        <v>0.24186785817094081</v>
      </c>
      <c r="S26" s="1">
        <f t="shared" ref="S26:W26" si="6">100*S8/$E8</f>
        <v>0.48373571634188162</v>
      </c>
      <c r="T26" s="1">
        <f t="shared" si="6"/>
        <v>7.2103530707518244</v>
      </c>
      <c r="U26" s="1">
        <f t="shared" si="6"/>
        <v>3.1167473935844003</v>
      </c>
      <c r="V26" s="1">
        <f t="shared" si="6"/>
        <v>8.7610608393096284E-2</v>
      </c>
      <c r="W26" s="1">
        <f t="shared" si="6"/>
        <v>3.1289502997534387E-4</v>
      </c>
    </row>
    <row r="27" spans="1:23" x14ac:dyDescent="0.25">
      <c r="A27" s="7">
        <v>22</v>
      </c>
      <c r="F27" s="1">
        <f t="shared" si="1"/>
        <v>89.534381803167932</v>
      </c>
      <c r="G27" s="1">
        <f t="shared" si="1"/>
        <v>53.517003227985889</v>
      </c>
      <c r="H27" s="1">
        <f t="shared" si="1"/>
        <v>39.30667117083302</v>
      </c>
      <c r="I27" s="1">
        <f t="shared" si="1"/>
        <v>6.5942246578084731</v>
      </c>
      <c r="J27" s="1">
        <f t="shared" si="1"/>
        <v>72.956234516928163</v>
      </c>
      <c r="K27" s="1">
        <f t="shared" si="1"/>
        <v>18.769236543803018</v>
      </c>
      <c r="L27" s="1">
        <f t="shared" si="1"/>
        <v>9.2485549132947984</v>
      </c>
      <c r="M27" s="1">
        <f t="shared" si="1"/>
        <v>5.5976778520131125</v>
      </c>
      <c r="N27" s="1">
        <f t="shared" si="1"/>
        <v>6.5060180667117079E-2</v>
      </c>
      <c r="O27" s="1">
        <f t="shared" si="1"/>
        <v>3.1278933013037058E-4</v>
      </c>
      <c r="P27" s="1">
        <f t="shared" si="1"/>
        <v>0.19955959262317643</v>
      </c>
      <c r="Q27" s="1">
        <f t="shared" si="1"/>
        <v>0.10353326827315266</v>
      </c>
      <c r="R27" s="1">
        <f t="shared" si="1"/>
        <v>0.27275229587368316</v>
      </c>
      <c r="S27" s="1">
        <f t="shared" ref="S27:W27" si="7">100*S9/$E9</f>
        <v>0.57209168480844785</v>
      </c>
      <c r="T27" s="1">
        <f t="shared" si="7"/>
        <v>7.8281785651727844</v>
      </c>
      <c r="U27" s="1">
        <f t="shared" si="7"/>
        <v>3.2023371618747341</v>
      </c>
      <c r="V27" s="1">
        <f t="shared" si="7"/>
        <v>6.3496234016465231E-2</v>
      </c>
      <c r="W27" s="1">
        <f t="shared" si="7"/>
        <v>3.1278933013037058E-4</v>
      </c>
    </row>
    <row r="28" spans="1:23" x14ac:dyDescent="0.25">
      <c r="A28" s="7">
        <v>23</v>
      </c>
      <c r="F28" s="1">
        <f t="shared" si="1"/>
        <v>90.294013179169909</v>
      </c>
      <c r="G28" s="1">
        <f t="shared" si="1"/>
        <v>63.538336752707664</v>
      </c>
      <c r="H28" s="1">
        <f t="shared" si="1"/>
        <v>40.062874076901466</v>
      </c>
      <c r="I28" s="1">
        <f t="shared" si="1"/>
        <v>1.2508548435835043</v>
      </c>
      <c r="J28" s="1">
        <f t="shared" si="1"/>
        <v>82.423355652040229</v>
      </c>
      <c r="K28" s="1">
        <f t="shared" si="1"/>
        <v>28.748455980194137</v>
      </c>
      <c r="L28" s="1">
        <f t="shared" si="1"/>
        <v>5.2934035232809027</v>
      </c>
      <c r="M28" s="1">
        <f t="shared" si="1"/>
        <v>2.9796268905959256</v>
      </c>
      <c r="N28" s="1">
        <f t="shared" si="1"/>
        <v>0.18395703781456918</v>
      </c>
      <c r="O28" s="1">
        <f t="shared" si="1"/>
        <v>5.5134097788804598E-2</v>
      </c>
      <c r="P28" s="1">
        <f t="shared" si="1"/>
        <v>0.31940667228610353</v>
      </c>
      <c r="Q28" s="1">
        <f t="shared" si="1"/>
        <v>0.1770652755909686</v>
      </c>
      <c r="R28" s="1">
        <f t="shared" si="1"/>
        <v>0.2658629811642837</v>
      </c>
      <c r="S28" s="1">
        <f t="shared" ref="S28:W28" si="8">100*S10/$E10</f>
        <v>0.64305442901749976</v>
      </c>
      <c r="T28" s="1">
        <f t="shared" si="8"/>
        <v>6.1516929878970057</v>
      </c>
      <c r="U28" s="1">
        <f t="shared" si="8"/>
        <v>3.2818041573230277</v>
      </c>
      <c r="V28" s="1">
        <f t="shared" si="8"/>
        <v>0.24916371116094385</v>
      </c>
      <c r="W28" s="1">
        <f t="shared" si="8"/>
        <v>5.9640250011928048E-2</v>
      </c>
    </row>
    <row r="29" spans="1:23" x14ac:dyDescent="0.25">
      <c r="A29" s="7">
        <v>24</v>
      </c>
      <c r="F29" s="1">
        <f t="shared" si="1"/>
        <v>88.835448043463316</v>
      </c>
      <c r="G29" s="1">
        <f t="shared" si="1"/>
        <v>55.137628086101365</v>
      </c>
      <c r="H29" s="1">
        <f t="shared" si="1"/>
        <v>36.123719138986317</v>
      </c>
      <c r="I29" s="1">
        <f t="shared" si="1"/>
        <v>1.429148614263118</v>
      </c>
      <c r="J29" s="1">
        <f t="shared" si="1"/>
        <v>82.210215941131978</v>
      </c>
      <c r="K29" s="1">
        <f t="shared" si="1"/>
        <v>31.246131627811017</v>
      </c>
      <c r="L29" s="1">
        <f t="shared" si="1"/>
        <v>7.4311429750361047</v>
      </c>
      <c r="M29" s="1">
        <f t="shared" si="1"/>
        <v>2.10138573688192</v>
      </c>
      <c r="N29" s="1">
        <f t="shared" si="1"/>
        <v>8.4244549893404852E-2</v>
      </c>
      <c r="O29" s="1">
        <f t="shared" si="1"/>
        <v>1.676294615225913E-2</v>
      </c>
      <c r="P29" s="1">
        <f t="shared" si="1"/>
        <v>0.45302936524310572</v>
      </c>
      <c r="Q29" s="1">
        <f t="shared" si="1"/>
        <v>0.26218967058661713</v>
      </c>
      <c r="R29" s="1">
        <f t="shared" si="1"/>
        <v>0.36104807097173508</v>
      </c>
      <c r="S29" s="1">
        <f t="shared" ref="S29:W29" si="9">100*S11/$E11</f>
        <v>0.63269376246475484</v>
      </c>
      <c r="T29" s="1">
        <f t="shared" si="9"/>
        <v>10.99606285674988</v>
      </c>
      <c r="U29" s="1">
        <f t="shared" si="9"/>
        <v>2.575046420466268</v>
      </c>
      <c r="V29" s="1">
        <f t="shared" si="9"/>
        <v>0.13195447355752699</v>
      </c>
      <c r="W29" s="1">
        <f t="shared" si="9"/>
        <v>2.7938243587098548E-2</v>
      </c>
    </row>
    <row r="30" spans="1:23" x14ac:dyDescent="0.25">
      <c r="A30" s="7">
        <v>25</v>
      </c>
      <c r="F30" s="1">
        <f t="shared" si="1"/>
        <v>89.140012095953594</v>
      </c>
      <c r="G30" s="1">
        <f t="shared" si="1"/>
        <v>46.71216503237531</v>
      </c>
      <c r="H30" s="1">
        <f t="shared" si="1"/>
        <v>38.260189121094257</v>
      </c>
      <c r="I30" s="1">
        <f t="shared" si="1"/>
        <v>4.5623529209434848</v>
      </c>
      <c r="J30" s="1">
        <f t="shared" si="1"/>
        <v>76.216259598655114</v>
      </c>
      <c r="K30" s="1">
        <f t="shared" si="1"/>
        <v>10.399940380133973</v>
      </c>
      <c r="L30" s="1">
        <f t="shared" si="1"/>
        <v>4.6982174233325784</v>
      </c>
      <c r="M30" s="1">
        <f t="shared" si="1"/>
        <v>2.3561312439627722</v>
      </c>
      <c r="N30" s="1">
        <f t="shared" si="1"/>
        <v>5.2740650716441614E-2</v>
      </c>
      <c r="O30" s="1">
        <f t="shared" si="1"/>
        <v>2.8663397128500875E-4</v>
      </c>
      <c r="P30" s="1">
        <f t="shared" si="1"/>
        <v>8.5416923442932613E-2</v>
      </c>
      <c r="Q30" s="1">
        <f t="shared" si="1"/>
        <v>4.2708461721466306E-2</v>
      </c>
      <c r="R30" s="1">
        <f t="shared" si="1"/>
        <v>7.0511956936112161E-2</v>
      </c>
      <c r="S30" s="1">
        <f t="shared" ref="S30:W30" si="10">100*S12/$E12</f>
        <v>0.40988657893756253</v>
      </c>
      <c r="T30" s="1">
        <f t="shared" si="10"/>
        <v>4.2553679376972404</v>
      </c>
      <c r="U30" s="1">
        <f t="shared" si="10"/>
        <v>1.4629797894386847</v>
      </c>
      <c r="V30" s="1">
        <f t="shared" si="10"/>
        <v>6.7358983251977061E-2</v>
      </c>
      <c r="W30" s="1">
        <f t="shared" si="10"/>
        <v>2.8663397128500875E-4</v>
      </c>
    </row>
    <row r="31" spans="1:23" x14ac:dyDescent="0.25">
      <c r="A31" s="7">
        <v>26</v>
      </c>
      <c r="F31" s="1">
        <f t="shared" si="1"/>
        <v>87.576687116564415</v>
      </c>
      <c r="G31" s="1">
        <f t="shared" si="1"/>
        <v>64.877300613496928</v>
      </c>
      <c r="H31" s="1">
        <f t="shared" si="1"/>
        <v>49.092944785276075</v>
      </c>
      <c r="I31" s="1">
        <f t="shared" si="1"/>
        <v>2.7975460122699385</v>
      </c>
      <c r="J31" s="1">
        <f t="shared" si="1"/>
        <v>76.687116564417181</v>
      </c>
      <c r="K31" s="1">
        <f t="shared" si="1"/>
        <v>23.514417177914112</v>
      </c>
      <c r="L31" s="1">
        <f t="shared" si="1"/>
        <v>3.6127300613496933</v>
      </c>
      <c r="M31" s="1">
        <f t="shared" si="1"/>
        <v>0.67300613496932515</v>
      </c>
      <c r="N31" s="1">
        <f t="shared" si="1"/>
        <v>6.4263803680981599E-2</v>
      </c>
      <c r="O31" s="1">
        <f t="shared" si="1"/>
        <v>2.6533742331288343E-2</v>
      </c>
      <c r="P31" s="1">
        <f t="shared" si="1"/>
        <v>0.25966257668711656</v>
      </c>
      <c r="Q31" s="1">
        <f t="shared" si="1"/>
        <v>0.11549079754601227</v>
      </c>
      <c r="R31" s="1">
        <f t="shared" si="1"/>
        <v>0.1322085889570552</v>
      </c>
      <c r="S31" s="1">
        <f t="shared" ref="S31:W31" si="11">100*S13/$E13</f>
        <v>0.56395705521472395</v>
      </c>
      <c r="T31" s="1">
        <f t="shared" si="11"/>
        <v>5.0319018404907974</v>
      </c>
      <c r="U31" s="1">
        <f t="shared" si="11"/>
        <v>0.92776073619631905</v>
      </c>
      <c r="V31" s="1">
        <f t="shared" si="11"/>
        <v>8.2822085889570546E-2</v>
      </c>
      <c r="W31" s="1">
        <f t="shared" si="11"/>
        <v>3.0828220858895704E-2</v>
      </c>
    </row>
    <row r="32" spans="1:23" x14ac:dyDescent="0.25">
      <c r="A32" s="7">
        <v>27</v>
      </c>
      <c r="F32" s="1">
        <f t="shared" si="1"/>
        <v>82.829474880243779</v>
      </c>
      <c r="G32" s="1">
        <f t="shared" si="1"/>
        <v>38.77235341966972</v>
      </c>
      <c r="H32" s="1">
        <f t="shared" si="1"/>
        <v>27.578664669653577</v>
      </c>
      <c r="I32" s="1">
        <f t="shared" si="1"/>
        <v>1.6893697788221926</v>
      </c>
      <c r="J32" s="1">
        <f t="shared" si="1"/>
        <v>74.839442730054614</v>
      </c>
      <c r="K32" s="1">
        <f t="shared" si="1"/>
        <v>14.224844736536301</v>
      </c>
      <c r="L32" s="1">
        <f t="shared" si="1"/>
        <v>2.5740810081472971</v>
      </c>
      <c r="M32" s="1">
        <f t="shared" si="1"/>
        <v>1.0262237085049517</v>
      </c>
      <c r="N32" s="1">
        <f t="shared" si="1"/>
        <v>2.9438727420625185E-2</v>
      </c>
      <c r="O32" s="1">
        <f t="shared" si="1"/>
        <v>7.7470335317434704E-4</v>
      </c>
      <c r="P32" s="1">
        <f t="shared" si="1"/>
        <v>0.10690906273805989</v>
      </c>
      <c r="Q32" s="1">
        <f t="shared" si="1"/>
        <v>5.7069813683843562E-2</v>
      </c>
      <c r="R32" s="1">
        <f t="shared" si="1"/>
        <v>9.3480871283037864E-2</v>
      </c>
      <c r="S32" s="1">
        <f t="shared" ref="S32:W32" si="12">100*S14/$E14</f>
        <v>0.26469031233456858</v>
      </c>
      <c r="T32" s="1">
        <f t="shared" si="12"/>
        <v>8.6748699143952788</v>
      </c>
      <c r="U32" s="1">
        <f t="shared" si="12"/>
        <v>2.4095856628232775</v>
      </c>
      <c r="V32" s="1">
        <f t="shared" si="12"/>
        <v>0.14771010600524215</v>
      </c>
      <c r="W32" s="1">
        <f t="shared" si="12"/>
        <v>2.5823445105811564E-4</v>
      </c>
    </row>
    <row r="33" spans="1:46" x14ac:dyDescent="0.25">
      <c r="A33" s="7">
        <v>28</v>
      </c>
      <c r="F33" s="1">
        <f t="shared" si="1"/>
        <v>91.489558918947552</v>
      </c>
      <c r="G33" s="1">
        <f t="shared" si="1"/>
        <v>61.959242045048263</v>
      </c>
      <c r="H33" s="1">
        <f t="shared" si="1"/>
        <v>46.359856459963716</v>
      </c>
      <c r="I33" s="1">
        <f t="shared" si="1"/>
        <v>0.88918020630569794</v>
      </c>
      <c r="J33" s="1">
        <f t="shared" si="1"/>
        <v>87.064182523603336</v>
      </c>
      <c r="K33" s="1">
        <f t="shared" si="1"/>
        <v>26.880652551013654</v>
      </c>
      <c r="L33" s="1">
        <f t="shared" si="1"/>
        <v>5.9163919013758131</v>
      </c>
      <c r="M33" s="1">
        <f t="shared" si="1"/>
        <v>1.2917279095327003</v>
      </c>
      <c r="N33" s="1">
        <f t="shared" si="1"/>
        <v>6.6208503820230677E-2</v>
      </c>
      <c r="O33" s="1">
        <f t="shared" si="1"/>
        <v>9.2691905348322931E-3</v>
      </c>
      <c r="P33" s="1">
        <f t="shared" si="1"/>
        <v>0.38069889696632636</v>
      </c>
      <c r="Q33" s="1">
        <f t="shared" si="1"/>
        <v>0.25887524993710193</v>
      </c>
      <c r="R33" s="1">
        <f t="shared" si="1"/>
        <v>0.53496471086746378</v>
      </c>
      <c r="S33" s="1">
        <f t="shared" ref="S33:W33" si="13">100*S15/$E15</f>
        <v>0.65480210278208129</v>
      </c>
      <c r="T33" s="1">
        <f t="shared" si="13"/>
        <v>4.0777817502880067</v>
      </c>
      <c r="U33" s="1">
        <f t="shared" si="13"/>
        <v>1.1308412452495398</v>
      </c>
      <c r="V33" s="1">
        <f t="shared" si="13"/>
        <v>7.8788119546074495E-2</v>
      </c>
      <c r="W33" s="1">
        <f t="shared" si="13"/>
        <v>1.4565870840450747E-2</v>
      </c>
    </row>
    <row r="34" spans="1:46" x14ac:dyDescent="0.25">
      <c r="A34" s="7">
        <v>29</v>
      </c>
      <c r="F34" s="1">
        <f>100*F16/$E16</f>
        <v>87.998884075095177</v>
      </c>
      <c r="G34" s="1">
        <f t="shared" ref="G34:W34" si="14">100*G16/$E16</f>
        <v>46.508358496345892</v>
      </c>
      <c r="H34" s="1">
        <f t="shared" si="14"/>
        <v>33.465165638265283</v>
      </c>
      <c r="I34" s="1">
        <f t="shared" si="14"/>
        <v>2.6267997024200254</v>
      </c>
      <c r="J34" s="1">
        <f t="shared" si="14"/>
        <v>77.040392105378317</v>
      </c>
      <c r="K34" s="1">
        <f t="shared" si="14"/>
        <v>20.852479103759133</v>
      </c>
      <c r="L34" s="1">
        <f t="shared" si="14"/>
        <v>5.2300774583169227</v>
      </c>
      <c r="M34" s="1">
        <f t="shared" si="14"/>
        <v>1.2428340116406285</v>
      </c>
      <c r="N34" s="1">
        <f t="shared" si="14"/>
        <v>5.3061135180079648E-2</v>
      </c>
      <c r="O34" s="1">
        <f t="shared" si="14"/>
        <v>3.829154085160387E-3</v>
      </c>
      <c r="P34" s="1">
        <f t="shared" si="14"/>
        <v>0.2013041004770032</v>
      </c>
      <c r="Q34" s="1">
        <f t="shared" si="14"/>
        <v>0.11815675462780623</v>
      </c>
      <c r="R34" s="1">
        <f t="shared" si="14"/>
        <v>0.23303137718261782</v>
      </c>
      <c r="S34" s="1">
        <f t="shared" si="14"/>
        <v>0.5678088486280688</v>
      </c>
      <c r="T34" s="1">
        <f t="shared" si="14"/>
        <v>10.959586013741193</v>
      </c>
      <c r="U34" s="1">
        <f t="shared" si="14"/>
        <v>2.3926742812130759</v>
      </c>
      <c r="V34" s="1">
        <f t="shared" si="14"/>
        <v>0.10174609426283314</v>
      </c>
      <c r="W34" s="1">
        <f t="shared" si="14"/>
        <v>2.1880880486630783E-3</v>
      </c>
    </row>
    <row r="35" spans="1:46" x14ac:dyDescent="0.25"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46" ht="27" customHeight="1" x14ac:dyDescent="0.25">
      <c r="A36" s="15" t="s">
        <v>86</v>
      </c>
      <c r="B36" s="16" t="s">
        <v>70</v>
      </c>
      <c r="C36" s="16" t="s">
        <v>71</v>
      </c>
      <c r="D36" s="16" t="s">
        <v>72</v>
      </c>
      <c r="E36" s="16" t="s">
        <v>73</v>
      </c>
      <c r="F36" s="16" t="s">
        <v>74</v>
      </c>
      <c r="G36" s="16" t="s">
        <v>75</v>
      </c>
      <c r="H36" s="16" t="s">
        <v>76</v>
      </c>
      <c r="I36" s="17" t="s">
        <v>18</v>
      </c>
      <c r="J36" s="16" t="s">
        <v>77</v>
      </c>
      <c r="K36" s="17" t="s">
        <v>12</v>
      </c>
      <c r="L36" s="17" t="s">
        <v>79</v>
      </c>
      <c r="M36" s="15"/>
      <c r="N36" s="15"/>
      <c r="O36" s="18" t="s">
        <v>80</v>
      </c>
      <c r="P36" s="15"/>
      <c r="Q36" s="18" t="s">
        <v>25</v>
      </c>
      <c r="R36" s="18" t="s">
        <v>81</v>
      </c>
      <c r="S36" s="18" t="s">
        <v>82</v>
      </c>
      <c r="T36" s="18" t="s">
        <v>83</v>
      </c>
      <c r="U36" s="15"/>
      <c r="V36" s="15"/>
      <c r="W36" s="15" t="s">
        <v>84</v>
      </c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</row>
    <row r="37" spans="1:46" x14ac:dyDescent="0.25">
      <c r="A37" s="8">
        <v>16</v>
      </c>
      <c r="G37" s="1">
        <f>100*(G3/$F3)</f>
        <v>45.111229956558866</v>
      </c>
      <c r="H37" s="1">
        <f t="shared" ref="H37:W37" si="15">100*(H3/$F3)</f>
        <v>32.287180641953064</v>
      </c>
      <c r="I37" s="1">
        <f t="shared" si="15"/>
        <v>0.47381803510944726</v>
      </c>
      <c r="J37" s="1">
        <f t="shared" si="15"/>
        <v>96.977885364183109</v>
      </c>
      <c r="K37" s="1">
        <f t="shared" si="15"/>
        <v>29.858980493709009</v>
      </c>
      <c r="L37" s="1">
        <f t="shared" si="15"/>
        <v>7.2817856841275646</v>
      </c>
      <c r="M37" s="1">
        <f t="shared" si="15"/>
        <v>1.431774894211914</v>
      </c>
      <c r="N37" s="1">
        <f t="shared" si="15"/>
        <v>0.19515673525300006</v>
      </c>
      <c r="O37" s="1">
        <f t="shared" si="15"/>
        <v>1.3135549488182697E-2</v>
      </c>
      <c r="P37" s="1">
        <f t="shared" si="15"/>
        <v>0.433473133110029</v>
      </c>
      <c r="Q37" s="1">
        <f t="shared" si="15"/>
        <v>0.22987211604319721</v>
      </c>
      <c r="R37" s="1">
        <f t="shared" si="15"/>
        <v>0.68586333399011079</v>
      </c>
      <c r="S37" s="1">
        <f t="shared" si="15"/>
        <v>1.1793846933318322</v>
      </c>
      <c r="T37" s="1">
        <f t="shared" si="15"/>
        <v>10.244790347247633</v>
      </c>
      <c r="U37" s="1">
        <f t="shared" si="15"/>
        <v>1.6456967001623179</v>
      </c>
      <c r="V37" s="1">
        <f t="shared" si="15"/>
        <v>0.13698501609104813</v>
      </c>
      <c r="W37" s="1">
        <f t="shared" si="15"/>
        <v>1.876507069740385E-3</v>
      </c>
    </row>
    <row r="38" spans="1:46" x14ac:dyDescent="0.25">
      <c r="A38" s="8">
        <v>17</v>
      </c>
      <c r="G38" s="1">
        <f t="shared" ref="G38:G50" si="16">100*(G4/$F4)</f>
        <v>60.586038304111021</v>
      </c>
      <c r="H38" s="1">
        <f t="shared" ref="H38:W38" si="17">100*(H4/$F4)</f>
        <v>43.040048825468851</v>
      </c>
      <c r="I38" s="1">
        <f t="shared" si="17"/>
        <v>1.0149859693116006</v>
      </c>
      <c r="J38" s="1">
        <f t="shared" si="17"/>
        <v>94.466667993445711</v>
      </c>
      <c r="K38" s="1">
        <f t="shared" si="17"/>
        <v>27.892875859918671</v>
      </c>
      <c r="L38" s="1">
        <f t="shared" si="17"/>
        <v>5.3243643069901356</v>
      </c>
      <c r="M38" s="1">
        <f t="shared" si="17"/>
        <v>1.8720852322858412</v>
      </c>
      <c r="N38" s="1">
        <f t="shared" si="17"/>
        <v>8.8894196005068288E-2</v>
      </c>
      <c r="O38" s="1">
        <f t="shared" si="17"/>
        <v>1.3267790448517657E-3</v>
      </c>
      <c r="P38" s="1">
        <f t="shared" si="17"/>
        <v>0.24412734425272486</v>
      </c>
      <c r="Q38" s="1">
        <f t="shared" si="17"/>
        <v>0.14196535779913894</v>
      </c>
      <c r="R38" s="1">
        <f t="shared" si="17"/>
        <v>0.26336564040307547</v>
      </c>
      <c r="S38" s="1">
        <f t="shared" si="17"/>
        <v>0.6866081557107887</v>
      </c>
      <c r="T38" s="1">
        <f t="shared" si="17"/>
        <v>8.455562852840302</v>
      </c>
      <c r="U38" s="1">
        <f t="shared" si="17"/>
        <v>1.5198253958776975</v>
      </c>
      <c r="V38" s="1">
        <f t="shared" si="17"/>
        <v>0.10945927120027067</v>
      </c>
      <c r="W38" s="1">
        <f t="shared" si="17"/>
        <v>3.3169476121294138E-3</v>
      </c>
    </row>
    <row r="39" spans="1:46" x14ac:dyDescent="0.25">
      <c r="A39" s="8">
        <v>18</v>
      </c>
      <c r="G39" s="1">
        <f t="shared" si="16"/>
        <v>53.291794788800772</v>
      </c>
      <c r="H39" s="1">
        <f t="shared" ref="H39:W39" si="18">100*(H5/$F5)</f>
        <v>31.319523115930302</v>
      </c>
      <c r="I39" s="1">
        <f t="shared" si="18"/>
        <v>1.5504126881372391</v>
      </c>
      <c r="J39" s="1">
        <f t="shared" si="18"/>
        <v>93.38620057182932</v>
      </c>
      <c r="K39" s="1">
        <f t="shared" si="18"/>
        <v>31.468414522306738</v>
      </c>
      <c r="L39" s="1">
        <f t="shared" si="18"/>
        <v>5.0337163510816207</v>
      </c>
      <c r="M39" s="1">
        <f t="shared" si="18"/>
        <v>2.5672978367589145</v>
      </c>
      <c r="N39" s="1">
        <f t="shared" si="18"/>
        <v>0.1559044074014134</v>
      </c>
      <c r="O39" s="1">
        <f t="shared" si="18"/>
        <v>3.9920159680638723E-2</v>
      </c>
      <c r="P39" s="1">
        <f t="shared" si="18"/>
        <v>0.27512542482602365</v>
      </c>
      <c r="Q39" s="1">
        <f t="shared" si="18"/>
        <v>0.19042995090899284</v>
      </c>
      <c r="R39" s="1">
        <f t="shared" si="18"/>
        <v>0.22711334088579599</v>
      </c>
      <c r="S39" s="1">
        <f t="shared" si="18"/>
        <v>0.33824243405081728</v>
      </c>
      <c r="T39" s="1">
        <f t="shared" si="18"/>
        <v>8.3395371419323521</v>
      </c>
      <c r="U39" s="1">
        <f t="shared" si="18"/>
        <v>2.4016831202459943</v>
      </c>
      <c r="V39" s="1">
        <f t="shared" si="18"/>
        <v>0.16885148621675569</v>
      </c>
      <c r="W39" s="1">
        <f t="shared" si="18"/>
        <v>2.6973080865296435E-2</v>
      </c>
    </row>
    <row r="40" spans="1:46" x14ac:dyDescent="0.25">
      <c r="A40" s="8">
        <v>19</v>
      </c>
      <c r="G40" s="1">
        <f t="shared" si="16"/>
        <v>60.739264004183283</v>
      </c>
      <c r="H40" s="1">
        <f t="shared" ref="H40:W40" si="19">100*(H6/$F6)</f>
        <v>40.842538728021438</v>
      </c>
      <c r="I40" s="1">
        <f t="shared" si="19"/>
        <v>2.0328126021308583</v>
      </c>
      <c r="J40" s="1">
        <f t="shared" si="19"/>
        <v>87.703444669586247</v>
      </c>
      <c r="K40" s="1">
        <f t="shared" si="19"/>
        <v>27.112883194980064</v>
      </c>
      <c r="L40" s="1">
        <f t="shared" si="19"/>
        <v>6.7978299235244135</v>
      </c>
      <c r="M40" s="1">
        <f t="shared" si="19"/>
        <v>2.6112817831230801</v>
      </c>
      <c r="N40" s="1">
        <f t="shared" si="19"/>
        <v>1.0360154258448264</v>
      </c>
      <c r="O40" s="1">
        <f t="shared" si="19"/>
        <v>1.6340937316164456E-2</v>
      </c>
      <c r="P40" s="1">
        <f t="shared" si="19"/>
        <v>0.36603699588208377</v>
      </c>
      <c r="Q40" s="1">
        <f t="shared" si="19"/>
        <v>0.2467481534740833</v>
      </c>
      <c r="R40" s="1">
        <f t="shared" si="19"/>
        <v>0.65363749264657822</v>
      </c>
      <c r="S40" s="1">
        <f t="shared" si="19"/>
        <v>0.96574939538531923</v>
      </c>
      <c r="T40" s="1">
        <f t="shared" si="19"/>
        <v>6.2651153670174526</v>
      </c>
      <c r="U40" s="1">
        <f t="shared" si="19"/>
        <v>2.0132034773514609</v>
      </c>
      <c r="V40" s="1">
        <f t="shared" si="19"/>
        <v>0.31211190273874106</v>
      </c>
      <c r="W40" s="1">
        <f t="shared" si="19"/>
        <v>6.5363749264657819E-3</v>
      </c>
    </row>
    <row r="41" spans="1:46" x14ac:dyDescent="0.25">
      <c r="A41" s="8">
        <v>20</v>
      </c>
      <c r="G41" s="1">
        <f t="shared" si="16"/>
        <v>51.812124167072973</v>
      </c>
      <c r="H41" s="1">
        <f t="shared" ref="H41:W41" si="20">100*(H7/$F7)</f>
        <v>39.247435996133682</v>
      </c>
      <c r="I41" s="1">
        <f t="shared" si="20"/>
        <v>0.95203880007185204</v>
      </c>
      <c r="J41" s="1">
        <f t="shared" si="20"/>
        <v>95.595644401105147</v>
      </c>
      <c r="K41" s="1">
        <f t="shared" si="20"/>
        <v>18.945828735661678</v>
      </c>
      <c r="L41" s="1">
        <f t="shared" si="20"/>
        <v>6.3623221877218636</v>
      </c>
      <c r="M41" s="1">
        <f t="shared" si="20"/>
        <v>4.482195249215188</v>
      </c>
      <c r="N41" s="1">
        <f t="shared" si="20"/>
        <v>0.15824544295893317</v>
      </c>
      <c r="O41" s="1">
        <f t="shared" si="20"/>
        <v>0</v>
      </c>
      <c r="P41" s="1">
        <f t="shared" si="20"/>
        <v>0.17022077377744702</v>
      </c>
      <c r="Q41" s="1">
        <f t="shared" si="20"/>
        <v>0.10777797736662474</v>
      </c>
      <c r="R41" s="1">
        <f t="shared" si="20"/>
        <v>0.45164104801252281</v>
      </c>
      <c r="S41" s="1">
        <f t="shared" si="20"/>
        <v>0.42084734019348713</v>
      </c>
      <c r="T41" s="1">
        <f t="shared" si="20"/>
        <v>5.6241285808377599</v>
      </c>
      <c r="U41" s="1">
        <f t="shared" si="20"/>
        <v>2.2564944785171117</v>
      </c>
      <c r="V41" s="1">
        <f t="shared" si="20"/>
        <v>0.18219610459596089</v>
      </c>
      <c r="W41" s="1">
        <f t="shared" si="20"/>
        <v>0</v>
      </c>
    </row>
    <row r="42" spans="1:46" x14ac:dyDescent="0.25">
      <c r="A42" s="8">
        <v>21</v>
      </c>
      <c r="G42" s="1">
        <f t="shared" si="16"/>
        <v>55.333040324501695</v>
      </c>
      <c r="H42" s="1">
        <f t="shared" ref="H42:W42" si="21">100*(H8/$F8)</f>
        <v>39.362605139285442</v>
      </c>
      <c r="I42" s="1">
        <f t="shared" si="21"/>
        <v>1.7369160932304895</v>
      </c>
      <c r="J42" s="1">
        <f t="shared" si="21"/>
        <v>93.824671119953564</v>
      </c>
      <c r="K42" s="1">
        <f t="shared" si="21"/>
        <v>23.594815756717676</v>
      </c>
      <c r="L42" s="1">
        <f t="shared" si="21"/>
        <v>9.0975887162522593</v>
      </c>
      <c r="M42" s="1">
        <f t="shared" si="21"/>
        <v>5.1262006931560071</v>
      </c>
      <c r="N42" s="1">
        <f t="shared" si="21"/>
        <v>6.9785309521333175E-2</v>
      </c>
      <c r="O42" s="1">
        <f t="shared" si="21"/>
        <v>3.6905692535320425E-3</v>
      </c>
      <c r="P42" s="1">
        <f t="shared" si="21"/>
        <v>0.22076314262037128</v>
      </c>
      <c r="Q42" s="1">
        <f t="shared" si="21"/>
        <v>0.11776270981724972</v>
      </c>
      <c r="R42" s="1">
        <f t="shared" si="21"/>
        <v>0.25934636663456989</v>
      </c>
      <c r="S42" s="1">
        <f t="shared" si="21"/>
        <v>0.51869273326913978</v>
      </c>
      <c r="T42" s="1">
        <f t="shared" si="21"/>
        <v>7.7314070798538541</v>
      </c>
      <c r="U42" s="1">
        <f t="shared" si="21"/>
        <v>3.3419782122211519</v>
      </c>
      <c r="V42" s="1">
        <f t="shared" si="21"/>
        <v>9.3941762817179267E-2</v>
      </c>
      <c r="W42" s="1">
        <f t="shared" si="21"/>
        <v>3.3550629577564021E-4</v>
      </c>
    </row>
    <row r="43" spans="1:46" x14ac:dyDescent="0.25">
      <c r="A43" s="8">
        <v>22</v>
      </c>
      <c r="G43" s="1">
        <f t="shared" si="16"/>
        <v>59.772572446680293</v>
      </c>
      <c r="H43" s="1">
        <f t="shared" ref="H43:W43" si="22">100*(H9/$F9)</f>
        <v>43.901203514471874</v>
      </c>
      <c r="I43" s="1">
        <f t="shared" si="22"/>
        <v>7.3650194763227299</v>
      </c>
      <c r="J43" s="1">
        <f t="shared" si="22"/>
        <v>81.484043389404178</v>
      </c>
      <c r="K43" s="1">
        <f t="shared" si="22"/>
        <v>20.963160928575171</v>
      </c>
      <c r="L43" s="1">
        <f t="shared" si="22"/>
        <v>10.329612744327411</v>
      </c>
      <c r="M43" s="1">
        <f t="shared" si="22"/>
        <v>6.2519869342695946</v>
      </c>
      <c r="N43" s="1">
        <f t="shared" si="22"/>
        <v>7.2665024716588936E-2</v>
      </c>
      <c r="O43" s="1">
        <f t="shared" si="22"/>
        <v>3.4935108036821607E-4</v>
      </c>
      <c r="P43" s="1">
        <f t="shared" si="22"/>
        <v>0.22288598927492184</v>
      </c>
      <c r="Q43" s="1">
        <f t="shared" si="22"/>
        <v>0.11563520760187951</v>
      </c>
      <c r="R43" s="1">
        <f t="shared" si="22"/>
        <v>0.30463414208108436</v>
      </c>
      <c r="S43" s="1">
        <f t="shared" si="22"/>
        <v>0.63896312599346716</v>
      </c>
      <c r="T43" s="1">
        <f t="shared" si="22"/>
        <v>8.743209488375344</v>
      </c>
      <c r="U43" s="1">
        <f t="shared" si="22"/>
        <v>3.5766563608097957</v>
      </c>
      <c r="V43" s="1">
        <f t="shared" si="22"/>
        <v>7.0918269314747859E-2</v>
      </c>
      <c r="W43" s="1">
        <f t="shared" si="22"/>
        <v>3.4935108036821607E-4</v>
      </c>
    </row>
    <row r="44" spans="1:46" x14ac:dyDescent="0.25">
      <c r="A44" s="8">
        <v>23</v>
      </c>
      <c r="G44" s="1">
        <f t="shared" si="16"/>
        <v>70.368271954674228</v>
      </c>
      <c r="H44" s="1">
        <f t="shared" ref="H44:W44" si="23">100*(H10/$F10)</f>
        <v>44.369358129430928</v>
      </c>
      <c r="I44" s="1">
        <f t="shared" si="23"/>
        <v>1.3853131559247898</v>
      </c>
      <c r="J44" s="1">
        <f t="shared" si="23"/>
        <v>91.283300797017418</v>
      </c>
      <c r="K44" s="1">
        <f t="shared" si="23"/>
        <v>31.838717726665589</v>
      </c>
      <c r="L44" s="1">
        <f t="shared" si="23"/>
        <v>5.8624080787917041</v>
      </c>
      <c r="M44" s="1">
        <f t="shared" si="23"/>
        <v>3.299916335187659</v>
      </c>
      <c r="N44" s="1">
        <f t="shared" si="23"/>
        <v>0.20373115706967662</v>
      </c>
      <c r="O44" s="1">
        <f t="shared" si="23"/>
        <v>6.1060634971891556E-2</v>
      </c>
      <c r="P44" s="1">
        <f t="shared" si="23"/>
        <v>0.353740697793891</v>
      </c>
      <c r="Q44" s="1">
        <f t="shared" si="23"/>
        <v>0.19609857769819022</v>
      </c>
      <c r="R44" s="1">
        <f t="shared" si="23"/>
        <v>0.29444142729234246</v>
      </c>
      <c r="S44" s="1">
        <f t="shared" si="23"/>
        <v>0.71217836750869679</v>
      </c>
      <c r="T44" s="1">
        <f t="shared" si="23"/>
        <v>6.8129577712868237</v>
      </c>
      <c r="U44" s="1">
        <f t="shared" si="23"/>
        <v>3.6345755845528336</v>
      </c>
      <c r="V44" s="1">
        <f t="shared" si="23"/>
        <v>0.2759471003537407</v>
      </c>
      <c r="W44" s="1">
        <f t="shared" si="23"/>
        <v>6.6051167637863464E-2</v>
      </c>
    </row>
    <row r="45" spans="1:46" x14ac:dyDescent="0.25">
      <c r="A45" s="8">
        <v>24</v>
      </c>
      <c r="G45" s="1">
        <f t="shared" si="16"/>
        <v>62.067146955936927</v>
      </c>
      <c r="H45" s="1">
        <f t="shared" ref="H45:W45" si="24">100*(H11/$F11)</f>
        <v>40.663631393306595</v>
      </c>
      <c r="I45" s="1">
        <f t="shared" si="24"/>
        <v>1.6087593924937464</v>
      </c>
      <c r="J45" s="1">
        <f t="shared" si="24"/>
        <v>92.542130142586885</v>
      </c>
      <c r="K45" s="1">
        <f t="shared" si="24"/>
        <v>35.173044450142974</v>
      </c>
      <c r="L45" s="1">
        <f t="shared" si="24"/>
        <v>8.3650650035562037</v>
      </c>
      <c r="M45" s="1">
        <f t="shared" si="24"/>
        <v>2.3654811037299028</v>
      </c>
      <c r="N45" s="1">
        <f t="shared" si="24"/>
        <v>9.4832132610157688E-2</v>
      </c>
      <c r="O45" s="1">
        <f t="shared" si="24"/>
        <v>1.8869659039776273E-2</v>
      </c>
      <c r="P45" s="1">
        <f t="shared" si="24"/>
        <v>0.50996463148523574</v>
      </c>
      <c r="Q45" s="1">
        <f t="shared" si="24"/>
        <v>0.29514082087855198</v>
      </c>
      <c r="R45" s="1">
        <f t="shared" si="24"/>
        <v>0.40642342547210436</v>
      </c>
      <c r="S45" s="1">
        <f t="shared" si="24"/>
        <v>0.71220866939873528</v>
      </c>
      <c r="T45" s="1">
        <f t="shared" si="24"/>
        <v>12.378012492681959</v>
      </c>
      <c r="U45" s="1">
        <f t="shared" si="24"/>
        <v>2.8986699309564012</v>
      </c>
      <c r="V45" s="1">
        <f t="shared" si="24"/>
        <v>0.14853808526182863</v>
      </c>
      <c r="W45" s="1">
        <f t="shared" si="24"/>
        <v>3.1449431732960456E-2</v>
      </c>
    </row>
    <row r="46" spans="1:46" x14ac:dyDescent="0.25">
      <c r="A46" s="8">
        <v>25</v>
      </c>
      <c r="G46" s="1">
        <f t="shared" si="16"/>
        <v>52.403139660888328</v>
      </c>
      <c r="H46" s="1">
        <f t="shared" ref="H46:W46" si="25">100*(H12/$F12)</f>
        <v>42.921453813478934</v>
      </c>
      <c r="I46" s="1">
        <f t="shared" si="25"/>
        <v>5.1181874600066246</v>
      </c>
      <c r="J46" s="1">
        <f t="shared" si="25"/>
        <v>85.50173800359498</v>
      </c>
      <c r="K46" s="1">
        <f t="shared" si="25"/>
        <v>11.666972143709263</v>
      </c>
      <c r="L46" s="1">
        <f t="shared" si="25"/>
        <v>5.2706044265231249</v>
      </c>
      <c r="M46" s="1">
        <f t="shared" si="25"/>
        <v>2.6431803054127316</v>
      </c>
      <c r="N46" s="1">
        <f t="shared" si="25"/>
        <v>5.9166079829190102E-2</v>
      </c>
      <c r="O46" s="1">
        <f t="shared" si="25"/>
        <v>3.2155478168038101E-4</v>
      </c>
      <c r="P46" s="1">
        <f t="shared" si="25"/>
        <v>9.5823324940753532E-2</v>
      </c>
      <c r="Q46" s="1">
        <f t="shared" si="25"/>
        <v>4.7911662470376766E-2</v>
      </c>
      <c r="R46" s="1">
        <f t="shared" si="25"/>
        <v>7.9102476293373719E-2</v>
      </c>
      <c r="S46" s="1">
        <f t="shared" si="25"/>
        <v>0.45982333780294482</v>
      </c>
      <c r="T46" s="1">
        <f t="shared" si="25"/>
        <v>4.7738022888269356</v>
      </c>
      <c r="U46" s="1">
        <f t="shared" si="25"/>
        <v>1.6412156056966645</v>
      </c>
      <c r="V46" s="1">
        <f t="shared" si="25"/>
        <v>7.5565373694889526E-2</v>
      </c>
      <c r="W46" s="1">
        <f t="shared" si="25"/>
        <v>3.2155478168038101E-4</v>
      </c>
    </row>
    <row r="47" spans="1:46" x14ac:dyDescent="0.25">
      <c r="A47" s="8">
        <v>26</v>
      </c>
      <c r="G47" s="1">
        <f t="shared" si="16"/>
        <v>74.080560420315237</v>
      </c>
      <c r="H47" s="1">
        <f t="shared" ref="H47:W47" si="26">100*(H13/$F13)</f>
        <v>56.057092819614709</v>
      </c>
      <c r="I47" s="1">
        <f t="shared" si="26"/>
        <v>3.1943957968476355</v>
      </c>
      <c r="J47" s="1">
        <f t="shared" si="26"/>
        <v>87.565674255691775</v>
      </c>
      <c r="K47" s="1">
        <f t="shared" si="26"/>
        <v>26.850087565674258</v>
      </c>
      <c r="L47" s="1">
        <f t="shared" si="26"/>
        <v>4.1252189141856386</v>
      </c>
      <c r="M47" s="1">
        <f t="shared" si="26"/>
        <v>0.76847635726795094</v>
      </c>
      <c r="N47" s="1">
        <f t="shared" si="26"/>
        <v>7.3380035026269705E-2</v>
      </c>
      <c r="O47" s="1">
        <f t="shared" si="26"/>
        <v>3.0297723292469353E-2</v>
      </c>
      <c r="P47" s="1">
        <f t="shared" si="26"/>
        <v>0.29649737302977236</v>
      </c>
      <c r="Q47" s="1">
        <f t="shared" si="26"/>
        <v>0.13187390542907179</v>
      </c>
      <c r="R47" s="1">
        <f t="shared" si="26"/>
        <v>0.15096322241681259</v>
      </c>
      <c r="S47" s="1">
        <f t="shared" si="26"/>
        <v>0.64395796847635733</v>
      </c>
      <c r="T47" s="1">
        <f t="shared" si="26"/>
        <v>5.7457092819614708</v>
      </c>
      <c r="U47" s="1">
        <f t="shared" si="26"/>
        <v>1.0593695271453591</v>
      </c>
      <c r="V47" s="1">
        <f t="shared" si="26"/>
        <v>9.4570928196147111E-2</v>
      </c>
      <c r="W47" s="1">
        <f t="shared" si="26"/>
        <v>3.5201401050788089E-2</v>
      </c>
    </row>
    <row r="48" spans="1:46" x14ac:dyDescent="0.25">
      <c r="A48" s="8">
        <v>27</v>
      </c>
      <c r="G48" s="1">
        <f t="shared" si="16"/>
        <v>46.809850570376582</v>
      </c>
      <c r="H48" s="1">
        <f t="shared" ref="H48:W48" si="27">100*(H14/$F14)</f>
        <v>33.295713524113566</v>
      </c>
      <c r="I48" s="1">
        <f t="shared" si="27"/>
        <v>2.0395756236106908</v>
      </c>
      <c r="J48" s="1">
        <f t="shared" si="27"/>
        <v>90.353636598878268</v>
      </c>
      <c r="K48" s="1">
        <f t="shared" si="27"/>
        <v>17.17365075307168</v>
      </c>
      <c r="L48" s="1">
        <f t="shared" si="27"/>
        <v>3.1076872235021966</v>
      </c>
      <c r="M48" s="1">
        <f t="shared" si="27"/>
        <v>1.2389595732541863</v>
      </c>
      <c r="N48" s="1">
        <f t="shared" si="27"/>
        <v>3.5541366721433626E-2</v>
      </c>
      <c r="O48" s="1">
        <f t="shared" si="27"/>
        <v>9.3529912424825329E-4</v>
      </c>
      <c r="P48" s="1">
        <f t="shared" si="27"/>
        <v>0.12907127914625896</v>
      </c>
      <c r="Q48" s="1">
        <f t="shared" si="27"/>
        <v>6.8900368819621333E-2</v>
      </c>
      <c r="R48" s="1">
        <f t="shared" si="27"/>
        <v>0.11285942765928923</v>
      </c>
      <c r="S48" s="1">
        <f t="shared" si="27"/>
        <v>0.31956053411815322</v>
      </c>
      <c r="T48" s="1">
        <f t="shared" si="27"/>
        <v>10.473167826957191</v>
      </c>
      <c r="U48" s="1">
        <f t="shared" si="27"/>
        <v>2.9090920427868174</v>
      </c>
      <c r="V48" s="1">
        <f t="shared" si="27"/>
        <v>0.17833036635666696</v>
      </c>
      <c r="W48" s="1">
        <f t="shared" si="27"/>
        <v>3.117663747494178E-4</v>
      </c>
    </row>
    <row r="49" spans="1:23" x14ac:dyDescent="0.25">
      <c r="A49" s="8">
        <v>28</v>
      </c>
      <c r="G49" s="1">
        <f t="shared" si="16"/>
        <v>67.722746482950271</v>
      </c>
      <c r="H49" s="1">
        <f t="shared" ref="H49:W49" si="28">100*(H15/$F15)</f>
        <v>50.672292016441844</v>
      </c>
      <c r="I49" s="1">
        <f t="shared" si="28"/>
        <v>0.97189254906501465</v>
      </c>
      <c r="J49" s="1">
        <f t="shared" si="28"/>
        <v>95.162971110982454</v>
      </c>
      <c r="K49" s="1">
        <f t="shared" si="28"/>
        <v>29.381115035025761</v>
      </c>
      <c r="L49" s="1">
        <f t="shared" si="28"/>
        <v>6.4667399988421232</v>
      </c>
      <c r="M49" s="1">
        <f t="shared" si="28"/>
        <v>1.4118856018062873</v>
      </c>
      <c r="N49" s="1">
        <f t="shared" si="28"/>
        <v>7.236727841139351E-2</v>
      </c>
      <c r="O49" s="1">
        <f t="shared" si="28"/>
        <v>1.0131418977595091E-2</v>
      </c>
      <c r="P49" s="1">
        <f t="shared" si="28"/>
        <v>0.41611185086551267</v>
      </c>
      <c r="Q49" s="1">
        <f t="shared" si="28"/>
        <v>0.28295605858854861</v>
      </c>
      <c r="R49" s="1">
        <f t="shared" si="28"/>
        <v>0.58472760956405956</v>
      </c>
      <c r="S49" s="1">
        <f t="shared" si="28"/>
        <v>0.71571238348868171</v>
      </c>
      <c r="T49" s="1">
        <f t="shared" si="28"/>
        <v>4.457100677357726</v>
      </c>
      <c r="U49" s="1">
        <f t="shared" si="28"/>
        <v>1.2360331152666011</v>
      </c>
      <c r="V49" s="1">
        <f t="shared" si="28"/>
        <v>8.6117061309558277E-2</v>
      </c>
      <c r="W49" s="1">
        <f t="shared" si="28"/>
        <v>1.5920801250506572E-2</v>
      </c>
    </row>
    <row r="50" spans="1:23" x14ac:dyDescent="0.25">
      <c r="A50" s="8">
        <v>29</v>
      </c>
      <c r="G50" s="1">
        <f t="shared" si="16"/>
        <v>52.851077584867191</v>
      </c>
      <c r="H50" s="1">
        <f t="shared" ref="H50:W50" si="29">100*(H16/$F16)</f>
        <v>38.029079561630894</v>
      </c>
      <c r="I50" s="1">
        <f t="shared" si="29"/>
        <v>2.9850375149966744</v>
      </c>
      <c r="J50" s="1">
        <f t="shared" si="29"/>
        <v>87.547010300306454</v>
      </c>
      <c r="K50" s="1">
        <f t="shared" si="29"/>
        <v>23.696299473484636</v>
      </c>
      <c r="L50" s="1">
        <f>100*(L16/$F16)</f>
        <v>5.943345206348023</v>
      </c>
      <c r="M50" s="1">
        <f t="shared" si="29"/>
        <v>1.4123292865623582</v>
      </c>
      <c r="N50" s="1">
        <f t="shared" si="29"/>
        <v>6.0297509153410547E-2</v>
      </c>
      <c r="O50" s="1">
        <f t="shared" si="29"/>
        <v>4.3513666399368428E-3</v>
      </c>
      <c r="P50" s="1">
        <f t="shared" si="29"/>
        <v>0.22875756049953688</v>
      </c>
      <c r="Q50" s="1">
        <f t="shared" si="29"/>
        <v>0.13427074203233685</v>
      </c>
      <c r="R50" s="1">
        <f t="shared" si="29"/>
        <v>0.26481174123044215</v>
      </c>
      <c r="S50" s="1">
        <f t="shared" si="29"/>
        <v>0.64524551032206323</v>
      </c>
      <c r="T50" s="1">
        <f t="shared" si="29"/>
        <v>12.45423294730495</v>
      </c>
      <c r="U50" s="1">
        <f t="shared" si="29"/>
        <v>2.7189825261548219</v>
      </c>
      <c r="V50" s="1">
        <f t="shared" si="29"/>
        <v>0.11562202786117898</v>
      </c>
      <c r="W50" s="1">
        <f t="shared" si="29"/>
        <v>2.4864952228210533E-3</v>
      </c>
    </row>
    <row r="51" spans="1:23" x14ac:dyDescent="0.25">
      <c r="A51" s="10" t="s">
        <v>87</v>
      </c>
      <c r="B51" s="10"/>
      <c r="C51" s="10"/>
      <c r="D51" s="10"/>
      <c r="E51" s="10"/>
    </row>
    <row r="52" spans="1:23" s="10" customFormat="1" ht="27" customHeight="1" x14ac:dyDescent="0.25">
      <c r="A52" s="10" t="s">
        <v>87</v>
      </c>
      <c r="B52" s="13" t="s">
        <v>70</v>
      </c>
      <c r="C52" s="13" t="s">
        <v>222</v>
      </c>
      <c r="D52" s="13" t="s">
        <v>223</v>
      </c>
      <c r="E52" s="13" t="s">
        <v>224</v>
      </c>
      <c r="F52" s="13"/>
      <c r="G52" s="13"/>
      <c r="H52" s="13"/>
      <c r="I52" s="3" t="s">
        <v>18</v>
      </c>
      <c r="J52" s="13" t="s">
        <v>77</v>
      </c>
      <c r="K52" s="3" t="s">
        <v>12</v>
      </c>
      <c r="L52" s="3" t="s">
        <v>79</v>
      </c>
      <c r="O52" s="4" t="s">
        <v>80</v>
      </c>
      <c r="Q52" s="4" t="s">
        <v>25</v>
      </c>
      <c r="R52" s="4" t="s">
        <v>81</v>
      </c>
      <c r="S52" s="4" t="s">
        <v>82</v>
      </c>
      <c r="T52" s="4" t="s">
        <v>83</v>
      </c>
      <c r="W52" s="4" t="s">
        <v>84</v>
      </c>
    </row>
    <row r="53" spans="1:23" s="6" customFormat="1" x14ac:dyDescent="0.25">
      <c r="A53" s="10">
        <v>16</v>
      </c>
      <c r="B53" s="1">
        <v>834000</v>
      </c>
      <c r="C53">
        <v>114538</v>
      </c>
      <c r="D53" s="6">
        <v>300000</v>
      </c>
      <c r="E53" s="6">
        <f t="shared" ref="E53:E66" si="30">(C53/B53)*D53</f>
        <v>41200.719424460432</v>
      </c>
      <c r="I53" s="6">
        <f>I21*$E53</f>
        <v>18165.46762589928</v>
      </c>
      <c r="K53" s="6">
        <f>K21*$E53</f>
        <v>1144748.2014388489</v>
      </c>
      <c r="L53" s="6">
        <f>L21*$E53</f>
        <v>279172.66187050357</v>
      </c>
      <c r="O53" s="6">
        <f>O21*$E53</f>
        <v>503.59712230215825</v>
      </c>
      <c r="Q53" s="6">
        <f t="shared" ref="Q53:T53" si="31">Q21*$E53</f>
        <v>8812.9496402877703</v>
      </c>
      <c r="R53" s="6">
        <f>R21*$E53</f>
        <v>26294.96402877698</v>
      </c>
      <c r="S53" s="6">
        <f t="shared" si="31"/>
        <v>45215.827338129493</v>
      </c>
      <c r="T53" s="6">
        <f t="shared" si="31"/>
        <v>392769.78417266184</v>
      </c>
      <c r="W53" s="6">
        <f>W21*$E53</f>
        <v>71.942446043165461</v>
      </c>
    </row>
    <row r="54" spans="1:23" s="6" customFormat="1" x14ac:dyDescent="0.25">
      <c r="A54" s="10">
        <v>17</v>
      </c>
      <c r="B54" s="1">
        <v>2580000</v>
      </c>
      <c r="C54">
        <v>181914</v>
      </c>
      <c r="D54" s="6">
        <v>483333.33333333331</v>
      </c>
      <c r="E54" s="6">
        <f t="shared" si="30"/>
        <v>34079.496124031008</v>
      </c>
      <c r="I54" s="6">
        <f t="shared" ref="I54:K66" si="32">I22*$E54</f>
        <v>28662.79069767442</v>
      </c>
      <c r="K54" s="6">
        <f t="shared" si="32"/>
        <v>787683.46253229969</v>
      </c>
      <c r="L54" s="6">
        <f t="shared" ref="L54" si="33">L22*$E54</f>
        <v>150357.88113695089</v>
      </c>
      <c r="O54" s="6">
        <f t="shared" ref="O54" si="34">O22*$E54</f>
        <v>37.467700258397933</v>
      </c>
      <c r="Q54" s="6">
        <f t="shared" ref="Q54:T54" si="35">Q22*$E54</f>
        <v>4009.0439276485786</v>
      </c>
      <c r="R54" s="6">
        <f t="shared" si="35"/>
        <v>7437.3385012919898</v>
      </c>
      <c r="S54" s="6">
        <f t="shared" si="35"/>
        <v>19389.534883720928</v>
      </c>
      <c r="T54" s="6">
        <f t="shared" si="35"/>
        <v>238781.65374677003</v>
      </c>
      <c r="W54" s="6">
        <f t="shared" ref="W54" si="36">W22*$E54</f>
        <v>93.669250645994822</v>
      </c>
    </row>
    <row r="55" spans="1:23" s="6" customFormat="1" x14ac:dyDescent="0.25">
      <c r="A55" s="10">
        <v>18</v>
      </c>
      <c r="B55" s="1">
        <v>1870000</v>
      </c>
      <c r="C55">
        <v>207788</v>
      </c>
      <c r="D55" s="6">
        <v>266666.66666666663</v>
      </c>
      <c r="E55" s="6">
        <f t="shared" si="30"/>
        <v>29631.087344028518</v>
      </c>
      <c r="I55" s="6">
        <f t="shared" si="32"/>
        <v>40983.95721925133</v>
      </c>
      <c r="K55" s="6">
        <f t="shared" si="32"/>
        <v>831843.13725490193</v>
      </c>
      <c r="L55" s="6">
        <f t="shared" ref="L55" si="37">L23*$E55</f>
        <v>133062.38859180035</v>
      </c>
      <c r="O55" s="6">
        <f t="shared" ref="O55" si="38">O23*$E55</f>
        <v>1055.2584670231727</v>
      </c>
      <c r="Q55" s="6">
        <f t="shared" ref="Q55:T55" si="39">Q23*$E55</f>
        <v>5033.8680926916213</v>
      </c>
      <c r="R55" s="6">
        <f t="shared" si="39"/>
        <v>6003.5650623885913</v>
      </c>
      <c r="S55" s="6">
        <f t="shared" si="39"/>
        <v>8941.1764705882342</v>
      </c>
      <c r="T55" s="6">
        <f t="shared" si="39"/>
        <v>220449.19786096254</v>
      </c>
      <c r="W55" s="6">
        <f t="shared" ref="W55" si="40">W23*$E55</f>
        <v>713.01247771835995</v>
      </c>
    </row>
    <row r="56" spans="1:23" s="6" customFormat="1" x14ac:dyDescent="0.25">
      <c r="A56" s="10">
        <v>19</v>
      </c>
      <c r="B56" s="1">
        <v>1830000</v>
      </c>
      <c r="C56">
        <v>73419</v>
      </c>
      <c r="D56" s="6">
        <v>250000</v>
      </c>
      <c r="E56" s="6">
        <f t="shared" si="30"/>
        <v>10029.918032786885</v>
      </c>
      <c r="I56" s="6">
        <f t="shared" si="32"/>
        <v>16994.535519125682</v>
      </c>
      <c r="K56" s="6">
        <f t="shared" si="32"/>
        <v>226666.66666666666</v>
      </c>
      <c r="L56" s="6">
        <f t="shared" ref="L56" si="41">L24*$E56</f>
        <v>56830.60109289617</v>
      </c>
      <c r="O56" s="6">
        <f t="shared" ref="O56" si="42">O24*$E56</f>
        <v>136.61202185792351</v>
      </c>
      <c r="Q56" s="6">
        <f t="shared" ref="Q56:T56" si="43">Q24*$E56</f>
        <v>2062.8415300546449</v>
      </c>
      <c r="R56" s="6">
        <f t="shared" si="43"/>
        <v>5464.4808743169406</v>
      </c>
      <c r="S56" s="6">
        <f t="shared" si="43"/>
        <v>8073.7704918032796</v>
      </c>
      <c r="T56" s="6">
        <f t="shared" si="43"/>
        <v>52377.049180327871</v>
      </c>
      <c r="W56" s="6">
        <f t="shared" ref="W56" si="44">W24*$E56</f>
        <v>54.644808743169399</v>
      </c>
    </row>
    <row r="57" spans="1:23" s="6" customFormat="1" x14ac:dyDescent="0.25">
      <c r="A57" s="10">
        <v>20</v>
      </c>
      <c r="B57" s="1">
        <v>1040000</v>
      </c>
      <c r="C57">
        <v>156899</v>
      </c>
      <c r="D57" s="6">
        <v>266666.66666666663</v>
      </c>
      <c r="E57" s="6">
        <f t="shared" si="30"/>
        <v>40230.512820512813</v>
      </c>
      <c r="I57" s="6">
        <f t="shared" si="32"/>
        <v>28538.461538461532</v>
      </c>
      <c r="K57" s="6">
        <f t="shared" si="32"/>
        <v>567923.07692307688</v>
      </c>
      <c r="L57" s="6">
        <f t="shared" ref="L57" si="45">L25*$E57</f>
        <v>190717.94871794866</v>
      </c>
      <c r="O57" s="6">
        <f t="shared" ref="O57" si="46">O25*$E57</f>
        <v>0</v>
      </c>
      <c r="Q57" s="6">
        <f t="shared" ref="Q57:T57" si="47">Q25*$E57</f>
        <v>3230.76923076923</v>
      </c>
      <c r="R57" s="6">
        <f t="shared" si="47"/>
        <v>13538.461538461535</v>
      </c>
      <c r="S57" s="6">
        <f t="shared" si="47"/>
        <v>12615.384615384613</v>
      </c>
      <c r="T57" s="6">
        <f t="shared" si="47"/>
        <v>168589.74358974354</v>
      </c>
      <c r="W57" s="6">
        <f t="shared" ref="W57" si="48">W25*$E57</f>
        <v>0</v>
      </c>
    </row>
    <row r="58" spans="1:23" s="6" customFormat="1" x14ac:dyDescent="0.25">
      <c r="A58" s="10">
        <v>21</v>
      </c>
      <c r="B58" s="1">
        <v>2780000</v>
      </c>
      <c r="C58">
        <v>319596</v>
      </c>
      <c r="D58" s="6">
        <v>300000</v>
      </c>
      <c r="E58" s="6">
        <f t="shared" si="30"/>
        <v>34488.776978417263</v>
      </c>
      <c r="I58" s="6">
        <f t="shared" si="32"/>
        <v>55866.906474820142</v>
      </c>
      <c r="K58" s="6">
        <f t="shared" si="32"/>
        <v>758913.66906474822</v>
      </c>
      <c r="L58" s="6">
        <f t="shared" ref="L58" si="49">L26*$E58</f>
        <v>292618.70503597119</v>
      </c>
      <c r="O58" s="6">
        <f t="shared" ref="O58" si="50">O26*$E58</f>
        <v>118.70503597122301</v>
      </c>
      <c r="Q58" s="6">
        <f t="shared" ref="Q58:T58" si="51">Q26*$E58</f>
        <v>3787.7697841726617</v>
      </c>
      <c r="R58" s="6">
        <f t="shared" si="51"/>
        <v>8341.7266187050354</v>
      </c>
      <c r="S58" s="6">
        <f t="shared" si="51"/>
        <v>16683.453237410071</v>
      </c>
      <c r="T58" s="6">
        <f t="shared" si="51"/>
        <v>248676.25899280576</v>
      </c>
      <c r="W58" s="6">
        <f t="shared" ref="W58" si="52">W26*$E58</f>
        <v>10.791366906474819</v>
      </c>
    </row>
    <row r="59" spans="1:23" s="6" customFormat="1" x14ac:dyDescent="0.25">
      <c r="A59" s="10">
        <v>22</v>
      </c>
      <c r="B59" s="1">
        <v>3580000</v>
      </c>
      <c r="C59">
        <v>319704</v>
      </c>
      <c r="D59" s="6">
        <v>450000</v>
      </c>
      <c r="E59" s="6">
        <f t="shared" si="30"/>
        <v>40186.256983240222</v>
      </c>
      <c r="I59" s="6">
        <f t="shared" si="32"/>
        <v>264997.2067039106</v>
      </c>
      <c r="K59" s="6">
        <f t="shared" si="32"/>
        <v>754265.36312849156</v>
      </c>
      <c r="L59" s="6">
        <f t="shared" ref="L59" si="53">L27*$E59</f>
        <v>371664.80446927377</v>
      </c>
      <c r="O59" s="6">
        <f t="shared" ref="O59" si="54">O27*$E59</f>
        <v>12.569832402234637</v>
      </c>
      <c r="Q59" s="6">
        <f t="shared" ref="Q59:T59" si="55">Q27*$E59</f>
        <v>4160.6145251396647</v>
      </c>
      <c r="R59" s="6">
        <f t="shared" si="55"/>
        <v>10960.893854748603</v>
      </c>
      <c r="S59" s="6">
        <f t="shared" si="55"/>
        <v>22990.223463687151</v>
      </c>
      <c r="T59" s="6">
        <f t="shared" si="55"/>
        <v>314585.19553072623</v>
      </c>
      <c r="W59" s="6">
        <f t="shared" ref="W59" si="56">W27*$E59</f>
        <v>12.569832402234637</v>
      </c>
    </row>
    <row r="60" spans="1:23" s="6" customFormat="1" x14ac:dyDescent="0.25">
      <c r="A60" s="10">
        <v>23</v>
      </c>
      <c r="B60" s="1">
        <v>4050000</v>
      </c>
      <c r="C60">
        <v>377262</v>
      </c>
      <c r="D60" s="6">
        <v>450000</v>
      </c>
      <c r="E60" s="6">
        <f t="shared" si="30"/>
        <v>41918</v>
      </c>
      <c r="I60" s="6">
        <f t="shared" si="32"/>
        <v>52433.333333333336</v>
      </c>
      <c r="K60" s="6">
        <f t="shared" si="32"/>
        <v>1205077.7777777778</v>
      </c>
      <c r="L60" s="6">
        <f t="shared" ref="L60" si="57">L28*$E60</f>
        <v>221888.88888888888</v>
      </c>
      <c r="O60" s="6">
        <f t="shared" ref="O60" si="58">O28*$E60</f>
        <v>2311.1111111111113</v>
      </c>
      <c r="Q60" s="6">
        <f t="shared" ref="Q60:T60" si="59">Q28*$E60</f>
        <v>7422.2222222222217</v>
      </c>
      <c r="R60" s="6">
        <f t="shared" si="59"/>
        <v>11144.444444444443</v>
      </c>
      <c r="S60" s="6">
        <f t="shared" si="59"/>
        <v>26955.555555555555</v>
      </c>
      <c r="T60" s="6">
        <f t="shared" si="59"/>
        <v>257866.66666666669</v>
      </c>
      <c r="W60" s="6">
        <f t="shared" ref="W60" si="60">W28*$E60</f>
        <v>2500</v>
      </c>
    </row>
    <row r="61" spans="1:23" s="6" customFormat="1" x14ac:dyDescent="0.25">
      <c r="A61" s="10">
        <v>24</v>
      </c>
      <c r="B61" s="1">
        <v>3370000</v>
      </c>
      <c r="C61">
        <v>232656</v>
      </c>
      <c r="D61" s="6">
        <v>250000</v>
      </c>
      <c r="E61" s="6">
        <f t="shared" si="30"/>
        <v>17259.347181008903</v>
      </c>
      <c r="I61" s="6">
        <f t="shared" si="32"/>
        <v>24666.172106824924</v>
      </c>
      <c r="K61" s="6">
        <f t="shared" si="32"/>
        <v>539287.83382789325</v>
      </c>
      <c r="L61" s="6">
        <f t="shared" ref="L61" si="61">L29*$E61</f>
        <v>128256.67655786351</v>
      </c>
      <c r="O61" s="6">
        <f t="shared" ref="O61" si="62">O29*$E61</f>
        <v>289.31750741839767</v>
      </c>
      <c r="Q61" s="6">
        <f t="shared" ref="Q61:T61" si="63">Q29*$E61</f>
        <v>4525.2225519287831</v>
      </c>
      <c r="R61" s="6">
        <f t="shared" si="63"/>
        <v>6231.4540059347182</v>
      </c>
      <c r="S61" s="6">
        <f t="shared" si="63"/>
        <v>10919.881305637982</v>
      </c>
      <c r="T61" s="6">
        <f t="shared" si="63"/>
        <v>189784.86646884275</v>
      </c>
      <c r="W61" s="6">
        <f t="shared" ref="W61" si="64">W29*$E61</f>
        <v>482.19584569732939</v>
      </c>
    </row>
    <row r="62" spans="1:23" s="6" customFormat="1" x14ac:dyDescent="0.25">
      <c r="A62" s="10">
        <v>25</v>
      </c>
      <c r="B62" s="1">
        <v>4010000</v>
      </c>
      <c r="C62">
        <v>348877</v>
      </c>
      <c r="D62" s="6">
        <v>433333.33333333331</v>
      </c>
      <c r="E62" s="6">
        <f t="shared" si="30"/>
        <v>37700.756442227757</v>
      </c>
      <c r="I62" s="6">
        <f t="shared" si="32"/>
        <v>172004.15627597671</v>
      </c>
      <c r="K62" s="6">
        <f t="shared" si="32"/>
        <v>392085.61928512045</v>
      </c>
      <c r="L62" s="6">
        <f t="shared" ref="L62" si="65">L30*$E62</f>
        <v>177126.3507896924</v>
      </c>
      <c r="O62" s="6">
        <f t="shared" ref="O62" si="66">O30*$E62</f>
        <v>10.80631753948462</v>
      </c>
      <c r="Q62" s="6">
        <f t="shared" ref="Q62:T62" si="67">Q30*$E62</f>
        <v>1610.1413133832084</v>
      </c>
      <c r="R62" s="6">
        <f t="shared" si="67"/>
        <v>2658.3541147132169</v>
      </c>
      <c r="S62" s="6">
        <f t="shared" si="67"/>
        <v>15453.034081463007</v>
      </c>
      <c r="T62" s="6">
        <f t="shared" si="67"/>
        <v>160430.59019118868</v>
      </c>
      <c r="W62" s="6">
        <f t="shared" ref="W62" si="68">W30*$E62</f>
        <v>10.80631753948462</v>
      </c>
    </row>
    <row r="63" spans="1:23" s="6" customFormat="1" x14ac:dyDescent="0.25">
      <c r="A63" s="10">
        <v>26</v>
      </c>
      <c r="B63" s="1">
        <v>3340000</v>
      </c>
      <c r="C63" s="1">
        <v>652000</v>
      </c>
      <c r="D63" s="6">
        <v>766666.66666666674</v>
      </c>
      <c r="E63" s="6">
        <f t="shared" si="30"/>
        <v>149660.67864271457</v>
      </c>
      <c r="I63" s="6">
        <f t="shared" si="32"/>
        <v>418682.63473053888</v>
      </c>
      <c r="K63" s="6">
        <f t="shared" si="32"/>
        <v>3519183.6327345311</v>
      </c>
      <c r="L63" s="6">
        <f t="shared" ref="L63" si="69">L31*$E63</f>
        <v>540683.63273453095</v>
      </c>
      <c r="O63" s="6">
        <f t="shared" ref="O63" si="70">O31*$E63</f>
        <v>3971.0578842315367</v>
      </c>
      <c r="Q63" s="6">
        <f t="shared" ref="Q63:T63" si="71">Q31*$E63</f>
        <v>17284.43113772455</v>
      </c>
      <c r="R63" s="6">
        <f t="shared" si="71"/>
        <v>19786.427145708582</v>
      </c>
      <c r="S63" s="6">
        <f t="shared" si="71"/>
        <v>84402.195608782436</v>
      </c>
      <c r="T63" s="6">
        <f t="shared" si="71"/>
        <v>753077.84431137727</v>
      </c>
      <c r="W63" s="6">
        <f t="shared" ref="W63" si="72">W31*$E63</f>
        <v>4613.7724550898201</v>
      </c>
    </row>
    <row r="64" spans="1:23" s="6" customFormat="1" x14ac:dyDescent="0.25">
      <c r="A64" s="10">
        <v>27</v>
      </c>
      <c r="B64" s="1">
        <v>3750000</v>
      </c>
      <c r="C64">
        <v>387245</v>
      </c>
      <c r="D64" s="6">
        <v>566666.66666666674</v>
      </c>
      <c r="E64" s="6">
        <f t="shared" si="30"/>
        <v>58517.022222222229</v>
      </c>
      <c r="I64" s="6">
        <f t="shared" si="32"/>
        <v>98856.888888888905</v>
      </c>
      <c r="K64" s="6">
        <f t="shared" si="32"/>
        <v>832395.55555555562</v>
      </c>
      <c r="L64" s="6">
        <f t="shared" ref="L64" si="73">L32*$E64</f>
        <v>150627.55555555559</v>
      </c>
      <c r="O64" s="6">
        <f t="shared" ref="O64" si="74">O32*$E64</f>
        <v>45.333333333333343</v>
      </c>
      <c r="Q64" s="6">
        <f t="shared" ref="Q64:T64" si="75">Q32*$E64</f>
        <v>3339.5555555555561</v>
      </c>
      <c r="R64" s="6">
        <f t="shared" si="75"/>
        <v>5470.2222222222226</v>
      </c>
      <c r="S64" s="6">
        <f t="shared" si="75"/>
        <v>15488.888888888892</v>
      </c>
      <c r="T64" s="6">
        <f t="shared" si="75"/>
        <v>507627.55555555556</v>
      </c>
      <c r="W64" s="6">
        <f t="shared" ref="W64" si="76">W32*$E64</f>
        <v>15.111111111111112</v>
      </c>
    </row>
    <row r="65" spans="1:23" s="6" customFormat="1" x14ac:dyDescent="0.25">
      <c r="A65" s="10">
        <v>28</v>
      </c>
      <c r="B65" s="1">
        <v>1200000</v>
      </c>
      <c r="C65">
        <v>151038</v>
      </c>
      <c r="D65" s="6">
        <v>250000</v>
      </c>
      <c r="E65" s="6">
        <f t="shared" si="30"/>
        <v>31466.25</v>
      </c>
      <c r="I65" s="6">
        <f t="shared" si="32"/>
        <v>27979.166666666668</v>
      </c>
      <c r="K65" s="6">
        <f t="shared" si="32"/>
        <v>845833.33333333337</v>
      </c>
      <c r="L65" s="6">
        <f t="shared" ref="L65" si="77">L33*$E65</f>
        <v>186166.66666666669</v>
      </c>
      <c r="O65" s="6">
        <f t="shared" ref="O65" si="78">O33*$E65</f>
        <v>291.66666666666663</v>
      </c>
      <c r="Q65" s="6">
        <f t="shared" ref="Q65:T65" si="79">Q33*$E65</f>
        <v>8145.833333333333</v>
      </c>
      <c r="R65" s="6">
        <f t="shared" si="79"/>
        <v>16833.333333333332</v>
      </c>
      <c r="S65" s="6">
        <f t="shared" si="79"/>
        <v>20604.166666666664</v>
      </c>
      <c r="T65" s="6">
        <f t="shared" si="79"/>
        <v>128312.49999999999</v>
      </c>
      <c r="W65" s="6">
        <f t="shared" ref="W65" si="80">W33*$E65</f>
        <v>458.33333333333331</v>
      </c>
    </row>
    <row r="66" spans="1:23" s="6" customFormat="1" x14ac:dyDescent="0.25">
      <c r="A66" s="10">
        <v>29</v>
      </c>
      <c r="B66" s="1">
        <v>2300000</v>
      </c>
      <c r="C66">
        <v>182808</v>
      </c>
      <c r="D66" s="6">
        <v>266666.66666666663</v>
      </c>
      <c r="E66" s="6">
        <f t="shared" si="30"/>
        <v>21195.130434782604</v>
      </c>
      <c r="I66" s="6">
        <f t="shared" si="32"/>
        <v>55675.362318840569</v>
      </c>
      <c r="K66" s="6">
        <f t="shared" si="32"/>
        <v>441971.01449275349</v>
      </c>
      <c r="L66" s="6">
        <f t="shared" ref="L66" si="81">L34*$E66</f>
        <v>110852.17391304346</v>
      </c>
      <c r="O66" s="6">
        <f t="shared" ref="O66" si="82">O34*$E66</f>
        <v>81.159420289855063</v>
      </c>
      <c r="Q66" s="6">
        <f t="shared" ref="Q66:T66" si="83">Q34*$E66</f>
        <v>2504.347826086956</v>
      </c>
      <c r="R66" s="6">
        <f t="shared" si="83"/>
        <v>4939.1304347826072</v>
      </c>
      <c r="S66" s="6">
        <f t="shared" si="83"/>
        <v>12034.78260869565</v>
      </c>
      <c r="T66" s="6">
        <f t="shared" si="83"/>
        <v>232289.85507246372</v>
      </c>
      <c r="W66" s="6">
        <f>W34*$E66</f>
        <v>46.376811594202891</v>
      </c>
    </row>
    <row r="67" spans="1:23" s="12" customFormat="1" x14ac:dyDescent="0.25">
      <c r="A67" s="10"/>
      <c r="B67" s="1"/>
      <c r="C67" s="1"/>
      <c r="D67" s="6"/>
      <c r="E67" s="6"/>
      <c r="I67" s="6"/>
      <c r="K67" s="6"/>
      <c r="L67" s="6"/>
      <c r="O67" s="6"/>
      <c r="Q67" s="6"/>
      <c r="R67" s="6"/>
      <c r="S67" s="6"/>
      <c r="T67" s="6"/>
      <c r="W67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A2AC-E158-9143-AF07-41C83D0E2747}">
  <dimension ref="A1:AT69"/>
  <sheetViews>
    <sheetView topLeftCell="A31" workbookViewId="0">
      <selection activeCell="A54" sqref="A54:A69"/>
    </sheetView>
  </sheetViews>
  <sheetFormatPr defaultColWidth="11" defaultRowHeight="15.75" x14ac:dyDescent="0.25"/>
  <sheetData>
    <row r="1" spans="1:23" x14ac:dyDescent="0.25">
      <c r="A1" t="s">
        <v>31</v>
      </c>
      <c r="B1" t="s">
        <v>32</v>
      </c>
      <c r="C1" t="s">
        <v>33</v>
      </c>
      <c r="D1" t="s">
        <v>34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191</v>
      </c>
      <c r="K1" t="s">
        <v>192</v>
      </c>
      <c r="L1" t="s">
        <v>193</v>
      </c>
      <c r="M1" t="s">
        <v>194</v>
      </c>
      <c r="N1" t="s">
        <v>195</v>
      </c>
      <c r="O1" t="s">
        <v>196</v>
      </c>
      <c r="P1" t="s">
        <v>197</v>
      </c>
      <c r="Q1" t="s">
        <v>198</v>
      </c>
      <c r="R1" t="s">
        <v>199</v>
      </c>
      <c r="S1" t="s">
        <v>225</v>
      </c>
      <c r="T1" t="s">
        <v>244</v>
      </c>
      <c r="U1" t="s">
        <v>245</v>
      </c>
      <c r="V1" t="s">
        <v>246</v>
      </c>
      <c r="W1" t="s">
        <v>247</v>
      </c>
    </row>
    <row r="2" spans="1:23" x14ac:dyDescent="0.25">
      <c r="A2" t="s">
        <v>262</v>
      </c>
      <c r="B2" s="1">
        <v>1460000</v>
      </c>
      <c r="C2" s="1">
        <v>480000</v>
      </c>
      <c r="D2" s="1">
        <v>458000</v>
      </c>
      <c r="E2">
        <v>341611</v>
      </c>
      <c r="F2">
        <v>327621</v>
      </c>
      <c r="G2">
        <v>145527</v>
      </c>
      <c r="H2">
        <v>127894</v>
      </c>
      <c r="I2">
        <v>11820</v>
      </c>
      <c r="J2">
        <v>248277</v>
      </c>
      <c r="K2">
        <v>72583</v>
      </c>
      <c r="L2">
        <v>27591</v>
      </c>
      <c r="M2">
        <v>2454</v>
      </c>
      <c r="N2">
        <v>37</v>
      </c>
      <c r="O2">
        <v>0</v>
      </c>
      <c r="P2">
        <v>1232</v>
      </c>
      <c r="Q2">
        <v>780</v>
      </c>
      <c r="R2">
        <v>195</v>
      </c>
      <c r="S2">
        <v>2262</v>
      </c>
      <c r="T2">
        <v>27800</v>
      </c>
      <c r="U2">
        <v>4383</v>
      </c>
      <c r="V2">
        <v>113</v>
      </c>
      <c r="W2">
        <v>1</v>
      </c>
    </row>
    <row r="3" spans="1:23" x14ac:dyDescent="0.25">
      <c r="A3" t="s">
        <v>263</v>
      </c>
      <c r="B3" s="1">
        <v>1840000</v>
      </c>
      <c r="C3" s="1">
        <v>481000</v>
      </c>
      <c r="D3" s="1">
        <v>443000</v>
      </c>
      <c r="E3">
        <v>304630</v>
      </c>
      <c r="F3">
        <v>292675</v>
      </c>
      <c r="G3">
        <v>122159</v>
      </c>
      <c r="H3">
        <v>108086</v>
      </c>
      <c r="I3">
        <v>20519</v>
      </c>
      <c r="J3">
        <v>236754</v>
      </c>
      <c r="K3">
        <v>42055</v>
      </c>
      <c r="L3">
        <v>7659</v>
      </c>
      <c r="M3">
        <v>698</v>
      </c>
      <c r="N3">
        <v>24</v>
      </c>
      <c r="O3">
        <v>0</v>
      </c>
      <c r="P3">
        <v>435</v>
      </c>
      <c r="Q3">
        <v>223</v>
      </c>
      <c r="R3">
        <v>97</v>
      </c>
      <c r="S3">
        <v>792</v>
      </c>
      <c r="T3">
        <v>30674</v>
      </c>
      <c r="U3">
        <v>2752</v>
      </c>
      <c r="V3">
        <v>273</v>
      </c>
      <c r="W3">
        <v>0</v>
      </c>
    </row>
    <row r="4" spans="1:23" x14ac:dyDescent="0.25">
      <c r="A4" t="s">
        <v>264</v>
      </c>
      <c r="B4" s="1">
        <v>2250000</v>
      </c>
      <c r="C4" s="1">
        <v>416000</v>
      </c>
      <c r="D4">
        <v>372443</v>
      </c>
      <c r="E4">
        <v>190031</v>
      </c>
      <c r="F4">
        <v>174386</v>
      </c>
      <c r="G4">
        <v>88986</v>
      </c>
      <c r="H4">
        <v>76539</v>
      </c>
      <c r="I4">
        <v>7219</v>
      </c>
      <c r="J4">
        <v>137580</v>
      </c>
      <c r="K4">
        <v>35544</v>
      </c>
      <c r="L4">
        <v>9413</v>
      </c>
      <c r="M4">
        <v>812</v>
      </c>
      <c r="N4">
        <v>19</v>
      </c>
      <c r="O4">
        <v>0</v>
      </c>
      <c r="P4">
        <v>876</v>
      </c>
      <c r="Q4">
        <v>334</v>
      </c>
      <c r="R4">
        <v>106</v>
      </c>
      <c r="S4">
        <v>1489</v>
      </c>
      <c r="T4">
        <v>19711</v>
      </c>
      <c r="U4">
        <v>2190</v>
      </c>
      <c r="V4">
        <v>222</v>
      </c>
      <c r="W4">
        <v>0</v>
      </c>
    </row>
    <row r="5" spans="1:23" x14ac:dyDescent="0.25">
      <c r="A5" t="s">
        <v>265</v>
      </c>
      <c r="B5" s="1">
        <v>1520000</v>
      </c>
      <c r="C5">
        <v>233417</v>
      </c>
      <c r="D5">
        <v>204623</v>
      </c>
      <c r="E5">
        <v>107395</v>
      </c>
      <c r="F5">
        <v>98495</v>
      </c>
      <c r="G5">
        <v>61110</v>
      </c>
      <c r="H5">
        <v>52636</v>
      </c>
      <c r="I5">
        <v>5120</v>
      </c>
      <c r="J5">
        <v>79598</v>
      </c>
      <c r="K5">
        <v>22009</v>
      </c>
      <c r="L5">
        <v>6326</v>
      </c>
      <c r="M5">
        <v>974</v>
      </c>
      <c r="N5">
        <v>72</v>
      </c>
      <c r="O5">
        <v>1</v>
      </c>
      <c r="P5">
        <v>406</v>
      </c>
      <c r="Q5">
        <v>152</v>
      </c>
      <c r="R5">
        <v>97</v>
      </c>
      <c r="S5">
        <v>899</v>
      </c>
      <c r="T5">
        <v>11850</v>
      </c>
      <c r="U5">
        <v>1808</v>
      </c>
      <c r="V5">
        <v>380</v>
      </c>
      <c r="W5">
        <v>2</v>
      </c>
    </row>
    <row r="6" spans="1:23" x14ac:dyDescent="0.25">
      <c r="A6" t="s">
        <v>266</v>
      </c>
      <c r="B6" s="1">
        <v>2010000</v>
      </c>
      <c r="C6" s="1">
        <v>545000</v>
      </c>
      <c r="D6" s="1">
        <v>492000</v>
      </c>
      <c r="E6">
        <v>289836</v>
      </c>
      <c r="F6">
        <v>279776</v>
      </c>
      <c r="G6">
        <v>140858</v>
      </c>
      <c r="H6">
        <v>123158</v>
      </c>
      <c r="I6">
        <v>5360</v>
      </c>
      <c r="J6">
        <v>240589</v>
      </c>
      <c r="K6">
        <v>57385</v>
      </c>
      <c r="L6">
        <v>5651</v>
      </c>
      <c r="M6">
        <v>1097</v>
      </c>
      <c r="N6">
        <v>27</v>
      </c>
      <c r="O6">
        <v>0</v>
      </c>
      <c r="P6">
        <v>513</v>
      </c>
      <c r="Q6">
        <v>227</v>
      </c>
      <c r="R6">
        <v>135</v>
      </c>
      <c r="S6">
        <v>555</v>
      </c>
      <c r="T6">
        <v>39500</v>
      </c>
      <c r="U6">
        <v>6629</v>
      </c>
      <c r="V6">
        <v>1148</v>
      </c>
      <c r="W6">
        <v>0</v>
      </c>
    </row>
    <row r="7" spans="1:23" x14ac:dyDescent="0.25">
      <c r="A7" t="s">
        <v>267</v>
      </c>
      <c r="B7" s="1">
        <v>2310000</v>
      </c>
      <c r="C7" s="1">
        <v>626000</v>
      </c>
      <c r="D7" s="1">
        <v>569000</v>
      </c>
      <c r="E7">
        <v>352701</v>
      </c>
      <c r="F7">
        <v>314371</v>
      </c>
      <c r="G7">
        <v>160251</v>
      </c>
      <c r="H7">
        <v>127594</v>
      </c>
      <c r="I7">
        <v>11185</v>
      </c>
      <c r="J7">
        <v>270791</v>
      </c>
      <c r="K7">
        <v>73824</v>
      </c>
      <c r="L7">
        <v>17696</v>
      </c>
      <c r="M7">
        <v>2873</v>
      </c>
      <c r="N7">
        <v>202</v>
      </c>
      <c r="O7">
        <v>0</v>
      </c>
      <c r="P7">
        <v>963</v>
      </c>
      <c r="Q7">
        <v>566</v>
      </c>
      <c r="R7">
        <v>378</v>
      </c>
      <c r="S7">
        <v>1440</v>
      </c>
      <c r="T7">
        <v>41883</v>
      </c>
      <c r="U7">
        <v>7272</v>
      </c>
      <c r="V7">
        <v>3853</v>
      </c>
      <c r="W7">
        <v>0</v>
      </c>
    </row>
    <row r="8" spans="1:23" x14ac:dyDescent="0.25">
      <c r="A8" t="s">
        <v>268</v>
      </c>
      <c r="B8" s="1">
        <v>2740000</v>
      </c>
      <c r="C8" s="1">
        <v>559000</v>
      </c>
      <c r="D8" s="1">
        <v>482000</v>
      </c>
      <c r="E8">
        <v>255057</v>
      </c>
      <c r="F8">
        <v>167018</v>
      </c>
      <c r="G8">
        <v>79287</v>
      </c>
      <c r="H8">
        <v>60167</v>
      </c>
      <c r="I8">
        <v>7140</v>
      </c>
      <c r="J8">
        <v>134461</v>
      </c>
      <c r="K8">
        <v>50574</v>
      </c>
      <c r="L8">
        <v>14006</v>
      </c>
      <c r="M8">
        <v>773</v>
      </c>
      <c r="N8">
        <v>19</v>
      </c>
      <c r="O8">
        <v>0</v>
      </c>
      <c r="P8">
        <v>415</v>
      </c>
      <c r="Q8">
        <v>150</v>
      </c>
      <c r="R8">
        <v>138</v>
      </c>
      <c r="S8">
        <v>1560</v>
      </c>
      <c r="T8">
        <v>17136</v>
      </c>
      <c r="U8">
        <v>1810</v>
      </c>
      <c r="V8">
        <v>1031</v>
      </c>
      <c r="W8">
        <v>0</v>
      </c>
    </row>
    <row r="9" spans="1:23" x14ac:dyDescent="0.25">
      <c r="A9" t="s">
        <v>269</v>
      </c>
      <c r="B9" s="1">
        <v>2080000</v>
      </c>
      <c r="C9">
        <v>346946</v>
      </c>
      <c r="D9">
        <v>315250</v>
      </c>
      <c r="E9">
        <v>182382</v>
      </c>
      <c r="F9">
        <v>169639</v>
      </c>
      <c r="G9">
        <v>83789</v>
      </c>
      <c r="H9">
        <v>71236</v>
      </c>
      <c r="I9">
        <v>4481</v>
      </c>
      <c r="J9">
        <v>144243</v>
      </c>
      <c r="K9">
        <v>37597</v>
      </c>
      <c r="L9">
        <v>17907</v>
      </c>
      <c r="M9">
        <v>1507</v>
      </c>
      <c r="N9">
        <v>37</v>
      </c>
      <c r="O9">
        <v>0</v>
      </c>
      <c r="P9">
        <v>961</v>
      </c>
      <c r="Q9">
        <v>526</v>
      </c>
      <c r="R9">
        <v>154</v>
      </c>
      <c r="S9">
        <v>2087</v>
      </c>
      <c r="T9">
        <v>15423</v>
      </c>
      <c r="U9">
        <v>1471</v>
      </c>
      <c r="V9">
        <v>364</v>
      </c>
      <c r="W9">
        <v>1</v>
      </c>
    </row>
    <row r="10" spans="1:23" x14ac:dyDescent="0.25">
      <c r="A10" t="s">
        <v>270</v>
      </c>
      <c r="B10" s="1">
        <v>1760000</v>
      </c>
      <c r="C10" s="1">
        <v>418000</v>
      </c>
      <c r="D10">
        <v>379874</v>
      </c>
      <c r="E10">
        <v>241430</v>
      </c>
      <c r="F10">
        <v>229789</v>
      </c>
      <c r="G10">
        <v>102631</v>
      </c>
      <c r="H10">
        <v>83864</v>
      </c>
      <c r="I10">
        <v>8998</v>
      </c>
      <c r="J10">
        <v>194117</v>
      </c>
      <c r="K10">
        <v>55984</v>
      </c>
      <c r="L10">
        <v>12810</v>
      </c>
      <c r="M10">
        <v>1184</v>
      </c>
      <c r="N10">
        <v>101</v>
      </c>
      <c r="O10">
        <v>0</v>
      </c>
      <c r="P10">
        <v>690</v>
      </c>
      <c r="Q10">
        <v>359</v>
      </c>
      <c r="R10">
        <v>147</v>
      </c>
      <c r="S10">
        <v>1949</v>
      </c>
      <c r="T10">
        <v>34046</v>
      </c>
      <c r="U10">
        <v>3173</v>
      </c>
      <c r="V10">
        <v>418</v>
      </c>
      <c r="W10">
        <v>4</v>
      </c>
    </row>
    <row r="11" spans="1:23" x14ac:dyDescent="0.25">
      <c r="A11" t="s">
        <v>271</v>
      </c>
      <c r="B11" s="1">
        <v>1940000</v>
      </c>
      <c r="C11">
        <v>371063</v>
      </c>
      <c r="D11">
        <v>331252</v>
      </c>
      <c r="E11">
        <v>185881</v>
      </c>
      <c r="F11">
        <v>174080</v>
      </c>
      <c r="G11">
        <v>75537</v>
      </c>
      <c r="H11">
        <v>60660</v>
      </c>
      <c r="I11">
        <v>4166</v>
      </c>
      <c r="J11">
        <v>151533</v>
      </c>
      <c r="K11">
        <v>44302</v>
      </c>
      <c r="L11">
        <v>14662</v>
      </c>
      <c r="M11">
        <v>1397</v>
      </c>
      <c r="N11">
        <v>61</v>
      </c>
      <c r="O11">
        <v>1</v>
      </c>
      <c r="P11">
        <v>860</v>
      </c>
      <c r="Q11">
        <v>320</v>
      </c>
      <c r="R11">
        <v>165</v>
      </c>
      <c r="S11">
        <v>1671</v>
      </c>
      <c r="T11">
        <v>20979</v>
      </c>
      <c r="U11">
        <v>1373</v>
      </c>
      <c r="V11">
        <v>210</v>
      </c>
      <c r="W11">
        <v>0</v>
      </c>
    </row>
    <row r="12" spans="1:23" x14ac:dyDescent="0.25">
      <c r="A12" t="s">
        <v>272</v>
      </c>
      <c r="B12" s="1">
        <v>1300000</v>
      </c>
      <c r="C12">
        <v>309952</v>
      </c>
      <c r="D12">
        <v>278671</v>
      </c>
      <c r="E12">
        <v>178965</v>
      </c>
      <c r="F12">
        <v>167972</v>
      </c>
      <c r="G12">
        <v>89708</v>
      </c>
      <c r="H12">
        <v>73997</v>
      </c>
      <c r="I12">
        <v>5766</v>
      </c>
      <c r="J12">
        <v>135031</v>
      </c>
      <c r="K12">
        <v>46348</v>
      </c>
      <c r="L12">
        <v>15862</v>
      </c>
      <c r="M12">
        <v>1315</v>
      </c>
      <c r="N12">
        <v>89</v>
      </c>
      <c r="O12">
        <v>5</v>
      </c>
      <c r="P12">
        <v>1259</v>
      </c>
      <c r="Q12">
        <v>701</v>
      </c>
      <c r="R12">
        <v>197</v>
      </c>
      <c r="S12">
        <v>1582</v>
      </c>
      <c r="T12">
        <v>17072</v>
      </c>
      <c r="U12">
        <v>1497</v>
      </c>
      <c r="V12">
        <v>279</v>
      </c>
      <c r="W12">
        <v>0</v>
      </c>
    </row>
    <row r="13" spans="1:23" x14ac:dyDescent="0.25">
      <c r="A13" t="s">
        <v>273</v>
      </c>
      <c r="B13" s="1">
        <v>1030000</v>
      </c>
      <c r="C13">
        <v>180046</v>
      </c>
      <c r="D13">
        <v>161508</v>
      </c>
      <c r="E13">
        <v>78677</v>
      </c>
      <c r="F13">
        <v>65057</v>
      </c>
      <c r="G13">
        <v>25154</v>
      </c>
      <c r="H13">
        <v>16785</v>
      </c>
      <c r="I13">
        <v>1059</v>
      </c>
      <c r="J13">
        <v>55842</v>
      </c>
      <c r="K13">
        <v>22282</v>
      </c>
      <c r="L13">
        <v>7334</v>
      </c>
      <c r="M13">
        <v>551</v>
      </c>
      <c r="N13">
        <v>50</v>
      </c>
      <c r="O13">
        <v>1</v>
      </c>
      <c r="P13">
        <v>536</v>
      </c>
      <c r="Q13">
        <v>326</v>
      </c>
      <c r="R13">
        <v>93</v>
      </c>
      <c r="S13">
        <v>2361</v>
      </c>
      <c r="T13">
        <v>13069</v>
      </c>
      <c r="U13">
        <v>537</v>
      </c>
      <c r="V13">
        <v>97</v>
      </c>
      <c r="W13">
        <v>0</v>
      </c>
    </row>
    <row r="14" spans="1:23" x14ac:dyDescent="0.25">
      <c r="A14" t="s">
        <v>274</v>
      </c>
      <c r="B14" s="1">
        <v>1590000</v>
      </c>
      <c r="C14">
        <v>269885</v>
      </c>
      <c r="D14">
        <v>237318</v>
      </c>
      <c r="E14">
        <v>125680</v>
      </c>
      <c r="F14">
        <v>110738</v>
      </c>
      <c r="G14">
        <v>64712</v>
      </c>
      <c r="H14">
        <v>57060</v>
      </c>
      <c r="I14">
        <v>3049</v>
      </c>
      <c r="J14">
        <v>89056</v>
      </c>
      <c r="K14">
        <v>22351</v>
      </c>
      <c r="L14">
        <v>6059</v>
      </c>
      <c r="M14">
        <v>1409</v>
      </c>
      <c r="N14">
        <v>23</v>
      </c>
      <c r="O14">
        <v>0</v>
      </c>
      <c r="P14">
        <v>380</v>
      </c>
      <c r="Q14">
        <v>159</v>
      </c>
      <c r="R14">
        <v>145</v>
      </c>
      <c r="S14">
        <v>700</v>
      </c>
      <c r="T14">
        <v>9987</v>
      </c>
      <c r="U14">
        <v>3138</v>
      </c>
      <c r="V14">
        <v>240</v>
      </c>
      <c r="W14">
        <v>1</v>
      </c>
    </row>
    <row r="15" spans="1:23" x14ac:dyDescent="0.25">
      <c r="A15" t="s">
        <v>275</v>
      </c>
      <c r="B15" s="1">
        <v>1120000</v>
      </c>
      <c r="C15">
        <v>203840</v>
      </c>
      <c r="D15">
        <v>181877</v>
      </c>
      <c r="E15">
        <v>112135</v>
      </c>
      <c r="F15">
        <v>101987</v>
      </c>
      <c r="G15">
        <v>52702</v>
      </c>
      <c r="H15">
        <v>41417</v>
      </c>
      <c r="I15">
        <v>3976</v>
      </c>
      <c r="J15">
        <v>87669</v>
      </c>
      <c r="K15">
        <v>32451</v>
      </c>
      <c r="L15">
        <v>5839</v>
      </c>
      <c r="M15">
        <v>796</v>
      </c>
      <c r="N15">
        <v>47</v>
      </c>
      <c r="O15">
        <v>1</v>
      </c>
      <c r="P15">
        <v>352</v>
      </c>
      <c r="Q15">
        <v>225</v>
      </c>
      <c r="R15">
        <v>145</v>
      </c>
      <c r="S15">
        <v>668</v>
      </c>
      <c r="T15">
        <v>20710</v>
      </c>
      <c r="U15">
        <v>2547</v>
      </c>
      <c r="V15">
        <v>415</v>
      </c>
      <c r="W15">
        <v>0</v>
      </c>
    </row>
    <row r="16" spans="1:23" x14ac:dyDescent="0.25">
      <c r="A16" t="s">
        <v>276</v>
      </c>
      <c r="B16" s="1">
        <v>1490000</v>
      </c>
      <c r="C16">
        <v>265326</v>
      </c>
      <c r="D16">
        <v>232518</v>
      </c>
      <c r="E16">
        <v>116861</v>
      </c>
      <c r="F16">
        <v>105417</v>
      </c>
      <c r="G16">
        <v>53001</v>
      </c>
      <c r="H16">
        <v>41990</v>
      </c>
      <c r="I16">
        <v>6326</v>
      </c>
      <c r="J16">
        <v>86859</v>
      </c>
      <c r="K16">
        <v>30929</v>
      </c>
      <c r="L16">
        <v>8539</v>
      </c>
      <c r="M16">
        <v>1284</v>
      </c>
      <c r="N16">
        <v>38</v>
      </c>
      <c r="O16">
        <v>0</v>
      </c>
      <c r="P16">
        <v>658</v>
      </c>
      <c r="Q16">
        <v>272</v>
      </c>
      <c r="R16">
        <v>91</v>
      </c>
      <c r="S16">
        <v>595</v>
      </c>
      <c r="T16">
        <v>16594</v>
      </c>
      <c r="U16">
        <v>1637</v>
      </c>
      <c r="V16">
        <v>189</v>
      </c>
      <c r="W16">
        <v>0</v>
      </c>
    </row>
    <row r="18" spans="1:23" ht="27" customHeight="1" x14ac:dyDescent="0.25">
      <c r="B18" s="1" t="s">
        <v>70</v>
      </c>
      <c r="C18" s="1" t="s">
        <v>71</v>
      </c>
      <c r="D18" s="1" t="s">
        <v>72</v>
      </c>
      <c r="E18" s="1" t="s">
        <v>73</v>
      </c>
      <c r="F18" s="1" t="s">
        <v>74</v>
      </c>
      <c r="G18" s="1" t="s">
        <v>75</v>
      </c>
      <c r="H18" s="1" t="s">
        <v>76</v>
      </c>
      <c r="I18" s="3" t="s">
        <v>18</v>
      </c>
      <c r="J18" s="1" t="s">
        <v>77</v>
      </c>
      <c r="K18" s="3" t="s">
        <v>12</v>
      </c>
      <c r="L18" s="3" t="s">
        <v>79</v>
      </c>
      <c r="O18" s="4" t="s">
        <v>80</v>
      </c>
      <c r="Q18" s="4" t="s">
        <v>25</v>
      </c>
      <c r="R18" s="4" t="s">
        <v>81</v>
      </c>
      <c r="S18" s="4" t="s">
        <v>82</v>
      </c>
      <c r="T18" s="4" t="s">
        <v>83</v>
      </c>
      <c r="W18" s="4" t="s">
        <v>84</v>
      </c>
    </row>
    <row r="19" spans="1:23" x14ac:dyDescent="0.25">
      <c r="B19" s="1"/>
      <c r="I19" s="4"/>
      <c r="K19" s="4"/>
      <c r="L19" s="4"/>
      <c r="O19" s="4"/>
      <c r="Q19" s="4"/>
      <c r="R19" s="4"/>
      <c r="S19" s="4"/>
      <c r="T19" s="4"/>
      <c r="W19" s="4"/>
    </row>
    <row r="20" spans="1:23" s="7" customFormat="1" x14ac:dyDescent="0.25">
      <c r="A20" s="7" t="s">
        <v>85</v>
      </c>
    </row>
    <row r="21" spans="1:23" ht="27" customHeight="1" x14ac:dyDescent="0.25">
      <c r="A21" s="7"/>
      <c r="B21" s="1" t="s">
        <v>70</v>
      </c>
      <c r="C21" s="1" t="s">
        <v>71</v>
      </c>
      <c r="D21" s="1" t="s">
        <v>72</v>
      </c>
      <c r="E21" s="1" t="s">
        <v>73</v>
      </c>
      <c r="F21" s="1" t="s">
        <v>74</v>
      </c>
      <c r="G21" s="1" t="s">
        <v>75</v>
      </c>
      <c r="H21" s="1" t="s">
        <v>76</v>
      </c>
      <c r="I21" s="3" t="s">
        <v>18</v>
      </c>
      <c r="J21" s="1" t="s">
        <v>77</v>
      </c>
      <c r="K21" s="3" t="s">
        <v>12</v>
      </c>
      <c r="L21" s="3" t="s">
        <v>79</v>
      </c>
      <c r="O21" s="4" t="s">
        <v>80</v>
      </c>
      <c r="Q21" s="4" t="s">
        <v>25</v>
      </c>
      <c r="R21" s="4" t="s">
        <v>81</v>
      </c>
      <c r="S21" s="4" t="s">
        <v>82</v>
      </c>
      <c r="T21" s="4" t="s">
        <v>83</v>
      </c>
      <c r="W21" s="4" t="s">
        <v>84</v>
      </c>
    </row>
    <row r="22" spans="1:23" x14ac:dyDescent="0.25">
      <c r="A22" s="7">
        <v>1</v>
      </c>
      <c r="F22" s="1">
        <f>100*F2/$E2</f>
        <v>95.904698619189659</v>
      </c>
      <c r="G22" s="1">
        <f t="shared" ref="G22:W22" si="0">100*G2/$E2</f>
        <v>42.60020900966304</v>
      </c>
      <c r="H22" s="1">
        <f t="shared" si="0"/>
        <v>37.438489978367208</v>
      </c>
      <c r="I22" s="1">
        <f t="shared" si="0"/>
        <v>3.4600759343229579</v>
      </c>
      <c r="J22" s="1">
        <f t="shared" si="0"/>
        <v>72.678280266150679</v>
      </c>
      <c r="K22" s="1">
        <f t="shared" si="0"/>
        <v>21.24726662783107</v>
      </c>
      <c r="L22" s="1">
        <f t="shared" si="0"/>
        <v>8.0767305502457472</v>
      </c>
      <c r="M22" s="1">
        <f t="shared" si="0"/>
        <v>0.71836094270969031</v>
      </c>
      <c r="N22" s="1">
        <f t="shared" si="0"/>
        <v>1.0831032958540562E-2</v>
      </c>
      <c r="O22" s="1">
        <f t="shared" si="0"/>
        <v>0</v>
      </c>
      <c r="P22" s="1">
        <f t="shared" si="0"/>
        <v>0.36064412445735061</v>
      </c>
      <c r="Q22" s="1">
        <f t="shared" si="0"/>
        <v>0.2283298839908551</v>
      </c>
      <c r="R22" s="1">
        <f t="shared" si="0"/>
        <v>5.7082470997713776E-2</v>
      </c>
      <c r="S22" s="1">
        <f t="shared" si="0"/>
        <v>0.6621566635734798</v>
      </c>
      <c r="T22" s="1">
        <f t="shared" si="0"/>
        <v>8.1379112499304771</v>
      </c>
      <c r="U22" s="1">
        <f t="shared" si="0"/>
        <v>1.2830383096563049</v>
      </c>
      <c r="V22" s="1">
        <f t="shared" si="0"/>
        <v>3.3078560116623877E-2</v>
      </c>
      <c r="W22" s="1">
        <f t="shared" si="0"/>
        <v>2.927306205010963E-4</v>
      </c>
    </row>
    <row r="23" spans="1:23" x14ac:dyDescent="0.25">
      <c r="A23" s="7">
        <v>2</v>
      </c>
      <c r="F23" s="1">
        <f t="shared" ref="F23:R34" si="1">100*F3/$E3</f>
        <v>96.075567081377415</v>
      </c>
      <c r="G23" s="1">
        <f t="shared" si="1"/>
        <v>40.100777992975082</v>
      </c>
      <c r="H23" s="1">
        <f t="shared" si="1"/>
        <v>35.481075402947837</v>
      </c>
      <c r="I23" s="1">
        <f t="shared" si="1"/>
        <v>6.7357121754259266</v>
      </c>
      <c r="J23" s="1">
        <f t="shared" si="1"/>
        <v>77.718543807241574</v>
      </c>
      <c r="K23" s="1">
        <f t="shared" si="1"/>
        <v>13.805271969274202</v>
      </c>
      <c r="L23" s="1">
        <f t="shared" si="1"/>
        <v>2.5141975511275976</v>
      </c>
      <c r="M23" s="1">
        <f t="shared" si="1"/>
        <v>0.22913042051012705</v>
      </c>
      <c r="N23" s="1">
        <f t="shared" si="1"/>
        <v>7.8784098742737084E-3</v>
      </c>
      <c r="O23" s="1">
        <f t="shared" si="1"/>
        <v>0</v>
      </c>
      <c r="P23" s="1">
        <f t="shared" si="1"/>
        <v>0.14279617897121097</v>
      </c>
      <c r="Q23" s="1">
        <f t="shared" si="1"/>
        <v>7.3203558415126546E-2</v>
      </c>
      <c r="R23" s="1">
        <f t="shared" si="1"/>
        <v>3.1841906575189573E-2</v>
      </c>
      <c r="S23" s="1">
        <f t="shared" ref="S23:W23" si="2">100*S3/$E3</f>
        <v>0.25998752585103241</v>
      </c>
      <c r="T23" s="1">
        <f t="shared" si="2"/>
        <v>10.06926435347799</v>
      </c>
      <c r="U23" s="1">
        <f t="shared" si="2"/>
        <v>0.90339099891671859</v>
      </c>
      <c r="V23" s="1">
        <f t="shared" si="2"/>
        <v>8.9616912319863434E-2</v>
      </c>
      <c r="W23" s="1">
        <f t="shared" si="2"/>
        <v>0</v>
      </c>
    </row>
    <row r="24" spans="1:23" x14ac:dyDescent="0.25">
      <c r="A24" s="7">
        <v>3</v>
      </c>
      <c r="F24" s="1">
        <f t="shared" si="1"/>
        <v>91.767132730975476</v>
      </c>
      <c r="G24" s="1">
        <f t="shared" si="1"/>
        <v>46.82709663160221</v>
      </c>
      <c r="H24" s="1">
        <f t="shared" si="1"/>
        <v>40.277112681615108</v>
      </c>
      <c r="I24" s="1">
        <f t="shared" si="1"/>
        <v>3.7988538712104867</v>
      </c>
      <c r="J24" s="1">
        <f t="shared" si="1"/>
        <v>72.398713894048868</v>
      </c>
      <c r="K24" s="1">
        <f t="shared" si="1"/>
        <v>18.704316664123223</v>
      </c>
      <c r="L24" s="1">
        <f t="shared" si="1"/>
        <v>4.9534023396182727</v>
      </c>
      <c r="M24" s="1">
        <f t="shared" si="1"/>
        <v>0.4272987038956802</v>
      </c>
      <c r="N24" s="1">
        <f t="shared" si="1"/>
        <v>9.9983686872141906E-3</v>
      </c>
      <c r="O24" s="1">
        <f t="shared" si="1"/>
        <v>0</v>
      </c>
      <c r="P24" s="1">
        <f t="shared" si="1"/>
        <v>0.46097741947366483</v>
      </c>
      <c r="Q24" s="1">
        <f t="shared" si="1"/>
        <v>0.17576079692260738</v>
      </c>
      <c r="R24" s="1">
        <f t="shared" si="1"/>
        <v>5.5780372676037068E-2</v>
      </c>
      <c r="S24" s="1">
        <f t="shared" ref="S24:W24" si="3">100*S4/$E4</f>
        <v>0.78355636711904897</v>
      </c>
      <c r="T24" s="1">
        <f t="shared" si="3"/>
        <v>10.372518168088364</v>
      </c>
      <c r="U24" s="1">
        <f t="shared" si="3"/>
        <v>1.152443548684162</v>
      </c>
      <c r="V24" s="1">
        <f t="shared" si="3"/>
        <v>0.11682304466113423</v>
      </c>
      <c r="W24" s="1">
        <f t="shared" si="3"/>
        <v>0</v>
      </c>
    </row>
    <row r="25" spans="1:23" x14ac:dyDescent="0.25">
      <c r="A25" s="7">
        <v>4</v>
      </c>
      <c r="F25" s="1">
        <f t="shared" si="1"/>
        <v>91.71283579310024</v>
      </c>
      <c r="G25" s="1">
        <f t="shared" si="1"/>
        <v>56.902090413892637</v>
      </c>
      <c r="H25" s="1">
        <f t="shared" si="1"/>
        <v>49.011592718469203</v>
      </c>
      <c r="I25" s="1">
        <f t="shared" si="1"/>
        <v>4.7674472740816611</v>
      </c>
      <c r="J25" s="1">
        <f t="shared" si="1"/>
        <v>74.11704455514689</v>
      </c>
      <c r="K25" s="1">
        <f t="shared" si="1"/>
        <v>20.493505284231109</v>
      </c>
      <c r="L25" s="1">
        <f t="shared" si="1"/>
        <v>5.8904045812188652</v>
      </c>
      <c r="M25" s="1">
        <f t="shared" si="1"/>
        <v>0.90693235253037852</v>
      </c>
      <c r="N25" s="1">
        <f t="shared" si="1"/>
        <v>6.7042227291773365E-2</v>
      </c>
      <c r="O25" s="1">
        <f t="shared" si="1"/>
        <v>9.311420457190744E-4</v>
      </c>
      <c r="P25" s="1">
        <f t="shared" si="1"/>
        <v>0.37804367056194421</v>
      </c>
      <c r="Q25" s="1">
        <f t="shared" si="1"/>
        <v>0.14153359094929932</v>
      </c>
      <c r="R25" s="1">
        <f t="shared" si="1"/>
        <v>9.0320778434750226E-2</v>
      </c>
      <c r="S25" s="1">
        <f t="shared" ref="S25:W25" si="4">100*S5/$E5</f>
        <v>0.83709669910144791</v>
      </c>
      <c r="T25" s="1">
        <f t="shared" si="4"/>
        <v>11.034033241771033</v>
      </c>
      <c r="U25" s="1">
        <f t="shared" si="4"/>
        <v>1.6835048186600865</v>
      </c>
      <c r="V25" s="1">
        <f t="shared" si="4"/>
        <v>0.35383397737324829</v>
      </c>
      <c r="W25" s="1">
        <f t="shared" si="4"/>
        <v>1.8622840914381488E-3</v>
      </c>
    </row>
    <row r="26" spans="1:23" x14ac:dyDescent="0.25">
      <c r="A26" s="7">
        <v>5</v>
      </c>
      <c r="F26" s="1">
        <f t="shared" si="1"/>
        <v>96.529071612912134</v>
      </c>
      <c r="G26" s="1">
        <f t="shared" si="1"/>
        <v>48.599207827875077</v>
      </c>
      <c r="H26" s="1">
        <f t="shared" si="1"/>
        <v>42.492305993734391</v>
      </c>
      <c r="I26" s="1">
        <f t="shared" si="1"/>
        <v>1.8493216853668972</v>
      </c>
      <c r="J26" s="1">
        <f t="shared" si="1"/>
        <v>83.00866697028664</v>
      </c>
      <c r="K26" s="1">
        <f t="shared" si="1"/>
        <v>19.799127782608096</v>
      </c>
      <c r="L26" s="1">
        <f t="shared" si="1"/>
        <v>1.9497232917926</v>
      </c>
      <c r="M26" s="1">
        <f t="shared" si="1"/>
        <v>0.37848990463572502</v>
      </c>
      <c r="N26" s="1">
        <f t="shared" si="1"/>
        <v>9.3156129673332509E-3</v>
      </c>
      <c r="O26" s="1">
        <f t="shared" si="1"/>
        <v>0</v>
      </c>
      <c r="P26" s="1">
        <f t="shared" si="1"/>
        <v>0.17699664637933177</v>
      </c>
      <c r="Q26" s="1">
        <f t="shared" si="1"/>
        <v>7.8320153466098066E-2</v>
      </c>
      <c r="R26" s="1">
        <f t="shared" si="1"/>
        <v>4.6578064836666253E-2</v>
      </c>
      <c r="S26" s="1">
        <f t="shared" ref="S26:W26" si="5">100*S6/$E6</f>
        <v>0.19148759988407238</v>
      </c>
      <c r="T26" s="1">
        <f t="shared" si="5"/>
        <v>13.628396748506052</v>
      </c>
      <c r="U26" s="1">
        <f t="shared" si="5"/>
        <v>2.28715549483156</v>
      </c>
      <c r="V26" s="1">
        <f t="shared" si="5"/>
        <v>0.39608606246291006</v>
      </c>
      <c r="W26" s="1">
        <f t="shared" si="5"/>
        <v>0</v>
      </c>
    </row>
    <row r="27" spans="1:23" x14ac:dyDescent="0.25">
      <c r="A27" s="7">
        <v>6</v>
      </c>
      <c r="F27" s="1">
        <f t="shared" si="1"/>
        <v>89.132437957363322</v>
      </c>
      <c r="G27" s="1">
        <f t="shared" si="1"/>
        <v>45.435368768446928</v>
      </c>
      <c r="H27" s="1">
        <f t="shared" si="1"/>
        <v>36.176251272324151</v>
      </c>
      <c r="I27" s="1">
        <f t="shared" si="1"/>
        <v>3.17124136308091</v>
      </c>
      <c r="J27" s="1">
        <f t="shared" si="1"/>
        <v>76.776362981675703</v>
      </c>
      <c r="K27" s="1">
        <f t="shared" si="1"/>
        <v>20.931043575152891</v>
      </c>
      <c r="L27" s="1">
        <f t="shared" si="1"/>
        <v>5.0172809263370386</v>
      </c>
      <c r="M27" s="1">
        <f t="shared" si="1"/>
        <v>0.81457098222006741</v>
      </c>
      <c r="N27" s="1">
        <f t="shared" si="1"/>
        <v>5.7272307138340972E-2</v>
      </c>
      <c r="O27" s="1">
        <f t="shared" si="1"/>
        <v>0</v>
      </c>
      <c r="P27" s="1">
        <f t="shared" si="1"/>
        <v>0.27303580086248691</v>
      </c>
      <c r="Q27" s="1">
        <f t="shared" si="1"/>
        <v>0.16047587049653955</v>
      </c>
      <c r="R27" s="1">
        <f t="shared" si="1"/>
        <v>0.10717293117966777</v>
      </c>
      <c r="S27" s="1">
        <f t="shared" ref="S27:W27" si="6">100*S7/$E7</f>
        <v>0.408277833065401</v>
      </c>
      <c r="T27" s="1">
        <f t="shared" si="6"/>
        <v>11.874930890470965</v>
      </c>
      <c r="U27" s="1">
        <f t="shared" si="6"/>
        <v>2.061803056980275</v>
      </c>
      <c r="V27" s="1">
        <f t="shared" si="6"/>
        <v>1.0924267297229098</v>
      </c>
      <c r="W27" s="1">
        <f t="shared" si="6"/>
        <v>0</v>
      </c>
    </row>
    <row r="28" spans="1:23" x14ac:dyDescent="0.25">
      <c r="A28" s="7">
        <v>7</v>
      </c>
      <c r="F28" s="1">
        <f t="shared" si="1"/>
        <v>65.482617610965391</v>
      </c>
      <c r="G28" s="1">
        <f t="shared" si="1"/>
        <v>31.085992542843364</v>
      </c>
      <c r="H28" s="1">
        <f t="shared" si="1"/>
        <v>23.589628984893572</v>
      </c>
      <c r="I28" s="1">
        <f t="shared" si="1"/>
        <v>2.7993742575189073</v>
      </c>
      <c r="J28" s="1">
        <f t="shared" si="1"/>
        <v>52.718019893592412</v>
      </c>
      <c r="K28" s="1">
        <f t="shared" si="1"/>
        <v>19.828508921535185</v>
      </c>
      <c r="L28" s="1">
        <f t="shared" si="1"/>
        <v>5.4913215477324675</v>
      </c>
      <c r="M28" s="1">
        <f t="shared" si="1"/>
        <v>0.30306950995267723</v>
      </c>
      <c r="N28" s="1">
        <f t="shared" si="1"/>
        <v>7.4493152511007346E-3</v>
      </c>
      <c r="O28" s="1">
        <f t="shared" si="1"/>
        <v>0</v>
      </c>
      <c r="P28" s="1">
        <f t="shared" si="1"/>
        <v>0.16270872785298973</v>
      </c>
      <c r="Q28" s="1">
        <f t="shared" si="1"/>
        <v>5.8810383561321587E-2</v>
      </c>
      <c r="R28" s="1">
        <f t="shared" si="1"/>
        <v>5.4105552876415858E-2</v>
      </c>
      <c r="S28" s="1">
        <f t="shared" ref="S28:W28" si="7">100*S8/$E8</f>
        <v>0.61162798903774451</v>
      </c>
      <c r="T28" s="1">
        <f t="shared" si="7"/>
        <v>6.7184982180453785</v>
      </c>
      <c r="U28" s="1">
        <f t="shared" si="7"/>
        <v>0.70964529497328044</v>
      </c>
      <c r="V28" s="1">
        <f t="shared" si="7"/>
        <v>0.40422336967815037</v>
      </c>
      <c r="W28" s="1">
        <f t="shared" si="7"/>
        <v>0</v>
      </c>
    </row>
    <row r="29" spans="1:23" x14ac:dyDescent="0.25">
      <c r="A29" s="7">
        <v>8</v>
      </c>
      <c r="F29" s="1">
        <f t="shared" si="1"/>
        <v>93.013016635413578</v>
      </c>
      <c r="G29" s="1">
        <f t="shared" si="1"/>
        <v>45.941485453608358</v>
      </c>
      <c r="H29" s="1">
        <f t="shared" si="1"/>
        <v>39.058679036308405</v>
      </c>
      <c r="I29" s="1">
        <f t="shared" si="1"/>
        <v>2.4569310567928855</v>
      </c>
      <c r="J29" s="1">
        <f t="shared" si="1"/>
        <v>79.08839688127118</v>
      </c>
      <c r="K29" s="1">
        <f t="shared" si="1"/>
        <v>20.614424669101119</v>
      </c>
      <c r="L29" s="1">
        <f t="shared" si="1"/>
        <v>9.8184031318880152</v>
      </c>
      <c r="M29" s="1">
        <f t="shared" si="1"/>
        <v>0.82628768189843294</v>
      </c>
      <c r="N29" s="1">
        <f t="shared" si="1"/>
        <v>2.0287089734732595E-2</v>
      </c>
      <c r="O29" s="1">
        <f t="shared" si="1"/>
        <v>0</v>
      </c>
      <c r="P29" s="1">
        <f t="shared" si="1"/>
        <v>0.52691603338048709</v>
      </c>
      <c r="Q29" s="1">
        <f t="shared" si="1"/>
        <v>0.28840565406673901</v>
      </c>
      <c r="R29" s="1">
        <f t="shared" si="1"/>
        <v>8.4438157274292422E-2</v>
      </c>
      <c r="S29" s="1">
        <f t="shared" ref="S29:W29" si="8">100*S9/$E9</f>
        <v>1.1443015209834304</v>
      </c>
      <c r="T29" s="1">
        <f t="shared" si="8"/>
        <v>8.4564266210481289</v>
      </c>
      <c r="U29" s="1">
        <f t="shared" si="8"/>
        <v>0.80654889188626067</v>
      </c>
      <c r="V29" s="1">
        <f t="shared" si="8"/>
        <v>0.19958109901196389</v>
      </c>
      <c r="W29" s="1">
        <f t="shared" si="8"/>
        <v>5.4829972256034037E-4</v>
      </c>
    </row>
    <row r="30" spans="1:23" x14ac:dyDescent="0.25">
      <c r="A30" s="7">
        <v>9</v>
      </c>
      <c r="F30" s="1">
        <f t="shared" si="1"/>
        <v>95.178312554363586</v>
      </c>
      <c r="G30" s="1">
        <f t="shared" si="1"/>
        <v>42.509630120531831</v>
      </c>
      <c r="H30" s="1">
        <f t="shared" si="1"/>
        <v>34.736362506730728</v>
      </c>
      <c r="I30" s="1">
        <f t="shared" si="1"/>
        <v>3.7269601955018019</v>
      </c>
      <c r="J30" s="1">
        <f t="shared" si="1"/>
        <v>80.403015366772976</v>
      </c>
      <c r="K30" s="1">
        <f t="shared" si="1"/>
        <v>23.188501843184358</v>
      </c>
      <c r="L30" s="1">
        <f t="shared" si="1"/>
        <v>5.3058857639895622</v>
      </c>
      <c r="M30" s="1">
        <f t="shared" si="1"/>
        <v>0.49041129934142402</v>
      </c>
      <c r="N30" s="1">
        <f t="shared" si="1"/>
        <v>4.1834071987739717E-2</v>
      </c>
      <c r="O30" s="1">
        <f t="shared" si="1"/>
        <v>0</v>
      </c>
      <c r="P30" s="1">
        <f t="shared" si="1"/>
        <v>0.28579712546079611</v>
      </c>
      <c r="Q30" s="1">
        <f t="shared" si="1"/>
        <v>0.14869734498612433</v>
      </c>
      <c r="R30" s="1">
        <f t="shared" si="1"/>
        <v>6.0887213685126125E-2</v>
      </c>
      <c r="S30" s="1">
        <f t="shared" ref="S30:W30" si="9">100*S10/$E10</f>
        <v>0.80727332974361099</v>
      </c>
      <c r="T30" s="1">
        <f t="shared" si="9"/>
        <v>14.101810048461251</v>
      </c>
      <c r="U30" s="1">
        <f t="shared" si="9"/>
        <v>1.3142525783871102</v>
      </c>
      <c r="V30" s="1">
        <f t="shared" si="9"/>
        <v>0.17313507020668517</v>
      </c>
      <c r="W30" s="1">
        <f t="shared" si="9"/>
        <v>1.6567949302075135E-3</v>
      </c>
    </row>
    <row r="31" spans="1:23" x14ac:dyDescent="0.25">
      <c r="A31" s="7">
        <v>10</v>
      </c>
      <c r="F31" s="1">
        <f t="shared" si="1"/>
        <v>93.65131455070717</v>
      </c>
      <c r="G31" s="1">
        <f t="shared" si="1"/>
        <v>40.637289448625737</v>
      </c>
      <c r="H31" s="1">
        <f t="shared" si="1"/>
        <v>32.633781828158874</v>
      </c>
      <c r="I31" s="1">
        <f t="shared" si="1"/>
        <v>2.241218844314373</v>
      </c>
      <c r="J31" s="1">
        <f t="shared" si="1"/>
        <v>81.521511074289464</v>
      </c>
      <c r="K31" s="1">
        <f t="shared" si="1"/>
        <v>23.833527902260048</v>
      </c>
      <c r="L31" s="1">
        <f t="shared" si="1"/>
        <v>7.887842221636423</v>
      </c>
      <c r="M31" s="1">
        <f t="shared" si="1"/>
        <v>0.75155610309821874</v>
      </c>
      <c r="N31" s="1">
        <f t="shared" si="1"/>
        <v>3.2816694551890728E-2</v>
      </c>
      <c r="O31" s="1">
        <f t="shared" si="1"/>
        <v>5.379785992113234E-4</v>
      </c>
      <c r="P31" s="1">
        <f t="shared" si="1"/>
        <v>0.46266159532173812</v>
      </c>
      <c r="Q31" s="1">
        <f t="shared" si="1"/>
        <v>0.17215315174762347</v>
      </c>
      <c r="R31" s="1">
        <f t="shared" si="1"/>
        <v>8.8766468869868359E-2</v>
      </c>
      <c r="S31" s="1">
        <f t="shared" ref="S31:W31" si="10">100*S11/$E11</f>
        <v>0.89896223928212138</v>
      </c>
      <c r="T31" s="1">
        <f t="shared" si="10"/>
        <v>11.286253032854352</v>
      </c>
      <c r="U31" s="1">
        <f t="shared" si="10"/>
        <v>0.73864461671714698</v>
      </c>
      <c r="V31" s="1">
        <f t="shared" si="10"/>
        <v>0.1129755058343779</v>
      </c>
      <c r="W31" s="1">
        <f t="shared" si="10"/>
        <v>0</v>
      </c>
    </row>
    <row r="32" spans="1:23" x14ac:dyDescent="0.25">
      <c r="A32" s="7">
        <v>11</v>
      </c>
      <c r="F32" s="1">
        <f t="shared" si="1"/>
        <v>93.857458162210492</v>
      </c>
      <c r="G32" s="1">
        <f t="shared" si="1"/>
        <v>50.126002290950744</v>
      </c>
      <c r="H32" s="1">
        <f t="shared" si="1"/>
        <v>41.347190791495542</v>
      </c>
      <c r="I32" s="1">
        <f t="shared" si="1"/>
        <v>3.2218590227139385</v>
      </c>
      <c r="J32" s="1">
        <f t="shared" si="1"/>
        <v>75.451065850864694</v>
      </c>
      <c r="K32" s="1">
        <f t="shared" si="1"/>
        <v>25.897801246053696</v>
      </c>
      <c r="L32" s="1">
        <f t="shared" si="1"/>
        <v>8.8631855390718854</v>
      </c>
      <c r="M32" s="1">
        <f t="shared" si="1"/>
        <v>0.73478054368172552</v>
      </c>
      <c r="N32" s="1">
        <f t="shared" si="1"/>
        <v>4.9730394211158609E-2</v>
      </c>
      <c r="O32" s="1">
        <f t="shared" si="1"/>
        <v>2.7938423714134047E-3</v>
      </c>
      <c r="P32" s="1">
        <f t="shared" si="1"/>
        <v>0.70348950912189534</v>
      </c>
      <c r="Q32" s="1">
        <f t="shared" si="1"/>
        <v>0.39169670047215938</v>
      </c>
      <c r="R32" s="1">
        <f t="shared" si="1"/>
        <v>0.11007738943368815</v>
      </c>
      <c r="S32" s="1">
        <f t="shared" ref="S32:W32" si="11">100*S12/$E12</f>
        <v>0.88397172631520127</v>
      </c>
      <c r="T32" s="1">
        <f t="shared" si="11"/>
        <v>9.5392953929539299</v>
      </c>
      <c r="U32" s="1">
        <f t="shared" si="11"/>
        <v>0.83647640600117346</v>
      </c>
      <c r="V32" s="1">
        <f t="shared" si="11"/>
        <v>0.15589640432486798</v>
      </c>
      <c r="W32" s="1">
        <f t="shared" si="11"/>
        <v>0</v>
      </c>
    </row>
    <row r="33" spans="1:46" x14ac:dyDescent="0.25">
      <c r="A33" s="7">
        <v>12</v>
      </c>
      <c r="F33" s="1">
        <f t="shared" si="1"/>
        <v>82.688714617995089</v>
      </c>
      <c r="G33" s="1">
        <f t="shared" si="1"/>
        <v>31.971224118865742</v>
      </c>
      <c r="H33" s="1">
        <f t="shared" si="1"/>
        <v>21.334062051171244</v>
      </c>
      <c r="I33" s="1">
        <f t="shared" si="1"/>
        <v>1.3460096343276942</v>
      </c>
      <c r="J33" s="1">
        <f t="shared" si="1"/>
        <v>70.97627006622011</v>
      </c>
      <c r="K33" s="1">
        <f t="shared" si="1"/>
        <v>28.320856158724915</v>
      </c>
      <c r="L33" s="1">
        <f t="shared" si="1"/>
        <v>9.3216569010002921</v>
      </c>
      <c r="M33" s="1">
        <f t="shared" si="1"/>
        <v>0.70033173608551424</v>
      </c>
      <c r="N33" s="1">
        <f t="shared" si="1"/>
        <v>6.3550974236435048E-2</v>
      </c>
      <c r="O33" s="1">
        <f t="shared" si="1"/>
        <v>1.2710194847287009E-3</v>
      </c>
      <c r="P33" s="1">
        <f t="shared" si="1"/>
        <v>0.68126644381458368</v>
      </c>
      <c r="Q33" s="1">
        <f t="shared" si="1"/>
        <v>0.41435235202155651</v>
      </c>
      <c r="R33" s="1">
        <f t="shared" si="1"/>
        <v>0.11820481207976918</v>
      </c>
      <c r="S33" s="1">
        <f t="shared" ref="S33:W33" si="12">100*S13/$E13</f>
        <v>3.000877003444463</v>
      </c>
      <c r="T33" s="1">
        <f t="shared" si="12"/>
        <v>16.610953645919391</v>
      </c>
      <c r="U33" s="1">
        <f t="shared" si="12"/>
        <v>0.68253746329931242</v>
      </c>
      <c r="V33" s="1">
        <f t="shared" si="12"/>
        <v>0.12328889001868398</v>
      </c>
      <c r="W33" s="1">
        <f t="shared" si="12"/>
        <v>0</v>
      </c>
    </row>
    <row r="34" spans="1:46" x14ac:dyDescent="0.25">
      <c r="A34" s="7">
        <v>13</v>
      </c>
      <c r="F34" s="1">
        <f t="shared" si="1"/>
        <v>88.111075747931253</v>
      </c>
      <c r="G34" s="1">
        <f t="shared" si="1"/>
        <v>51.489497135582432</v>
      </c>
      <c r="H34" s="1">
        <f t="shared" si="1"/>
        <v>45.401018459579888</v>
      </c>
      <c r="I34" s="1">
        <f t="shared" si="1"/>
        <v>2.4260025461489496</v>
      </c>
      <c r="J34" s="1">
        <f t="shared" si="1"/>
        <v>70.859325270528331</v>
      </c>
      <c r="K34" s="1">
        <f t="shared" si="1"/>
        <v>17.784054742202418</v>
      </c>
      <c r="L34" s="1">
        <f t="shared" si="1"/>
        <v>4.8209739019732654</v>
      </c>
      <c r="M34" s="1">
        <f t="shared" si="1"/>
        <v>1.1211012094207511</v>
      </c>
      <c r="N34" s="1">
        <f t="shared" si="1"/>
        <v>1.83004455760662E-2</v>
      </c>
      <c r="O34" s="1">
        <f t="shared" si="1"/>
        <v>0</v>
      </c>
      <c r="P34" s="1">
        <f t="shared" si="1"/>
        <v>0.30235518777848502</v>
      </c>
      <c r="Q34" s="1">
        <f t="shared" si="1"/>
        <v>0.12651177593889243</v>
      </c>
      <c r="R34" s="1">
        <f t="shared" si="1"/>
        <v>0.1153723742838956</v>
      </c>
      <c r="S34" s="1">
        <f t="shared" ref="S34:W34" si="13">100*S14/$E14</f>
        <v>0.55697008274984083</v>
      </c>
      <c r="T34" s="1">
        <f t="shared" si="13"/>
        <v>7.9463717377466585</v>
      </c>
      <c r="U34" s="1">
        <f t="shared" si="13"/>
        <v>2.496817313812858</v>
      </c>
      <c r="V34" s="1">
        <f t="shared" si="13"/>
        <v>0.19096117122851686</v>
      </c>
      <c r="W34" s="1">
        <f t="shared" si="13"/>
        <v>7.9567154678548697E-4</v>
      </c>
    </row>
    <row r="35" spans="1:46" x14ac:dyDescent="0.25">
      <c r="A35" s="7">
        <v>14</v>
      </c>
      <c r="F35" s="1">
        <f>100*F15/$E15</f>
        <v>90.95019396263433</v>
      </c>
      <c r="G35" s="1">
        <f t="shared" ref="G35:W35" si="14">100*G15/$E15</f>
        <v>46.998706915771166</v>
      </c>
      <c r="H35" s="1">
        <f t="shared" si="14"/>
        <v>36.934944486556383</v>
      </c>
      <c r="I35" s="1">
        <f t="shared" si="14"/>
        <v>3.5457261336781558</v>
      </c>
      <c r="J35" s="1">
        <f t="shared" si="14"/>
        <v>78.181656039595126</v>
      </c>
      <c r="K35" s="1">
        <f t="shared" si="14"/>
        <v>28.939225041244928</v>
      </c>
      <c r="L35" s="1">
        <f t="shared" si="14"/>
        <v>5.2071164221697064</v>
      </c>
      <c r="M35" s="1">
        <f t="shared" si="14"/>
        <v>0.70985865251705538</v>
      </c>
      <c r="N35" s="1">
        <f t="shared" si="14"/>
        <v>4.1913764658670354E-2</v>
      </c>
      <c r="O35" s="1">
        <f t="shared" si="14"/>
        <v>8.9178222678022029E-4</v>
      </c>
      <c r="P35" s="1">
        <f t="shared" si="14"/>
        <v>0.31390734382663754</v>
      </c>
      <c r="Q35" s="1">
        <f t="shared" si="14"/>
        <v>0.20065100102554956</v>
      </c>
      <c r="R35" s="1">
        <f t="shared" si="14"/>
        <v>0.12930842288313193</v>
      </c>
      <c r="S35" s="1">
        <f t="shared" si="14"/>
        <v>0.59571052748918718</v>
      </c>
      <c r="T35" s="1">
        <f t="shared" si="14"/>
        <v>18.468809916618362</v>
      </c>
      <c r="U35" s="1">
        <f t="shared" si="14"/>
        <v>2.2713693316092209</v>
      </c>
      <c r="V35" s="1">
        <f t="shared" si="14"/>
        <v>0.37008962411379143</v>
      </c>
      <c r="W35" s="1">
        <f t="shared" si="14"/>
        <v>0</v>
      </c>
    </row>
    <row r="36" spans="1:46" x14ac:dyDescent="0.25">
      <c r="A36" s="7">
        <v>15</v>
      </c>
      <c r="F36" s="1">
        <f>100*F16/$E16</f>
        <v>90.207169201016598</v>
      </c>
      <c r="G36" s="1">
        <f t="shared" ref="G36:W36" si="15">100*G16/$E16</f>
        <v>45.353881962331315</v>
      </c>
      <c r="H36" s="1">
        <f t="shared" si="15"/>
        <v>35.931576830593613</v>
      </c>
      <c r="I36" s="1">
        <f t="shared" si="15"/>
        <v>5.4132687551877874</v>
      </c>
      <c r="J36" s="1">
        <f t="shared" si="15"/>
        <v>74.326764275506804</v>
      </c>
      <c r="K36" s="1">
        <f t="shared" si="15"/>
        <v>26.466485825040003</v>
      </c>
      <c r="L36" s="1">
        <f t="shared" si="15"/>
        <v>7.3069715302795633</v>
      </c>
      <c r="M36" s="1">
        <f t="shared" si="15"/>
        <v>1.0987412395923362</v>
      </c>
      <c r="N36" s="1">
        <f t="shared" si="15"/>
        <v>3.2517264100084715E-2</v>
      </c>
      <c r="O36" s="1">
        <f t="shared" si="15"/>
        <v>0</v>
      </c>
      <c r="P36" s="1">
        <f t="shared" si="15"/>
        <v>0.56306209941725638</v>
      </c>
      <c r="Q36" s="1">
        <f t="shared" si="15"/>
        <v>0.23275515355850113</v>
      </c>
      <c r="R36" s="1">
        <f t="shared" si="15"/>
        <v>7.787029034493971E-2</v>
      </c>
      <c r="S36" s="1">
        <f t="shared" si="15"/>
        <v>0.50915189840922126</v>
      </c>
      <c r="T36" s="1">
        <f t="shared" si="15"/>
        <v>14.199775802021204</v>
      </c>
      <c r="U36" s="1">
        <f t="shared" si="15"/>
        <v>1.4008095087325969</v>
      </c>
      <c r="V36" s="1">
        <f t="shared" si="15"/>
        <v>0.16173060302410555</v>
      </c>
      <c r="W36" s="1">
        <f t="shared" si="15"/>
        <v>0</v>
      </c>
    </row>
    <row r="37" spans="1:46" ht="27" customHeight="1" x14ac:dyDescent="0.25">
      <c r="A37" s="15" t="s">
        <v>86</v>
      </c>
      <c r="B37" s="16" t="s">
        <v>70</v>
      </c>
      <c r="C37" s="16" t="s">
        <v>71</v>
      </c>
      <c r="D37" s="16" t="s">
        <v>72</v>
      </c>
      <c r="E37" s="16" t="s">
        <v>73</v>
      </c>
      <c r="F37" s="16" t="s">
        <v>74</v>
      </c>
      <c r="G37" s="16" t="s">
        <v>75</v>
      </c>
      <c r="H37" s="16" t="s">
        <v>76</v>
      </c>
      <c r="I37" s="17" t="s">
        <v>18</v>
      </c>
      <c r="J37" s="16" t="s">
        <v>77</v>
      </c>
      <c r="K37" s="17" t="s">
        <v>12</v>
      </c>
      <c r="L37" s="17" t="s">
        <v>79</v>
      </c>
      <c r="M37" s="15"/>
      <c r="N37" s="15"/>
      <c r="O37" s="18" t="s">
        <v>80</v>
      </c>
      <c r="P37" s="15"/>
      <c r="Q37" s="18" t="s">
        <v>25</v>
      </c>
      <c r="R37" s="18" t="s">
        <v>81</v>
      </c>
      <c r="S37" s="18" t="s">
        <v>82</v>
      </c>
      <c r="T37" s="18" t="s">
        <v>83</v>
      </c>
      <c r="U37" s="15"/>
      <c r="V37" s="15"/>
      <c r="W37" s="15" t="s">
        <v>84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</row>
    <row r="38" spans="1:46" x14ac:dyDescent="0.25">
      <c r="A38" s="8">
        <v>1</v>
      </c>
      <c r="G38" s="1">
        <f>100*(G2/$F2)</f>
        <v>44.419313780252182</v>
      </c>
      <c r="H38" s="1">
        <f t="shared" ref="H38:W52" si="16">100*(H2/$F2)</f>
        <v>39.037180156339183</v>
      </c>
      <c r="I38" s="1">
        <f t="shared" si="16"/>
        <v>3.6078273370754621</v>
      </c>
      <c r="J38" s="1">
        <f t="shared" si="16"/>
        <v>75.78177223071782</v>
      </c>
      <c r="K38" s="1">
        <f t="shared" si="16"/>
        <v>22.154562741704591</v>
      </c>
      <c r="L38" s="1">
        <f t="shared" si="16"/>
        <v>8.4216213246403626</v>
      </c>
      <c r="M38" s="1">
        <f t="shared" si="16"/>
        <v>0.74903623394104779</v>
      </c>
      <c r="N38" s="1">
        <f t="shared" si="16"/>
        <v>1.12935373495594E-2</v>
      </c>
      <c r="O38" s="1">
        <f t="shared" si="16"/>
        <v>0</v>
      </c>
      <c r="P38" s="1">
        <f t="shared" si="16"/>
        <v>0.37604427066641027</v>
      </c>
      <c r="Q38" s="1">
        <f t="shared" si="16"/>
        <v>0.23807997655827923</v>
      </c>
      <c r="R38" s="1">
        <f t="shared" si="16"/>
        <v>5.9519994139569807E-2</v>
      </c>
      <c r="S38" s="1">
        <f t="shared" si="16"/>
        <v>0.69043193201900976</v>
      </c>
      <c r="T38" s="1">
        <f t="shared" si="16"/>
        <v>8.4854145491284125</v>
      </c>
      <c r="U38" s="1">
        <f t="shared" si="16"/>
        <v>1.3378263298140229</v>
      </c>
      <c r="V38" s="1">
        <f t="shared" si="16"/>
        <v>3.4491073527032762E-2</v>
      </c>
      <c r="W38" s="1">
        <f t="shared" si="16"/>
        <v>3.0523073917728105E-4</v>
      </c>
    </row>
    <row r="39" spans="1:46" x14ac:dyDescent="0.25">
      <c r="A39" s="8">
        <v>2</v>
      </c>
      <c r="G39" s="1">
        <f t="shared" ref="G39:V52" si="17">100*(G3/$F3)</f>
        <v>41.738788758862221</v>
      </c>
      <c r="H39" s="1">
        <f t="shared" si="17"/>
        <v>36.930383531220642</v>
      </c>
      <c r="I39" s="1">
        <f t="shared" si="17"/>
        <v>7.0108482104723677</v>
      </c>
      <c r="J39" s="1">
        <f t="shared" si="17"/>
        <v>80.893140855898181</v>
      </c>
      <c r="K39" s="1">
        <f t="shared" si="17"/>
        <v>14.369180831980866</v>
      </c>
      <c r="L39" s="1">
        <f t="shared" si="17"/>
        <v>2.6168958742632613</v>
      </c>
      <c r="M39" s="1">
        <f t="shared" si="17"/>
        <v>0.23848979243187837</v>
      </c>
      <c r="N39" s="1">
        <f t="shared" si="17"/>
        <v>8.2002220893482528E-3</v>
      </c>
      <c r="O39" s="1">
        <f t="shared" si="17"/>
        <v>0</v>
      </c>
      <c r="P39" s="1">
        <f t="shared" si="17"/>
        <v>0.14862902536943709</v>
      </c>
      <c r="Q39" s="1">
        <f t="shared" si="17"/>
        <v>7.6193730246860852E-2</v>
      </c>
      <c r="R39" s="1">
        <f t="shared" si="17"/>
        <v>3.3142564277782519E-2</v>
      </c>
      <c r="S39" s="1">
        <f t="shared" si="17"/>
        <v>0.27060732894849238</v>
      </c>
      <c r="T39" s="1">
        <f t="shared" si="17"/>
        <v>10.480567182027846</v>
      </c>
      <c r="U39" s="1">
        <f t="shared" si="17"/>
        <v>0.94029213291193303</v>
      </c>
      <c r="V39" s="1">
        <f t="shared" si="17"/>
        <v>9.3277526266336383E-2</v>
      </c>
      <c r="W39" s="1">
        <f t="shared" si="16"/>
        <v>0</v>
      </c>
    </row>
    <row r="40" spans="1:46" x14ac:dyDescent="0.25">
      <c r="A40" s="8">
        <v>3</v>
      </c>
      <c r="G40" s="1">
        <f t="shared" si="17"/>
        <v>51.028178867569643</v>
      </c>
      <c r="H40" s="1">
        <f t="shared" si="16"/>
        <v>43.890564609544349</v>
      </c>
      <c r="I40" s="1">
        <f t="shared" si="16"/>
        <v>4.1396671751172684</v>
      </c>
      <c r="J40" s="1">
        <f t="shared" si="16"/>
        <v>78.893947908662383</v>
      </c>
      <c r="K40" s="1">
        <f t="shared" si="16"/>
        <v>20.382370144392326</v>
      </c>
      <c r="L40" s="1">
        <f t="shared" si="16"/>
        <v>5.3977956946085124</v>
      </c>
      <c r="M40" s="1">
        <f t="shared" si="16"/>
        <v>0.46563370912802637</v>
      </c>
      <c r="N40" s="1">
        <f t="shared" si="16"/>
        <v>1.089537004117303E-2</v>
      </c>
      <c r="O40" s="1">
        <f t="shared" si="16"/>
        <v>0</v>
      </c>
      <c r="P40" s="1">
        <f t="shared" si="16"/>
        <v>0.50233390295092495</v>
      </c>
      <c r="Q40" s="1">
        <f t="shared" si="16"/>
        <v>0.19152913651325221</v>
      </c>
      <c r="R40" s="1">
        <f t="shared" si="16"/>
        <v>6.0784696019175855E-2</v>
      </c>
      <c r="S40" s="1">
        <f t="shared" si="16"/>
        <v>0.85385294691087588</v>
      </c>
      <c r="T40" s="1">
        <f t="shared" si="16"/>
        <v>11.303086256924294</v>
      </c>
      <c r="U40" s="1">
        <f t="shared" si="16"/>
        <v>1.2558347573773123</v>
      </c>
      <c r="V40" s="1">
        <f t="shared" si="16"/>
        <v>0.12730379732317962</v>
      </c>
      <c r="W40" s="1">
        <f t="shared" si="16"/>
        <v>0</v>
      </c>
    </row>
    <row r="41" spans="1:46" x14ac:dyDescent="0.25">
      <c r="A41" s="8">
        <v>4</v>
      </c>
      <c r="G41" s="1">
        <f t="shared" si="17"/>
        <v>62.043758566424692</v>
      </c>
      <c r="H41" s="1">
        <f t="shared" si="16"/>
        <v>53.440276156150055</v>
      </c>
      <c r="I41" s="1">
        <f t="shared" si="16"/>
        <v>5.1982334128635967</v>
      </c>
      <c r="J41" s="1">
        <f t="shared" si="16"/>
        <v>80.814254530686839</v>
      </c>
      <c r="K41" s="1">
        <f t="shared" si="16"/>
        <v>22.345296715569319</v>
      </c>
      <c r="L41" s="1">
        <f t="shared" si="16"/>
        <v>6.4226610487842022</v>
      </c>
      <c r="M41" s="1">
        <f t="shared" si="16"/>
        <v>0.98888268440022342</v>
      </c>
      <c r="N41" s="1">
        <f t="shared" si="16"/>
        <v>7.3100157368394328E-2</v>
      </c>
      <c r="O41" s="1">
        <f t="shared" si="16"/>
        <v>1.0152799634499214E-3</v>
      </c>
      <c r="P41" s="1">
        <f t="shared" si="16"/>
        <v>0.41220366516066809</v>
      </c>
      <c r="Q41" s="1">
        <f t="shared" si="16"/>
        <v>0.15432255444438805</v>
      </c>
      <c r="R41" s="1">
        <f t="shared" si="16"/>
        <v>9.8482156454642353E-2</v>
      </c>
      <c r="S41" s="1">
        <f t="shared" si="16"/>
        <v>0.91273668714147926</v>
      </c>
      <c r="T41" s="1">
        <f t="shared" si="16"/>
        <v>12.031067566881568</v>
      </c>
      <c r="U41" s="1">
        <f t="shared" si="16"/>
        <v>1.8356261739174577</v>
      </c>
      <c r="V41" s="1">
        <f t="shared" si="16"/>
        <v>0.38580638611097012</v>
      </c>
      <c r="W41" s="1">
        <f t="shared" si="16"/>
        <v>2.0305599268998428E-3</v>
      </c>
    </row>
    <row r="42" spans="1:46" x14ac:dyDescent="0.25">
      <c r="A42" s="8">
        <v>5</v>
      </c>
      <c r="G42" s="1">
        <f t="shared" si="17"/>
        <v>50.346705936177514</v>
      </c>
      <c r="H42" s="1">
        <f t="shared" si="16"/>
        <v>44.020216172938355</v>
      </c>
      <c r="I42" s="1">
        <f t="shared" si="16"/>
        <v>1.915818368980899</v>
      </c>
      <c r="J42" s="1">
        <f t="shared" si="16"/>
        <v>85.993437607228643</v>
      </c>
      <c r="K42" s="1">
        <f t="shared" si="16"/>
        <v>20.51105169850166</v>
      </c>
      <c r="L42" s="1">
        <f t="shared" si="16"/>
        <v>2.0198301498341529</v>
      </c>
      <c r="M42" s="1">
        <f t="shared" si="16"/>
        <v>0.39209939380075487</v>
      </c>
      <c r="N42" s="1">
        <f t="shared" si="16"/>
        <v>9.6505776049410959E-3</v>
      </c>
      <c r="O42" s="1">
        <f t="shared" si="16"/>
        <v>0</v>
      </c>
      <c r="P42" s="1">
        <f t="shared" si="16"/>
        <v>0.18336097449388084</v>
      </c>
      <c r="Q42" s="1">
        <f t="shared" si="16"/>
        <v>8.1136337641541809E-2</v>
      </c>
      <c r="R42" s="1">
        <f t="shared" si="16"/>
        <v>4.8252888024705481E-2</v>
      </c>
      <c r="S42" s="1">
        <f t="shared" si="16"/>
        <v>0.19837298410156695</v>
      </c>
      <c r="T42" s="1">
        <f t="shared" si="16"/>
        <v>14.118437607228639</v>
      </c>
      <c r="U42" s="1">
        <f t="shared" si="16"/>
        <v>2.3693955164131304</v>
      </c>
      <c r="V42" s="1">
        <f t="shared" si="16"/>
        <v>0.41032826261008809</v>
      </c>
      <c r="W42" s="1">
        <f t="shared" si="16"/>
        <v>0</v>
      </c>
    </row>
    <row r="43" spans="1:46" x14ac:dyDescent="0.25">
      <c r="A43" s="8">
        <v>6</v>
      </c>
      <c r="G43" s="1">
        <f t="shared" si="17"/>
        <v>50.9751217510521</v>
      </c>
      <c r="H43" s="1">
        <f t="shared" si="16"/>
        <v>40.587077052272633</v>
      </c>
      <c r="I43" s="1">
        <f t="shared" si="16"/>
        <v>3.5578981521832485</v>
      </c>
      <c r="J43" s="1">
        <f t="shared" si="16"/>
        <v>86.137398169678505</v>
      </c>
      <c r="K43" s="1">
        <f t="shared" si="16"/>
        <v>23.483082090905334</v>
      </c>
      <c r="L43" s="1">
        <f t="shared" si="16"/>
        <v>5.629017943767078</v>
      </c>
      <c r="M43" s="1">
        <f t="shared" si="16"/>
        <v>0.91388836756571057</v>
      </c>
      <c r="N43" s="1">
        <f t="shared" si="16"/>
        <v>6.4255290723380973E-2</v>
      </c>
      <c r="O43" s="1">
        <f t="shared" si="16"/>
        <v>0</v>
      </c>
      <c r="P43" s="1">
        <f t="shared" si="16"/>
        <v>0.3063259651812667</v>
      </c>
      <c r="Q43" s="1">
        <f t="shared" si="16"/>
        <v>0.18004205222491898</v>
      </c>
      <c r="R43" s="1">
        <f t="shared" si="16"/>
        <v>0.12024009848236637</v>
      </c>
      <c r="S43" s="1">
        <f t="shared" si="16"/>
        <v>0.45805751802806238</v>
      </c>
      <c r="T43" s="1">
        <f t="shared" si="16"/>
        <v>13.322793769145372</v>
      </c>
      <c r="U43" s="1">
        <f t="shared" si="16"/>
        <v>2.3131904660417151</v>
      </c>
      <c r="V43" s="1">
        <f t="shared" si="16"/>
        <v>1.2256219562236974</v>
      </c>
      <c r="W43" s="1">
        <f t="shared" si="16"/>
        <v>0</v>
      </c>
    </row>
    <row r="44" spans="1:46" x14ac:dyDescent="0.25">
      <c r="A44" s="8">
        <v>7</v>
      </c>
      <c r="G44" s="1">
        <f t="shared" si="17"/>
        <v>47.472128752589541</v>
      </c>
      <c r="H44" s="1">
        <f t="shared" si="16"/>
        <v>36.024260858111099</v>
      </c>
      <c r="I44" s="1">
        <f t="shared" si="16"/>
        <v>4.2749883246117184</v>
      </c>
      <c r="J44" s="1">
        <f t="shared" si="16"/>
        <v>80.506891472775393</v>
      </c>
      <c r="K44" s="1">
        <f t="shared" si="16"/>
        <v>30.280568561472414</v>
      </c>
      <c r="L44" s="1">
        <f t="shared" si="16"/>
        <v>8.3859224754218111</v>
      </c>
      <c r="M44" s="1">
        <f t="shared" si="16"/>
        <v>0.46282436623597456</v>
      </c>
      <c r="N44" s="1">
        <f t="shared" si="16"/>
        <v>1.1376019351207654E-2</v>
      </c>
      <c r="O44" s="1">
        <f t="shared" si="16"/>
        <v>0</v>
      </c>
      <c r="P44" s="1">
        <f t="shared" si="16"/>
        <v>0.24847621214479876</v>
      </c>
      <c r="Q44" s="1">
        <f t="shared" si="16"/>
        <v>8.981067908848149E-2</v>
      </c>
      <c r="R44" s="1">
        <f t="shared" si="16"/>
        <v>8.2625824761402955E-2</v>
      </c>
      <c r="S44" s="1">
        <f t="shared" si="16"/>
        <v>0.93403106252020729</v>
      </c>
      <c r="T44" s="1">
        <f t="shared" si="16"/>
        <v>10.259971979068125</v>
      </c>
      <c r="U44" s="1">
        <f t="shared" si="16"/>
        <v>1.0837155276676766</v>
      </c>
      <c r="V44" s="1">
        <f t="shared" si="16"/>
        <v>0.61729873426816273</v>
      </c>
      <c r="W44" s="1">
        <f t="shared" si="16"/>
        <v>0</v>
      </c>
    </row>
    <row r="45" spans="1:46" x14ac:dyDescent="0.25">
      <c r="A45" s="8">
        <v>8</v>
      </c>
      <c r="G45" s="1">
        <f t="shared" si="17"/>
        <v>49.392533556552443</v>
      </c>
      <c r="H45" s="1">
        <f t="shared" si="16"/>
        <v>41.992702149859404</v>
      </c>
      <c r="I45" s="1">
        <f t="shared" si="16"/>
        <v>2.6414916381256668</v>
      </c>
      <c r="J45" s="1">
        <f t="shared" si="16"/>
        <v>85.029385931301178</v>
      </c>
      <c r="K45" s="1">
        <f t="shared" si="16"/>
        <v>22.16294602066742</v>
      </c>
      <c r="L45" s="1">
        <f t="shared" si="16"/>
        <v>10.555945272018818</v>
      </c>
      <c r="M45" s="1">
        <f t="shared" si="16"/>
        <v>0.88835704053902709</v>
      </c>
      <c r="N45" s="1">
        <f t="shared" si="16"/>
        <v>2.1811022229558059E-2</v>
      </c>
      <c r="O45" s="1">
        <f t="shared" si="16"/>
        <v>0</v>
      </c>
      <c r="P45" s="1">
        <f t="shared" si="16"/>
        <v>0.56649709088122424</v>
      </c>
      <c r="Q45" s="1">
        <f t="shared" si="16"/>
        <v>0.31007020791209572</v>
      </c>
      <c r="R45" s="1">
        <f t="shared" si="16"/>
        <v>9.0781011441944365E-2</v>
      </c>
      <c r="S45" s="1">
        <f t="shared" si="16"/>
        <v>1.2302595511645318</v>
      </c>
      <c r="T45" s="1">
        <f t="shared" si="16"/>
        <v>9.0916593472020004</v>
      </c>
      <c r="U45" s="1">
        <f t="shared" si="16"/>
        <v>0.86713550539675421</v>
      </c>
      <c r="V45" s="1">
        <f t="shared" si="16"/>
        <v>0.21457329977186851</v>
      </c>
      <c r="W45" s="1">
        <f t="shared" si="16"/>
        <v>5.8948708728535297E-4</v>
      </c>
    </row>
    <row r="46" spans="1:46" x14ac:dyDescent="0.25">
      <c r="A46" s="8">
        <v>9</v>
      </c>
      <c r="G46" s="1">
        <f t="shared" si="17"/>
        <v>44.663147496181274</v>
      </c>
      <c r="H46" s="1">
        <f t="shared" si="16"/>
        <v>36.49608989116102</v>
      </c>
      <c r="I46" s="1">
        <f t="shared" si="16"/>
        <v>3.9157662029078852</v>
      </c>
      <c r="J46" s="1">
        <f t="shared" si="16"/>
        <v>84.476193377402751</v>
      </c>
      <c r="K46" s="1">
        <f t="shared" si="16"/>
        <v>24.363220171548683</v>
      </c>
      <c r="L46" s="1">
        <f t="shared" si="16"/>
        <v>5.574679379778841</v>
      </c>
      <c r="M46" s="1">
        <f t="shared" si="16"/>
        <v>0.51525529942686543</v>
      </c>
      <c r="N46" s="1">
        <f t="shared" si="16"/>
        <v>4.3953365913947141E-2</v>
      </c>
      <c r="O46" s="1">
        <f t="shared" si="16"/>
        <v>0</v>
      </c>
      <c r="P46" s="1">
        <f t="shared" si="16"/>
        <v>0.30027547010518346</v>
      </c>
      <c r="Q46" s="1">
        <f t="shared" si="16"/>
        <v>0.15623028082284182</v>
      </c>
      <c r="R46" s="1">
        <f t="shared" si="16"/>
        <v>6.3971730587626036E-2</v>
      </c>
      <c r="S46" s="1">
        <f t="shared" si="16"/>
        <v>0.84816940758696024</v>
      </c>
      <c r="T46" s="1">
        <f t="shared" si="16"/>
        <v>14.816200949566777</v>
      </c>
      <c r="U46" s="1">
        <f t="shared" si="16"/>
        <v>1.3808319806431117</v>
      </c>
      <c r="V46" s="1">
        <f t="shared" si="16"/>
        <v>0.18190600942603868</v>
      </c>
      <c r="W46" s="1">
        <f t="shared" si="16"/>
        <v>1.7407273629285996E-3</v>
      </c>
    </row>
    <row r="47" spans="1:46" x14ac:dyDescent="0.25">
      <c r="A47" s="8">
        <v>10</v>
      </c>
      <c r="G47" s="1">
        <f t="shared" si="17"/>
        <v>43.392118566176471</v>
      </c>
      <c r="H47" s="1">
        <f t="shared" si="16"/>
        <v>34.846047794117645</v>
      </c>
      <c r="I47" s="1">
        <f t="shared" si="16"/>
        <v>2.3931525735294121</v>
      </c>
      <c r="J47" s="1">
        <f t="shared" si="16"/>
        <v>87.047909007352942</v>
      </c>
      <c r="K47" s="1">
        <f t="shared" si="16"/>
        <v>25.449218750000004</v>
      </c>
      <c r="L47" s="1">
        <f t="shared" si="16"/>
        <v>8.4225643382352935</v>
      </c>
      <c r="M47" s="1">
        <f t="shared" si="16"/>
        <v>0.80250459558823517</v>
      </c>
      <c r="N47" s="1">
        <f t="shared" si="16"/>
        <v>3.5041360294117647E-2</v>
      </c>
      <c r="O47" s="1">
        <f t="shared" si="16"/>
        <v>5.7444852941176473E-4</v>
      </c>
      <c r="P47" s="1">
        <f t="shared" si="16"/>
        <v>0.49402573529411764</v>
      </c>
      <c r="Q47" s="1">
        <f t="shared" si="16"/>
        <v>0.18382352941176469</v>
      </c>
      <c r="R47" s="1">
        <f t="shared" si="16"/>
        <v>9.478400735294118E-2</v>
      </c>
      <c r="S47" s="1">
        <f t="shared" si="16"/>
        <v>0.95990349264705888</v>
      </c>
      <c r="T47" s="1">
        <f t="shared" si="16"/>
        <v>12.051355698529411</v>
      </c>
      <c r="U47" s="1">
        <f t="shared" si="16"/>
        <v>0.78871783088235292</v>
      </c>
      <c r="V47" s="1">
        <f t="shared" si="16"/>
        <v>0.12063419117647059</v>
      </c>
      <c r="W47" s="1">
        <f t="shared" si="16"/>
        <v>0</v>
      </c>
    </row>
    <row r="48" spans="1:46" x14ac:dyDescent="0.25">
      <c r="A48" s="8">
        <v>11</v>
      </c>
      <c r="G48" s="1">
        <f t="shared" si="17"/>
        <v>53.406520134308103</v>
      </c>
      <c r="H48" s="1">
        <f t="shared" si="16"/>
        <v>44.053175529254872</v>
      </c>
      <c r="I48" s="1">
        <f t="shared" si="16"/>
        <v>3.4327149763055744</v>
      </c>
      <c r="J48" s="1">
        <f t="shared" si="16"/>
        <v>80.388993403662511</v>
      </c>
      <c r="K48" s="1">
        <f t="shared" si="16"/>
        <v>27.592694020431978</v>
      </c>
      <c r="L48" s="1">
        <f t="shared" si="16"/>
        <v>9.4432405400900148</v>
      </c>
      <c r="M48" s="1">
        <f t="shared" si="16"/>
        <v>0.78286857333365079</v>
      </c>
      <c r="N48" s="1">
        <f t="shared" si="16"/>
        <v>5.2985021313075989E-2</v>
      </c>
      <c r="O48" s="1">
        <f t="shared" si="16"/>
        <v>2.9766865906222465E-3</v>
      </c>
      <c r="P48" s="1">
        <f t="shared" si="16"/>
        <v>0.74952968351868166</v>
      </c>
      <c r="Q48" s="1">
        <f t="shared" si="16"/>
        <v>0.41733146000523896</v>
      </c>
      <c r="R48" s="1">
        <f t="shared" si="16"/>
        <v>0.11728145167051651</v>
      </c>
      <c r="S48" s="1">
        <f t="shared" si="16"/>
        <v>0.94182363727287888</v>
      </c>
      <c r="T48" s="1">
        <f t="shared" si="16"/>
        <v>10.163598695020598</v>
      </c>
      <c r="U48" s="1">
        <f t="shared" si="16"/>
        <v>0.89121996523230052</v>
      </c>
      <c r="V48" s="1">
        <f t="shared" si="16"/>
        <v>0.16609911175672137</v>
      </c>
      <c r="W48" s="1">
        <f t="shared" si="16"/>
        <v>0</v>
      </c>
    </row>
    <row r="49" spans="1:23" x14ac:dyDescent="0.25">
      <c r="A49" s="8">
        <v>12</v>
      </c>
      <c r="G49" s="1">
        <f t="shared" si="17"/>
        <v>38.664555697311584</v>
      </c>
      <c r="H49" s="1">
        <f t="shared" si="16"/>
        <v>25.800451911400774</v>
      </c>
      <c r="I49" s="1">
        <f t="shared" si="16"/>
        <v>1.6278033109427117</v>
      </c>
      <c r="J49" s="1">
        <f t="shared" si="16"/>
        <v>85.835498101664697</v>
      </c>
      <c r="K49" s="1">
        <f t="shared" si="16"/>
        <v>34.249965414943816</v>
      </c>
      <c r="L49" s="1">
        <f t="shared" si="16"/>
        <v>11.273191201561708</v>
      </c>
      <c r="M49" s="1">
        <f t="shared" si="16"/>
        <v>0.84694959804479142</v>
      </c>
      <c r="N49" s="1">
        <f t="shared" si="16"/>
        <v>7.6855680403338608E-2</v>
      </c>
      <c r="O49" s="1">
        <f>100*(O13/$F13)</f>
        <v>1.5371136080667722E-3</v>
      </c>
      <c r="P49" s="1">
        <f t="shared" si="16"/>
        <v>0.82389289392378984</v>
      </c>
      <c r="Q49" s="1">
        <f t="shared" si="16"/>
        <v>0.5010990362297677</v>
      </c>
      <c r="R49" s="1">
        <f t="shared" si="16"/>
        <v>0.14295156555020982</v>
      </c>
      <c r="S49" s="1">
        <f t="shared" si="16"/>
        <v>3.6291252286456492</v>
      </c>
      <c r="T49" s="1">
        <f t="shared" si="16"/>
        <v>20.088537743824649</v>
      </c>
      <c r="U49" s="1">
        <f t="shared" si="16"/>
        <v>0.82543000753185669</v>
      </c>
      <c r="V49" s="1">
        <f t="shared" si="16"/>
        <v>0.14910001998247691</v>
      </c>
      <c r="W49" s="1">
        <f t="shared" si="16"/>
        <v>0</v>
      </c>
    </row>
    <row r="50" spans="1:23" x14ac:dyDescent="0.25">
      <c r="A50" s="8">
        <v>13</v>
      </c>
      <c r="G50" s="1">
        <f t="shared" si="17"/>
        <v>58.437031551951456</v>
      </c>
      <c r="H50" s="1">
        <f t="shared" si="16"/>
        <v>51.52702775921545</v>
      </c>
      <c r="I50" s="1">
        <f t="shared" si="16"/>
        <v>2.7533457349780561</v>
      </c>
      <c r="J50" s="1">
        <f t="shared" si="16"/>
        <v>80.420451877404318</v>
      </c>
      <c r="K50" s="1">
        <f t="shared" si="16"/>
        <v>20.183676786649567</v>
      </c>
      <c r="L50" s="1">
        <f t="shared" si="16"/>
        <v>5.471473207029204</v>
      </c>
      <c r="M50" s="1">
        <f t="shared" si="16"/>
        <v>1.2723726272824143</v>
      </c>
      <c r="N50" s="1">
        <f t="shared" si="16"/>
        <v>2.0769744803048638E-2</v>
      </c>
      <c r="O50" s="1">
        <f t="shared" si="16"/>
        <v>0</v>
      </c>
      <c r="P50" s="1">
        <f t="shared" si="16"/>
        <v>0.34315230544167313</v>
      </c>
      <c r="Q50" s="1">
        <f t="shared" si="16"/>
        <v>0.14358214885585799</v>
      </c>
      <c r="R50" s="1">
        <f t="shared" si="16"/>
        <v>0.13093969549748055</v>
      </c>
      <c r="S50" s="1">
        <f t="shared" si="16"/>
        <v>0.63212266791887162</v>
      </c>
      <c r="T50" s="1">
        <f t="shared" si="16"/>
        <v>9.0185844064368155</v>
      </c>
      <c r="U50" s="1">
        <f t="shared" si="16"/>
        <v>2.833715617042027</v>
      </c>
      <c r="V50" s="1">
        <f t="shared" si="16"/>
        <v>0.21672777185789885</v>
      </c>
      <c r="W50" s="1">
        <f t="shared" si="16"/>
        <v>9.0303238274124507E-4</v>
      </c>
    </row>
    <row r="51" spans="1:23" x14ac:dyDescent="0.25">
      <c r="A51" s="8">
        <v>14</v>
      </c>
      <c r="G51" s="1">
        <f t="shared" si="17"/>
        <v>51.675213507603914</v>
      </c>
      <c r="H51" s="1">
        <f t="shared" si="16"/>
        <v>40.610077755007993</v>
      </c>
      <c r="I51" s="1">
        <f t="shared" si="16"/>
        <v>3.8985360879327762</v>
      </c>
      <c r="J51" s="1">
        <f t="shared" si="16"/>
        <v>85.960955808093189</v>
      </c>
      <c r="K51" s="1">
        <f t="shared" si="16"/>
        <v>31.818761214664615</v>
      </c>
      <c r="L51" s="1">
        <f t="shared" si="16"/>
        <v>5.7252394913077156</v>
      </c>
      <c r="M51" s="1">
        <f t="shared" si="16"/>
        <v>0.78049163128634036</v>
      </c>
      <c r="N51" s="1">
        <f t="shared" si="16"/>
        <v>4.608430486238442E-2</v>
      </c>
      <c r="O51" s="1">
        <f t="shared" si="16"/>
        <v>9.8051712473158333E-4</v>
      </c>
      <c r="P51" s="1">
        <f t="shared" si="16"/>
        <v>0.34514202790551735</v>
      </c>
      <c r="Q51" s="1">
        <f t="shared" si="16"/>
        <v>0.22061635306460628</v>
      </c>
      <c r="R51" s="1">
        <f t="shared" si="16"/>
        <v>0.14217498308607959</v>
      </c>
      <c r="S51" s="1">
        <f t="shared" si="16"/>
        <v>0.65498543932069775</v>
      </c>
      <c r="T51" s="1">
        <f t="shared" si="16"/>
        <v>20.306509653191092</v>
      </c>
      <c r="U51" s="1">
        <f t="shared" si="16"/>
        <v>2.497377116691343</v>
      </c>
      <c r="V51" s="1">
        <f t="shared" si="16"/>
        <v>0.40691460676360713</v>
      </c>
      <c r="W51" s="1">
        <f t="shared" si="16"/>
        <v>0</v>
      </c>
    </row>
    <row r="52" spans="1:23" x14ac:dyDescent="0.25">
      <c r="A52" s="8">
        <v>15</v>
      </c>
      <c r="G52" s="1">
        <f t="shared" si="17"/>
        <v>50.277469478357382</v>
      </c>
      <c r="H52" s="1">
        <f t="shared" si="16"/>
        <v>39.832285115303982</v>
      </c>
      <c r="I52" s="1">
        <f t="shared" si="16"/>
        <v>6.000929641329197</v>
      </c>
      <c r="J52" s="1">
        <f t="shared" si="16"/>
        <v>82.39562878852557</v>
      </c>
      <c r="K52" s="1">
        <f t="shared" si="16"/>
        <v>29.339670072189495</v>
      </c>
      <c r="L52" s="1">
        <f t="shared" si="16"/>
        <v>8.1002115408330724</v>
      </c>
      <c r="M52" s="1">
        <f t="shared" si="16"/>
        <v>1.2180198639688096</v>
      </c>
      <c r="N52" s="1">
        <f t="shared" si="16"/>
        <v>3.6047316846428944E-2</v>
      </c>
      <c r="O52" s="1">
        <f t="shared" si="16"/>
        <v>0</v>
      </c>
      <c r="P52" s="1">
        <f t="shared" si="16"/>
        <v>0.62418774960395385</v>
      </c>
      <c r="Q52" s="1">
        <f t="shared" si="16"/>
        <v>0.25802289953233348</v>
      </c>
      <c r="R52" s="1">
        <f t="shared" si="16"/>
        <v>8.6323837711185111E-2</v>
      </c>
      <c r="S52" s="1">
        <f t="shared" si="16"/>
        <v>0.56442509272697949</v>
      </c>
      <c r="T52" s="1">
        <f t="shared" si="16"/>
        <v>15.741294098674787</v>
      </c>
      <c r="U52" s="1">
        <f t="shared" si="16"/>
        <v>1.55288046520011</v>
      </c>
      <c r="V52" s="1">
        <f t="shared" si="16"/>
        <v>0.17928797063092292</v>
      </c>
      <c r="W52" s="1">
        <f t="shared" si="16"/>
        <v>0</v>
      </c>
    </row>
    <row r="53" spans="1:23" x14ac:dyDescent="0.25">
      <c r="A53" s="10" t="s">
        <v>87</v>
      </c>
      <c r="B53" s="10"/>
      <c r="C53" s="10"/>
      <c r="D53" s="10"/>
      <c r="E53" s="10"/>
    </row>
    <row r="54" spans="1:23" s="10" customFormat="1" ht="27" customHeight="1" x14ac:dyDescent="0.25">
      <c r="A54" s="10" t="s">
        <v>87</v>
      </c>
      <c r="B54" s="13" t="s">
        <v>70</v>
      </c>
      <c r="C54" s="13" t="s">
        <v>222</v>
      </c>
      <c r="D54" s="13" t="s">
        <v>223</v>
      </c>
      <c r="E54" s="13" t="s">
        <v>224</v>
      </c>
      <c r="F54" s="13"/>
      <c r="G54" s="13"/>
      <c r="H54" s="13"/>
      <c r="I54" s="3" t="s">
        <v>18</v>
      </c>
      <c r="J54" s="13" t="s">
        <v>77</v>
      </c>
      <c r="K54" s="3" t="s">
        <v>12</v>
      </c>
      <c r="L54" s="3" t="s">
        <v>79</v>
      </c>
      <c r="O54" s="4" t="s">
        <v>80</v>
      </c>
      <c r="Q54" s="4" t="s">
        <v>25</v>
      </c>
      <c r="R54" s="4" t="s">
        <v>81</v>
      </c>
      <c r="S54" s="4" t="s">
        <v>82</v>
      </c>
      <c r="T54" s="4" t="s">
        <v>83</v>
      </c>
      <c r="W54" s="4" t="s">
        <v>84</v>
      </c>
    </row>
    <row r="55" spans="1:23" s="6" customFormat="1" x14ac:dyDescent="0.25">
      <c r="A55">
        <v>1</v>
      </c>
      <c r="B55" s="1">
        <v>1460000</v>
      </c>
      <c r="C55">
        <v>341611</v>
      </c>
      <c r="D55" s="6">
        <v>816666.66666666663</v>
      </c>
      <c r="E55" s="6">
        <f>(C55/B55)*D55</f>
        <v>191083.7785388128</v>
      </c>
      <c r="I55" s="6">
        <f t="shared" ref="I55:I69" si="18">I22*$E55</f>
        <v>661164.38356164389</v>
      </c>
      <c r="K55" s="6">
        <f t="shared" ref="K55:L69" si="19">K22*$E55</f>
        <v>4060007.9908675798</v>
      </c>
      <c r="L55" s="6">
        <f t="shared" si="19"/>
        <v>1543332.1917808219</v>
      </c>
      <c r="O55" s="6">
        <f t="shared" ref="O55:O69" si="20">O22*$E55</f>
        <v>0</v>
      </c>
      <c r="Q55" s="6">
        <f t="shared" ref="Q55:T69" si="21">Q22*$E55</f>
        <v>43630.136986301375</v>
      </c>
      <c r="R55" s="6">
        <f t="shared" si="21"/>
        <v>10907.534246575344</v>
      </c>
      <c r="S55" s="6">
        <f t="shared" si="21"/>
        <v>126527.39726027398</v>
      </c>
      <c r="T55" s="6">
        <f t="shared" si="21"/>
        <v>1555022.8310502286</v>
      </c>
      <c r="W55" s="6">
        <f t="shared" ref="W55:W69" si="22">W22*$E55</f>
        <v>55.936073059360737</v>
      </c>
    </row>
    <row r="56" spans="1:23" s="6" customFormat="1" x14ac:dyDescent="0.25">
      <c r="A56">
        <v>2</v>
      </c>
      <c r="B56" s="1">
        <v>1840000</v>
      </c>
      <c r="C56">
        <v>304630</v>
      </c>
      <c r="D56" s="6">
        <v>266666.66666666663</v>
      </c>
      <c r="E56" s="6">
        <f t="shared" ref="E56:E68" si="23">(C56/B56)*D56</f>
        <v>44149.27536231884</v>
      </c>
      <c r="I56" s="6">
        <f t="shared" si="18"/>
        <v>297376.81159420288</v>
      </c>
      <c r="K56" s="6">
        <f t="shared" si="19"/>
        <v>609492.75362318836</v>
      </c>
      <c r="L56" s="6">
        <f t="shared" si="19"/>
        <v>111000</v>
      </c>
      <c r="O56" s="6">
        <f t="shared" si="20"/>
        <v>0</v>
      </c>
      <c r="Q56" s="6">
        <f t="shared" si="21"/>
        <v>3231.8840579710145</v>
      </c>
      <c r="R56" s="6">
        <f t="shared" si="21"/>
        <v>1405.7971014492753</v>
      </c>
      <c r="S56" s="6">
        <f t="shared" si="21"/>
        <v>11478.260869565218</v>
      </c>
      <c r="T56" s="6">
        <f t="shared" si="21"/>
        <v>444550.72463768121</v>
      </c>
      <c r="W56" s="6">
        <f t="shared" si="22"/>
        <v>0</v>
      </c>
    </row>
    <row r="57" spans="1:23" s="6" customFormat="1" x14ac:dyDescent="0.25">
      <c r="A57">
        <v>3</v>
      </c>
      <c r="B57" s="1">
        <v>2250000</v>
      </c>
      <c r="C57">
        <v>190031</v>
      </c>
      <c r="D57" s="6">
        <v>366666.66666666663</v>
      </c>
      <c r="E57" s="6">
        <f t="shared" si="23"/>
        <v>30968.014814814815</v>
      </c>
      <c r="I57" s="6">
        <f t="shared" si="18"/>
        <v>117642.96296296296</v>
      </c>
      <c r="K57" s="6">
        <f t="shared" si="19"/>
        <v>579235.55555555562</v>
      </c>
      <c r="L57" s="6">
        <f t="shared" si="19"/>
        <v>153397.03703703702</v>
      </c>
      <c r="O57" s="6">
        <f t="shared" si="20"/>
        <v>0</v>
      </c>
      <c r="Q57" s="6">
        <f t="shared" si="21"/>
        <v>5442.9629629629635</v>
      </c>
      <c r="R57" s="6">
        <f t="shared" si="21"/>
        <v>1727.4074074074074</v>
      </c>
      <c r="S57" s="6">
        <f t="shared" si="21"/>
        <v>24265.185185185182</v>
      </c>
      <c r="T57" s="6">
        <f t="shared" si="21"/>
        <v>321216.29629629629</v>
      </c>
      <c r="W57" s="6">
        <f t="shared" si="22"/>
        <v>0</v>
      </c>
    </row>
    <row r="58" spans="1:23" s="6" customFormat="1" x14ac:dyDescent="0.25">
      <c r="A58">
        <v>4</v>
      </c>
      <c r="B58" s="1">
        <v>1520000</v>
      </c>
      <c r="C58">
        <v>107395</v>
      </c>
      <c r="D58" s="6">
        <v>216666.66666666666</v>
      </c>
      <c r="E58" s="6">
        <f t="shared" si="23"/>
        <v>15308.497807017542</v>
      </c>
      <c r="I58" s="6">
        <f t="shared" si="18"/>
        <v>72982.456140350871</v>
      </c>
      <c r="K58" s="6">
        <f t="shared" si="19"/>
        <v>313724.78070175432</v>
      </c>
      <c r="L58" s="6">
        <f t="shared" si="19"/>
        <v>90173.245614035084</v>
      </c>
      <c r="O58" s="6">
        <f t="shared" si="20"/>
        <v>14.254385964912279</v>
      </c>
      <c r="Q58" s="6">
        <f t="shared" si="21"/>
        <v>2166.6666666666665</v>
      </c>
      <c r="R58" s="6">
        <f t="shared" si="21"/>
        <v>1382.6754385964912</v>
      </c>
      <c r="S58" s="6">
        <f t="shared" si="21"/>
        <v>12814.692982456139</v>
      </c>
      <c r="T58" s="6">
        <f t="shared" si="21"/>
        <v>168914.4736842105</v>
      </c>
      <c r="W58" s="6">
        <f t="shared" si="22"/>
        <v>28.508771929824558</v>
      </c>
    </row>
    <row r="59" spans="1:23" s="6" customFormat="1" x14ac:dyDescent="0.25">
      <c r="A59">
        <v>5</v>
      </c>
      <c r="B59" s="1">
        <v>2010000</v>
      </c>
      <c r="C59">
        <v>289836</v>
      </c>
      <c r="D59" s="6">
        <v>433333.33333333331</v>
      </c>
      <c r="E59" s="6">
        <f t="shared" si="23"/>
        <v>62485.373134328351</v>
      </c>
      <c r="I59" s="6">
        <f t="shared" si="18"/>
        <v>115555.55555555555</v>
      </c>
      <c r="K59" s="6">
        <f t="shared" si="19"/>
        <v>1237155.8872305141</v>
      </c>
      <c r="L59" s="6">
        <f t="shared" si="19"/>
        <v>121829.18739635157</v>
      </c>
      <c r="O59" s="6">
        <f t="shared" si="20"/>
        <v>0</v>
      </c>
      <c r="Q59" s="6">
        <f t="shared" si="21"/>
        <v>4893.864013266998</v>
      </c>
      <c r="R59" s="6">
        <f t="shared" si="21"/>
        <v>2910.4477611940297</v>
      </c>
      <c r="S59" s="6">
        <f t="shared" si="21"/>
        <v>11965.174129353232</v>
      </c>
      <c r="T59" s="6">
        <f t="shared" si="21"/>
        <v>851575.45605306793</v>
      </c>
      <c r="W59" s="6">
        <f t="shared" si="22"/>
        <v>0</v>
      </c>
    </row>
    <row r="60" spans="1:23" s="6" customFormat="1" x14ac:dyDescent="0.25">
      <c r="A60">
        <v>6</v>
      </c>
      <c r="B60" s="1">
        <v>2310000</v>
      </c>
      <c r="C60">
        <v>352701</v>
      </c>
      <c r="D60" s="6">
        <v>350000</v>
      </c>
      <c r="E60" s="6">
        <f t="shared" si="23"/>
        <v>53439.545454545456</v>
      </c>
      <c r="I60" s="6">
        <f t="shared" si="18"/>
        <v>169469.69696969699</v>
      </c>
      <c r="K60" s="6">
        <f t="shared" si="19"/>
        <v>1118545.4545454546</v>
      </c>
      <c r="L60" s="6">
        <f t="shared" si="19"/>
        <v>268121.2121212121</v>
      </c>
      <c r="O60" s="6">
        <f t="shared" si="20"/>
        <v>0</v>
      </c>
      <c r="Q60" s="6">
        <f t="shared" si="21"/>
        <v>8575.757575757576</v>
      </c>
      <c r="R60" s="6">
        <f t="shared" si="21"/>
        <v>5727.2727272727279</v>
      </c>
      <c r="S60" s="6">
        <f t="shared" si="21"/>
        <v>21818.18181818182</v>
      </c>
      <c r="T60" s="6">
        <f t="shared" si="21"/>
        <v>634590.90909090906</v>
      </c>
      <c r="W60" s="6">
        <f t="shared" si="22"/>
        <v>0</v>
      </c>
    </row>
    <row r="61" spans="1:23" s="6" customFormat="1" x14ac:dyDescent="0.25">
      <c r="A61">
        <v>7</v>
      </c>
      <c r="B61" s="1">
        <v>2740000</v>
      </c>
      <c r="C61">
        <v>255057</v>
      </c>
      <c r="D61" s="6">
        <v>400000</v>
      </c>
      <c r="E61" s="6">
        <f t="shared" si="23"/>
        <v>37234.598540145984</v>
      </c>
      <c r="I61" s="6">
        <f t="shared" si="18"/>
        <v>104233.57664233576</v>
      </c>
      <c r="K61" s="6">
        <f t="shared" si="19"/>
        <v>738306.56934306561</v>
      </c>
      <c r="L61" s="6">
        <f t="shared" si="19"/>
        <v>204467.15328467151</v>
      </c>
      <c r="O61" s="6">
        <f t="shared" si="20"/>
        <v>0</v>
      </c>
      <c r="Q61" s="6">
        <f t="shared" si="21"/>
        <v>2189.7810218978102</v>
      </c>
      <c r="R61" s="6">
        <f t="shared" si="21"/>
        <v>2014.5985401459852</v>
      </c>
      <c r="S61" s="6">
        <f t="shared" si="21"/>
        <v>22773.722627737225</v>
      </c>
      <c r="T61" s="6">
        <f t="shared" si="21"/>
        <v>250160.58394160584</v>
      </c>
      <c r="W61" s="6">
        <f t="shared" si="22"/>
        <v>0</v>
      </c>
    </row>
    <row r="62" spans="1:23" s="6" customFormat="1" x14ac:dyDescent="0.25">
      <c r="A62">
        <v>8</v>
      </c>
      <c r="B62" s="1">
        <v>2080000</v>
      </c>
      <c r="C62">
        <v>182382</v>
      </c>
      <c r="D62" s="6">
        <v>266666.66666666663</v>
      </c>
      <c r="E62" s="6">
        <f t="shared" si="23"/>
        <v>23382.307692307688</v>
      </c>
      <c r="I62" s="6">
        <f t="shared" si="18"/>
        <v>57448.717948717946</v>
      </c>
      <c r="K62" s="6">
        <f t="shared" si="19"/>
        <v>482012.82051282044</v>
      </c>
      <c r="L62" s="6">
        <f t="shared" si="19"/>
        <v>229576.92307692303</v>
      </c>
      <c r="O62" s="6">
        <f t="shared" si="20"/>
        <v>0</v>
      </c>
      <c r="Q62" s="6">
        <f t="shared" si="21"/>
        <v>6743.5897435897414</v>
      </c>
      <c r="R62" s="6">
        <f t="shared" si="21"/>
        <v>1974.3589743589741</v>
      </c>
      <c r="S62" s="6">
        <f t="shared" si="21"/>
        <v>26756.41025641025</v>
      </c>
      <c r="T62" s="6">
        <f t="shared" si="21"/>
        <v>197730.76923076916</v>
      </c>
      <c r="W62" s="6">
        <f t="shared" si="22"/>
        <v>12.820512820512818</v>
      </c>
    </row>
    <row r="63" spans="1:23" s="6" customFormat="1" x14ac:dyDescent="0.25">
      <c r="A63">
        <v>9</v>
      </c>
      <c r="B63" s="1">
        <v>1760000</v>
      </c>
      <c r="C63">
        <v>241430</v>
      </c>
      <c r="D63" s="6">
        <v>500000</v>
      </c>
      <c r="E63" s="6">
        <f t="shared" si="23"/>
        <v>68588.068181818191</v>
      </c>
      <c r="I63" s="6">
        <f t="shared" si="18"/>
        <v>255625.00000000006</v>
      </c>
      <c r="K63" s="6">
        <f t="shared" si="19"/>
        <v>1590454.5454545456</v>
      </c>
      <c r="L63" s="6">
        <f t="shared" si="19"/>
        <v>363920.45454545459</v>
      </c>
      <c r="O63" s="6">
        <f t="shared" si="20"/>
        <v>0</v>
      </c>
      <c r="Q63" s="6">
        <f t="shared" si="21"/>
        <v>10198.863636363636</v>
      </c>
      <c r="R63" s="6">
        <f t="shared" si="21"/>
        <v>4176.136363636364</v>
      </c>
      <c r="S63" s="6">
        <f t="shared" si="21"/>
        <v>55369.318181818191</v>
      </c>
      <c r="T63" s="6">
        <f t="shared" si="21"/>
        <v>967215.90909090918</v>
      </c>
      <c r="W63" s="6">
        <f t="shared" si="22"/>
        <v>113.63636363636365</v>
      </c>
    </row>
    <row r="64" spans="1:23" s="6" customFormat="1" x14ac:dyDescent="0.25">
      <c r="A64">
        <v>10</v>
      </c>
      <c r="B64" s="1">
        <v>1940000</v>
      </c>
      <c r="C64">
        <v>185881</v>
      </c>
      <c r="D64" s="6">
        <v>450000</v>
      </c>
      <c r="E64" s="6">
        <f t="shared" si="23"/>
        <v>43116.726804123711</v>
      </c>
      <c r="I64" s="6">
        <f t="shared" si="18"/>
        <v>96634.020618556693</v>
      </c>
      <c r="K64" s="6">
        <f t="shared" si="19"/>
        <v>1027623.7113402062</v>
      </c>
      <c r="L64" s="6">
        <f t="shared" si="19"/>
        <v>340097.93814432988</v>
      </c>
      <c r="O64" s="6">
        <f t="shared" si="20"/>
        <v>23.195876288659797</v>
      </c>
      <c r="Q64" s="6">
        <f t="shared" si="21"/>
        <v>7422.6804123711336</v>
      </c>
      <c r="R64" s="6">
        <f t="shared" si="21"/>
        <v>3827.319587628866</v>
      </c>
      <c r="S64" s="6">
        <f t="shared" si="21"/>
        <v>38760.309278350513</v>
      </c>
      <c r="T64" s="6">
        <f t="shared" si="21"/>
        <v>486626.28865979379</v>
      </c>
      <c r="W64" s="6">
        <f t="shared" si="22"/>
        <v>0</v>
      </c>
    </row>
    <row r="65" spans="1:23" s="6" customFormat="1" x14ac:dyDescent="0.25">
      <c r="A65">
        <v>11</v>
      </c>
      <c r="B65" s="1">
        <v>1300000</v>
      </c>
      <c r="C65">
        <v>178965</v>
      </c>
      <c r="D65" s="6">
        <v>316666.66666666663</v>
      </c>
      <c r="E65" s="6">
        <f t="shared" si="23"/>
        <v>43594.038461538454</v>
      </c>
      <c r="I65" s="6">
        <f t="shared" si="18"/>
        <v>140453.84615384613</v>
      </c>
      <c r="K65" s="6">
        <f t="shared" si="19"/>
        <v>1128989.7435897433</v>
      </c>
      <c r="L65" s="6">
        <f t="shared" si="19"/>
        <v>386382.05128205119</v>
      </c>
      <c r="O65" s="6">
        <f t="shared" si="20"/>
        <v>121.79487179487177</v>
      </c>
      <c r="Q65" s="6">
        <f t="shared" si="21"/>
        <v>17075.641025641024</v>
      </c>
      <c r="R65" s="6">
        <f t="shared" si="21"/>
        <v>4798.7179487179483</v>
      </c>
      <c r="S65" s="6">
        <f t="shared" si="21"/>
        <v>38535.89743589743</v>
      </c>
      <c r="T65" s="6">
        <f t="shared" si="21"/>
        <v>415856.41025641019</v>
      </c>
      <c r="W65" s="6">
        <f t="shared" si="22"/>
        <v>0</v>
      </c>
    </row>
    <row r="66" spans="1:23" s="6" customFormat="1" x14ac:dyDescent="0.25">
      <c r="A66">
        <v>12</v>
      </c>
      <c r="B66" s="1">
        <v>1030000</v>
      </c>
      <c r="C66">
        <v>78677</v>
      </c>
      <c r="D66" s="6">
        <v>183333.33333333331</v>
      </c>
      <c r="E66" s="6">
        <f t="shared" si="23"/>
        <v>14003.996763754045</v>
      </c>
      <c r="I66" s="6">
        <f t="shared" si="18"/>
        <v>18849.514563106794</v>
      </c>
      <c r="K66" s="6">
        <f t="shared" si="19"/>
        <v>396605.1779935275</v>
      </c>
      <c r="L66" s="6">
        <f t="shared" si="19"/>
        <v>130540.45307443365</v>
      </c>
      <c r="O66" s="6">
        <f t="shared" si="20"/>
        <v>17.79935275080906</v>
      </c>
      <c r="Q66" s="6">
        <f t="shared" si="21"/>
        <v>5802.588996763754</v>
      </c>
      <c r="R66" s="6">
        <f t="shared" si="21"/>
        <v>1655.3398058252426</v>
      </c>
      <c r="S66" s="6">
        <f t="shared" si="21"/>
        <v>42024.271844660194</v>
      </c>
      <c r="T66" s="6">
        <f t="shared" si="21"/>
        <v>232619.74110032362</v>
      </c>
      <c r="W66" s="6">
        <f t="shared" si="22"/>
        <v>0</v>
      </c>
    </row>
    <row r="67" spans="1:23" s="6" customFormat="1" x14ac:dyDescent="0.25">
      <c r="A67">
        <v>13</v>
      </c>
      <c r="B67" s="1">
        <v>1590000</v>
      </c>
      <c r="C67">
        <v>125680</v>
      </c>
      <c r="D67" s="6">
        <v>366666.66666666663</v>
      </c>
      <c r="E67" s="6">
        <f t="shared" si="23"/>
        <v>28982.809224318655</v>
      </c>
      <c r="I67" s="6">
        <f t="shared" si="18"/>
        <v>70312.368972746321</v>
      </c>
      <c r="K67" s="6">
        <f t="shared" si="19"/>
        <v>515431.86582809215</v>
      </c>
      <c r="L67" s="6">
        <f t="shared" si="19"/>
        <v>139725.36687631026</v>
      </c>
      <c r="O67" s="6">
        <f t="shared" si="20"/>
        <v>0</v>
      </c>
      <c r="Q67" s="6">
        <f t="shared" si="21"/>
        <v>3666.6666666666665</v>
      </c>
      <c r="R67" s="6">
        <f t="shared" si="21"/>
        <v>3343.8155136268338</v>
      </c>
      <c r="S67" s="6">
        <f t="shared" si="21"/>
        <v>16142.557651991612</v>
      </c>
      <c r="T67" s="6">
        <f t="shared" si="21"/>
        <v>230308.17610062892</v>
      </c>
      <c r="W67" s="6">
        <f t="shared" si="22"/>
        <v>23.060796645702304</v>
      </c>
    </row>
    <row r="68" spans="1:23" s="6" customFormat="1" x14ac:dyDescent="0.25">
      <c r="A68">
        <v>14</v>
      </c>
      <c r="B68" s="1">
        <v>1120000</v>
      </c>
      <c r="C68">
        <v>112135</v>
      </c>
      <c r="D68" s="6">
        <v>166666.66666666669</v>
      </c>
      <c r="E68" s="6">
        <f t="shared" si="23"/>
        <v>16686.755952380954</v>
      </c>
      <c r="I68" s="6">
        <f t="shared" si="18"/>
        <v>59166.666666666672</v>
      </c>
      <c r="K68" s="6">
        <f t="shared" si="19"/>
        <v>482901.78571428574</v>
      </c>
      <c r="L68" s="6">
        <f t="shared" si="19"/>
        <v>86889.880952380961</v>
      </c>
      <c r="O68" s="6">
        <f t="shared" si="20"/>
        <v>14.880952380952383</v>
      </c>
      <c r="Q68" s="6">
        <f t="shared" si="21"/>
        <v>3348.2142857142862</v>
      </c>
      <c r="R68" s="6">
        <f t="shared" si="21"/>
        <v>2157.7380952380954</v>
      </c>
      <c r="S68" s="6">
        <f t="shared" si="21"/>
        <v>9940.4761904761926</v>
      </c>
      <c r="T68" s="6">
        <f t="shared" si="21"/>
        <v>308184.52380952385</v>
      </c>
      <c r="W68" s="6">
        <f t="shared" si="22"/>
        <v>0</v>
      </c>
    </row>
    <row r="69" spans="1:23" s="12" customFormat="1" x14ac:dyDescent="0.25">
      <c r="A69">
        <v>15</v>
      </c>
      <c r="B69" s="1">
        <v>1490000</v>
      </c>
      <c r="C69">
        <v>116861</v>
      </c>
      <c r="D69" s="6">
        <v>183333.33333333331</v>
      </c>
      <c r="E69" s="6">
        <f>(C69/B69)*D69</f>
        <v>14378.870246085009</v>
      </c>
      <c r="I69" s="6">
        <f t="shared" si="18"/>
        <v>77836.689038031313</v>
      </c>
      <c r="K69" s="6">
        <f t="shared" si="19"/>
        <v>380558.16554809833</v>
      </c>
      <c r="L69" s="6">
        <f t="shared" si="19"/>
        <v>105065.99552572706</v>
      </c>
      <c r="O69" s="6">
        <f t="shared" si="20"/>
        <v>0</v>
      </c>
      <c r="Q69" s="6">
        <f t="shared" si="21"/>
        <v>3346.7561521252792</v>
      </c>
      <c r="R69" s="6">
        <f t="shared" si="21"/>
        <v>1119.6868008948543</v>
      </c>
      <c r="S69" s="6">
        <f t="shared" si="21"/>
        <v>7321.0290827740491</v>
      </c>
      <c r="T69" s="6">
        <f t="shared" si="21"/>
        <v>204176.73378076058</v>
      </c>
      <c r="W69" s="6">
        <f t="shared" si="22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A573-2D5C-F349-8161-356723AAECEB}">
  <dimension ref="A1:AT70"/>
  <sheetViews>
    <sheetView tabSelected="1" topLeftCell="A35" workbookViewId="0">
      <selection activeCell="A54" sqref="A54:XFD54"/>
    </sheetView>
  </sheetViews>
  <sheetFormatPr defaultColWidth="11" defaultRowHeight="15.75" x14ac:dyDescent="0.25"/>
  <sheetData>
    <row r="1" spans="1:23" x14ac:dyDescent="0.25">
      <c r="A1" t="s">
        <v>31</v>
      </c>
      <c r="B1" t="s">
        <v>32</v>
      </c>
      <c r="C1" t="s">
        <v>33</v>
      </c>
      <c r="D1" t="s">
        <v>34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191</v>
      </c>
      <c r="K1" t="s">
        <v>192</v>
      </c>
      <c r="L1" t="s">
        <v>193</v>
      </c>
      <c r="M1" t="s">
        <v>194</v>
      </c>
      <c r="N1" t="s">
        <v>195</v>
      </c>
      <c r="O1" t="s">
        <v>196</v>
      </c>
      <c r="P1" t="s">
        <v>197</v>
      </c>
      <c r="Q1" t="s">
        <v>198</v>
      </c>
      <c r="R1" t="s">
        <v>199</v>
      </c>
      <c r="S1" t="s">
        <v>225</v>
      </c>
      <c r="T1" t="s">
        <v>201</v>
      </c>
      <c r="U1" t="s">
        <v>277</v>
      </c>
      <c r="V1" t="s">
        <v>278</v>
      </c>
      <c r="W1" t="s">
        <v>279</v>
      </c>
    </row>
    <row r="3" spans="1:23" x14ac:dyDescent="0.25">
      <c r="A3" t="s">
        <v>280</v>
      </c>
      <c r="B3" s="1">
        <v>2700000</v>
      </c>
      <c r="C3" s="1">
        <v>812000</v>
      </c>
      <c r="D3" s="1">
        <v>706000</v>
      </c>
      <c r="E3">
        <v>279095</v>
      </c>
      <c r="F3">
        <v>265412</v>
      </c>
      <c r="G3">
        <v>162050</v>
      </c>
      <c r="H3">
        <v>130648</v>
      </c>
      <c r="I3">
        <v>14337</v>
      </c>
      <c r="J3">
        <v>217755</v>
      </c>
      <c r="K3">
        <v>44161</v>
      </c>
      <c r="L3">
        <v>17500</v>
      </c>
      <c r="M3">
        <v>11779</v>
      </c>
      <c r="N3">
        <v>231</v>
      </c>
      <c r="O3">
        <v>3</v>
      </c>
      <c r="P3">
        <v>424</v>
      </c>
      <c r="Q3">
        <v>340</v>
      </c>
      <c r="R3">
        <v>361</v>
      </c>
      <c r="S3">
        <v>599</v>
      </c>
      <c r="T3">
        <v>17166</v>
      </c>
      <c r="U3">
        <v>9687</v>
      </c>
      <c r="V3">
        <v>885</v>
      </c>
      <c r="W3">
        <v>7</v>
      </c>
    </row>
    <row r="4" spans="1:23" x14ac:dyDescent="0.25">
      <c r="A4" t="s">
        <v>281</v>
      </c>
      <c r="B4" s="1">
        <v>4000000</v>
      </c>
      <c r="C4" s="1">
        <v>1530000</v>
      </c>
      <c r="D4" s="1">
        <v>1260000</v>
      </c>
      <c r="E4" s="1">
        <v>652000</v>
      </c>
      <c r="F4" s="1">
        <v>625000</v>
      </c>
      <c r="G4">
        <v>399684</v>
      </c>
      <c r="H4">
        <v>309399</v>
      </c>
      <c r="I4">
        <v>53801</v>
      </c>
      <c r="J4" s="1">
        <v>491000</v>
      </c>
      <c r="K4">
        <v>98102</v>
      </c>
      <c r="L4">
        <v>11089</v>
      </c>
      <c r="M4">
        <v>6461</v>
      </c>
      <c r="N4">
        <v>315</v>
      </c>
      <c r="O4">
        <v>49</v>
      </c>
      <c r="P4">
        <v>407</v>
      </c>
      <c r="Q4">
        <v>288</v>
      </c>
      <c r="R4">
        <v>310</v>
      </c>
      <c r="S4">
        <v>382</v>
      </c>
      <c r="T4">
        <v>74644</v>
      </c>
      <c r="U4">
        <v>60188</v>
      </c>
      <c r="V4">
        <v>43751</v>
      </c>
      <c r="W4">
        <v>1467</v>
      </c>
    </row>
    <row r="5" spans="1:23" x14ac:dyDescent="0.25">
      <c r="A5" t="s">
        <v>282</v>
      </c>
      <c r="B5" s="1">
        <v>2600000</v>
      </c>
      <c r="C5" s="1">
        <v>761000</v>
      </c>
      <c r="D5" s="1">
        <v>638000</v>
      </c>
      <c r="E5">
        <v>216151</v>
      </c>
      <c r="F5">
        <v>206268</v>
      </c>
      <c r="G5">
        <v>159590</v>
      </c>
      <c r="H5">
        <v>130553</v>
      </c>
      <c r="I5">
        <v>1908</v>
      </c>
      <c r="J5">
        <v>197908</v>
      </c>
      <c r="K5">
        <v>53841</v>
      </c>
      <c r="L5">
        <v>7951</v>
      </c>
      <c r="M5">
        <v>3040</v>
      </c>
      <c r="N5">
        <v>140</v>
      </c>
      <c r="O5">
        <v>31</v>
      </c>
      <c r="P5">
        <v>384</v>
      </c>
      <c r="Q5">
        <v>357</v>
      </c>
      <c r="R5">
        <v>343</v>
      </c>
      <c r="S5">
        <v>239</v>
      </c>
      <c r="T5">
        <v>6581</v>
      </c>
      <c r="U5">
        <v>4012</v>
      </c>
      <c r="V5">
        <v>1240</v>
      </c>
      <c r="W5">
        <v>392</v>
      </c>
    </row>
    <row r="6" spans="1:23" x14ac:dyDescent="0.25">
      <c r="A6" t="s">
        <v>283</v>
      </c>
      <c r="B6" s="1">
        <v>2490000</v>
      </c>
      <c r="C6" s="1">
        <v>525000</v>
      </c>
      <c r="D6" s="1">
        <v>451000</v>
      </c>
      <c r="E6">
        <v>188533</v>
      </c>
      <c r="F6">
        <v>178060</v>
      </c>
      <c r="G6">
        <v>119240</v>
      </c>
      <c r="H6">
        <v>91829</v>
      </c>
      <c r="I6">
        <v>4923</v>
      </c>
      <c r="J6">
        <v>156906</v>
      </c>
      <c r="K6">
        <v>36540</v>
      </c>
      <c r="L6">
        <v>14927</v>
      </c>
      <c r="M6">
        <v>9046</v>
      </c>
      <c r="N6">
        <v>299</v>
      </c>
      <c r="O6">
        <v>6</v>
      </c>
      <c r="P6">
        <v>151</v>
      </c>
      <c r="Q6">
        <v>108</v>
      </c>
      <c r="R6">
        <v>332</v>
      </c>
      <c r="S6">
        <v>240</v>
      </c>
      <c r="T6">
        <v>17508</v>
      </c>
      <c r="U6">
        <v>10252</v>
      </c>
      <c r="V6">
        <v>2171</v>
      </c>
      <c r="W6">
        <v>3</v>
      </c>
    </row>
    <row r="7" spans="1:23" x14ac:dyDescent="0.25">
      <c r="A7" t="s">
        <v>284</v>
      </c>
      <c r="B7" s="1">
        <v>3030000</v>
      </c>
      <c r="C7" s="1">
        <v>709000</v>
      </c>
      <c r="D7" s="1">
        <v>600000</v>
      </c>
      <c r="E7">
        <v>182905</v>
      </c>
      <c r="F7">
        <v>167925</v>
      </c>
      <c r="G7">
        <v>98737</v>
      </c>
      <c r="H7">
        <v>68906</v>
      </c>
      <c r="I7">
        <v>6739</v>
      </c>
      <c r="J7">
        <v>141568</v>
      </c>
      <c r="K7">
        <v>42909</v>
      </c>
      <c r="L7">
        <v>6951</v>
      </c>
      <c r="M7">
        <v>3163</v>
      </c>
      <c r="N7">
        <v>143</v>
      </c>
      <c r="O7">
        <v>30</v>
      </c>
      <c r="P7">
        <v>248</v>
      </c>
      <c r="Q7">
        <v>188</v>
      </c>
      <c r="R7">
        <v>193</v>
      </c>
      <c r="S7">
        <v>543</v>
      </c>
      <c r="T7">
        <v>14402</v>
      </c>
      <c r="U7">
        <v>8562</v>
      </c>
      <c r="V7">
        <v>3291</v>
      </c>
      <c r="W7">
        <v>255</v>
      </c>
    </row>
    <row r="8" spans="1:23" x14ac:dyDescent="0.25">
      <c r="A8" t="s">
        <v>285</v>
      </c>
      <c r="B8" s="1">
        <v>2140000</v>
      </c>
      <c r="C8" s="1">
        <v>703000</v>
      </c>
      <c r="D8" s="1">
        <v>626000</v>
      </c>
      <c r="E8">
        <v>302197</v>
      </c>
      <c r="F8">
        <v>290618</v>
      </c>
      <c r="G8">
        <v>186498</v>
      </c>
      <c r="H8">
        <v>110521</v>
      </c>
      <c r="I8">
        <v>1788</v>
      </c>
      <c r="J8">
        <v>279335</v>
      </c>
      <c r="K8">
        <v>122731</v>
      </c>
      <c r="L8">
        <v>22220</v>
      </c>
      <c r="M8">
        <v>8850</v>
      </c>
      <c r="N8">
        <v>626</v>
      </c>
      <c r="O8">
        <v>168</v>
      </c>
      <c r="P8">
        <v>1357</v>
      </c>
      <c r="Q8">
        <v>1103</v>
      </c>
      <c r="R8">
        <v>793</v>
      </c>
      <c r="S8">
        <v>1124</v>
      </c>
      <c r="T8">
        <v>22827</v>
      </c>
      <c r="U8">
        <v>11279</v>
      </c>
      <c r="V8">
        <v>3518</v>
      </c>
      <c r="W8">
        <v>1658</v>
      </c>
    </row>
    <row r="9" spans="1:23" x14ac:dyDescent="0.25">
      <c r="A9" t="s">
        <v>286</v>
      </c>
      <c r="B9" s="1">
        <v>2830000</v>
      </c>
      <c r="C9" s="1">
        <v>875000</v>
      </c>
      <c r="D9" s="1">
        <v>742000</v>
      </c>
      <c r="E9">
        <v>328110</v>
      </c>
      <c r="F9">
        <v>314569</v>
      </c>
      <c r="G9">
        <v>234931</v>
      </c>
      <c r="H9">
        <v>163322</v>
      </c>
      <c r="I9">
        <v>7232</v>
      </c>
      <c r="J9">
        <v>273987</v>
      </c>
      <c r="K9">
        <v>85035</v>
      </c>
      <c r="L9">
        <v>9993</v>
      </c>
      <c r="M9">
        <v>4900</v>
      </c>
      <c r="N9">
        <v>482</v>
      </c>
      <c r="O9">
        <v>187</v>
      </c>
      <c r="P9">
        <v>885</v>
      </c>
      <c r="Q9">
        <v>795</v>
      </c>
      <c r="R9">
        <v>467</v>
      </c>
      <c r="S9">
        <v>633</v>
      </c>
      <c r="T9">
        <v>22505</v>
      </c>
      <c r="U9">
        <v>12904</v>
      </c>
      <c r="V9">
        <v>6063</v>
      </c>
      <c r="W9">
        <v>1224</v>
      </c>
    </row>
    <row r="10" spans="1:23" x14ac:dyDescent="0.25">
      <c r="A10" t="s">
        <v>287</v>
      </c>
      <c r="B10" s="1">
        <v>4000000</v>
      </c>
      <c r="C10" s="1">
        <v>1020000</v>
      </c>
      <c r="D10" s="1">
        <v>873000</v>
      </c>
      <c r="E10">
        <v>307521</v>
      </c>
      <c r="F10">
        <v>267728</v>
      </c>
      <c r="G10">
        <v>150238</v>
      </c>
      <c r="H10">
        <v>123116</v>
      </c>
      <c r="I10">
        <v>21418</v>
      </c>
      <c r="J10">
        <v>213820</v>
      </c>
      <c r="K10">
        <v>32663</v>
      </c>
      <c r="L10">
        <v>12873</v>
      </c>
      <c r="M10">
        <v>10098</v>
      </c>
      <c r="N10">
        <v>138</v>
      </c>
      <c r="O10">
        <v>5</v>
      </c>
      <c r="P10">
        <v>141</v>
      </c>
      <c r="Q10">
        <v>97</v>
      </c>
      <c r="R10">
        <v>142</v>
      </c>
      <c r="S10">
        <v>200</v>
      </c>
      <c r="T10">
        <v>16430</v>
      </c>
      <c r="U10">
        <v>11560</v>
      </c>
      <c r="V10">
        <v>825</v>
      </c>
      <c r="W10">
        <v>4</v>
      </c>
    </row>
    <row r="11" spans="1:23" x14ac:dyDescent="0.25">
      <c r="A11" t="s">
        <v>288</v>
      </c>
      <c r="B11" s="1">
        <v>3330000</v>
      </c>
      <c r="C11" s="1">
        <v>609000</v>
      </c>
      <c r="D11" s="1">
        <v>508000</v>
      </c>
      <c r="E11">
        <v>173094</v>
      </c>
      <c r="F11">
        <v>143599</v>
      </c>
      <c r="G11">
        <v>100090</v>
      </c>
      <c r="H11">
        <v>74005</v>
      </c>
      <c r="I11">
        <v>8863</v>
      </c>
      <c r="J11">
        <v>120306</v>
      </c>
      <c r="K11">
        <v>23690</v>
      </c>
      <c r="L11">
        <v>6379</v>
      </c>
      <c r="M11">
        <v>4381</v>
      </c>
      <c r="N11">
        <v>100</v>
      </c>
      <c r="O11">
        <v>8</v>
      </c>
      <c r="P11">
        <v>107</v>
      </c>
      <c r="Q11">
        <v>65</v>
      </c>
      <c r="R11">
        <v>120</v>
      </c>
      <c r="S11">
        <v>124</v>
      </c>
      <c r="T11">
        <v>8968</v>
      </c>
      <c r="U11">
        <v>6739</v>
      </c>
      <c r="V11">
        <v>2240</v>
      </c>
      <c r="W11">
        <v>52</v>
      </c>
    </row>
    <row r="12" spans="1:23" x14ac:dyDescent="0.25">
      <c r="A12" t="s">
        <v>289</v>
      </c>
      <c r="B12" s="1">
        <v>2840000</v>
      </c>
      <c r="C12" s="1">
        <v>563000</v>
      </c>
      <c r="D12" s="1">
        <v>475000</v>
      </c>
      <c r="E12">
        <v>148410</v>
      </c>
      <c r="F12">
        <v>135353</v>
      </c>
      <c r="G12">
        <v>90125</v>
      </c>
      <c r="H12">
        <v>61106</v>
      </c>
      <c r="I12">
        <v>2480</v>
      </c>
      <c r="J12">
        <v>122313</v>
      </c>
      <c r="K12">
        <v>43682</v>
      </c>
      <c r="L12">
        <v>7115</v>
      </c>
      <c r="M12">
        <v>3518</v>
      </c>
      <c r="N12">
        <v>116</v>
      </c>
      <c r="O12">
        <v>7</v>
      </c>
      <c r="P12">
        <v>184</v>
      </c>
      <c r="Q12">
        <v>145</v>
      </c>
      <c r="R12">
        <v>235</v>
      </c>
      <c r="S12">
        <v>392</v>
      </c>
      <c r="T12">
        <v>19653</v>
      </c>
      <c r="U12">
        <v>12623</v>
      </c>
      <c r="V12">
        <v>1601</v>
      </c>
      <c r="W12">
        <v>43</v>
      </c>
    </row>
    <row r="13" spans="1:23" x14ac:dyDescent="0.25">
      <c r="A13" t="s">
        <v>290</v>
      </c>
      <c r="B13" s="1">
        <v>3040000</v>
      </c>
      <c r="C13" s="1">
        <v>626000</v>
      </c>
      <c r="D13" s="1">
        <v>539000</v>
      </c>
      <c r="E13">
        <v>157465</v>
      </c>
      <c r="F13">
        <v>141058</v>
      </c>
      <c r="G13">
        <v>81926</v>
      </c>
      <c r="H13">
        <v>48612</v>
      </c>
      <c r="I13">
        <v>2246</v>
      </c>
      <c r="J13">
        <v>125229</v>
      </c>
      <c r="K13">
        <v>48126</v>
      </c>
      <c r="L13">
        <v>11361</v>
      </c>
      <c r="M13">
        <v>2710</v>
      </c>
      <c r="N13">
        <v>124</v>
      </c>
      <c r="O13">
        <v>19</v>
      </c>
      <c r="P13">
        <v>441</v>
      </c>
      <c r="Q13">
        <v>268</v>
      </c>
      <c r="R13">
        <v>396</v>
      </c>
      <c r="S13">
        <v>654</v>
      </c>
      <c r="T13">
        <v>18351</v>
      </c>
      <c r="U13">
        <v>9383</v>
      </c>
      <c r="V13">
        <v>5950</v>
      </c>
      <c r="W13">
        <v>124</v>
      </c>
    </row>
    <row r="14" spans="1:23" x14ac:dyDescent="0.25">
      <c r="A14" t="s">
        <v>291</v>
      </c>
      <c r="B14">
        <v>169664</v>
      </c>
      <c r="C14">
        <v>54662</v>
      </c>
      <c r="D14">
        <v>42266</v>
      </c>
      <c r="E14">
        <v>14477</v>
      </c>
      <c r="F14">
        <v>11535</v>
      </c>
      <c r="G14">
        <v>6871</v>
      </c>
      <c r="H14">
        <v>3971</v>
      </c>
      <c r="I14">
        <v>117</v>
      </c>
      <c r="J14">
        <v>10430</v>
      </c>
      <c r="K14">
        <v>3875</v>
      </c>
      <c r="L14">
        <v>894</v>
      </c>
      <c r="M14">
        <v>448</v>
      </c>
      <c r="N14">
        <v>1</v>
      </c>
      <c r="O14">
        <v>0</v>
      </c>
      <c r="P14">
        <v>17</v>
      </c>
      <c r="Q14">
        <v>12</v>
      </c>
      <c r="R14">
        <v>18</v>
      </c>
      <c r="S14">
        <v>38</v>
      </c>
      <c r="T14">
        <v>1837</v>
      </c>
      <c r="U14">
        <v>1240</v>
      </c>
      <c r="V14">
        <v>685</v>
      </c>
      <c r="W14">
        <v>5</v>
      </c>
    </row>
    <row r="15" spans="1:23" x14ac:dyDescent="0.25">
      <c r="A15" t="s">
        <v>292</v>
      </c>
      <c r="B15" s="1">
        <v>3270000</v>
      </c>
      <c r="C15" s="1">
        <v>721000</v>
      </c>
      <c r="D15" s="1">
        <v>611000</v>
      </c>
      <c r="E15">
        <v>222873</v>
      </c>
      <c r="F15">
        <v>202902</v>
      </c>
      <c r="G15">
        <v>137001</v>
      </c>
      <c r="H15">
        <v>112708</v>
      </c>
      <c r="I15">
        <v>2487</v>
      </c>
      <c r="J15">
        <v>190036</v>
      </c>
      <c r="K15">
        <v>39232</v>
      </c>
      <c r="L15">
        <v>8076</v>
      </c>
      <c r="M15">
        <v>4450</v>
      </c>
      <c r="N15">
        <v>167</v>
      </c>
      <c r="O15">
        <v>12</v>
      </c>
      <c r="P15">
        <v>84</v>
      </c>
      <c r="Q15">
        <v>52</v>
      </c>
      <c r="R15">
        <v>140</v>
      </c>
      <c r="S15">
        <v>420</v>
      </c>
      <c r="T15">
        <v>14926</v>
      </c>
      <c r="U15">
        <v>7998</v>
      </c>
      <c r="V15">
        <v>2043</v>
      </c>
      <c r="W15">
        <v>96</v>
      </c>
    </row>
    <row r="16" spans="1:23" x14ac:dyDescent="0.25">
      <c r="A16" t="s">
        <v>293</v>
      </c>
      <c r="B16" s="1">
        <v>4000000</v>
      </c>
      <c r="C16" s="1">
        <v>885000</v>
      </c>
      <c r="D16" s="1">
        <v>755000</v>
      </c>
      <c r="E16">
        <v>289528</v>
      </c>
      <c r="F16">
        <v>258250</v>
      </c>
      <c r="G16">
        <v>131129</v>
      </c>
      <c r="H16">
        <v>99996</v>
      </c>
      <c r="I16">
        <v>5380</v>
      </c>
      <c r="J16">
        <v>236790</v>
      </c>
      <c r="K16">
        <v>57432</v>
      </c>
      <c r="L16">
        <v>17339</v>
      </c>
      <c r="M16">
        <v>7464</v>
      </c>
      <c r="N16">
        <v>280</v>
      </c>
      <c r="O16">
        <v>7</v>
      </c>
      <c r="P16">
        <v>592</v>
      </c>
      <c r="Q16">
        <v>368</v>
      </c>
      <c r="R16">
        <v>220</v>
      </c>
      <c r="S16">
        <v>1970</v>
      </c>
      <c r="T16">
        <v>34672</v>
      </c>
      <c r="U16">
        <v>14939</v>
      </c>
      <c r="V16">
        <v>4092</v>
      </c>
      <c r="W16">
        <v>37</v>
      </c>
    </row>
    <row r="17" spans="1:23" x14ac:dyDescent="0.25">
      <c r="A17" t="s">
        <v>294</v>
      </c>
      <c r="B17" s="1">
        <v>3730000</v>
      </c>
      <c r="C17" s="1">
        <v>904000</v>
      </c>
      <c r="D17" s="1">
        <v>777000</v>
      </c>
      <c r="E17">
        <v>259213</v>
      </c>
      <c r="F17">
        <v>233178</v>
      </c>
      <c r="G17">
        <v>113289</v>
      </c>
      <c r="H17">
        <v>85559</v>
      </c>
      <c r="I17">
        <v>6021</v>
      </c>
      <c r="J17">
        <v>211370</v>
      </c>
      <c r="K17">
        <v>52459</v>
      </c>
      <c r="L17">
        <v>17605</v>
      </c>
      <c r="M17">
        <v>4753</v>
      </c>
      <c r="N17">
        <v>177</v>
      </c>
      <c r="O17">
        <v>11</v>
      </c>
      <c r="P17">
        <v>512</v>
      </c>
      <c r="Q17">
        <v>362</v>
      </c>
      <c r="R17">
        <v>361</v>
      </c>
      <c r="S17">
        <v>1514</v>
      </c>
      <c r="T17">
        <v>22374</v>
      </c>
      <c r="U17">
        <v>9012</v>
      </c>
      <c r="V17">
        <v>2171</v>
      </c>
      <c r="W17">
        <v>29</v>
      </c>
    </row>
    <row r="18" spans="1:23" x14ac:dyDescent="0.25">
      <c r="B18" s="1"/>
      <c r="C18" s="1"/>
      <c r="D18" s="1"/>
    </row>
    <row r="19" spans="1:23" ht="27" customHeight="1" x14ac:dyDescent="0.25">
      <c r="B19" s="1" t="s">
        <v>70</v>
      </c>
      <c r="C19" s="1" t="s">
        <v>71</v>
      </c>
      <c r="D19" s="1" t="s">
        <v>72</v>
      </c>
      <c r="E19" s="1" t="s">
        <v>73</v>
      </c>
      <c r="F19" s="1" t="s">
        <v>74</v>
      </c>
      <c r="G19" s="1" t="s">
        <v>75</v>
      </c>
      <c r="H19" s="1" t="s">
        <v>76</v>
      </c>
      <c r="I19" s="3" t="s">
        <v>18</v>
      </c>
      <c r="J19" s="1" t="s">
        <v>77</v>
      </c>
      <c r="K19" s="3" t="s">
        <v>12</v>
      </c>
      <c r="L19" s="3" t="s">
        <v>79</v>
      </c>
      <c r="O19" s="4" t="s">
        <v>80</v>
      </c>
      <c r="Q19" s="4" t="s">
        <v>25</v>
      </c>
      <c r="R19" s="4" t="s">
        <v>81</v>
      </c>
      <c r="S19" s="4" t="s">
        <v>82</v>
      </c>
      <c r="T19" s="4" t="s">
        <v>83</v>
      </c>
      <c r="W19" s="4" t="s">
        <v>84</v>
      </c>
    </row>
    <row r="20" spans="1:23" x14ac:dyDescent="0.25">
      <c r="B20" s="1"/>
      <c r="I20" s="4"/>
      <c r="K20" s="4"/>
      <c r="L20" s="4"/>
      <c r="O20" s="4"/>
      <c r="Q20" s="4"/>
      <c r="R20" s="4"/>
      <c r="S20" s="4"/>
      <c r="T20" s="4"/>
      <c r="W20" s="4"/>
    </row>
    <row r="21" spans="1:23" s="7" customFormat="1" x14ac:dyDescent="0.25">
      <c r="A21" s="7" t="s">
        <v>85</v>
      </c>
    </row>
    <row r="22" spans="1:23" ht="27" customHeight="1" x14ac:dyDescent="0.25">
      <c r="A22" s="7"/>
      <c r="B22" s="1" t="s">
        <v>70</v>
      </c>
      <c r="C22" s="1" t="s">
        <v>71</v>
      </c>
      <c r="D22" s="1" t="s">
        <v>72</v>
      </c>
      <c r="E22" s="1" t="s">
        <v>73</v>
      </c>
      <c r="F22" s="1" t="s">
        <v>74</v>
      </c>
      <c r="G22" s="1" t="s">
        <v>75</v>
      </c>
      <c r="H22" s="1" t="s">
        <v>76</v>
      </c>
      <c r="I22" s="3" t="s">
        <v>18</v>
      </c>
      <c r="J22" s="1" t="s">
        <v>77</v>
      </c>
      <c r="K22" s="3" t="s">
        <v>12</v>
      </c>
      <c r="L22" s="3" t="s">
        <v>79</v>
      </c>
      <c r="O22" s="4" t="s">
        <v>80</v>
      </c>
      <c r="Q22" s="4" t="s">
        <v>25</v>
      </c>
      <c r="R22" s="4" t="s">
        <v>81</v>
      </c>
      <c r="S22" s="4" t="s">
        <v>82</v>
      </c>
      <c r="T22" s="4" t="s">
        <v>83</v>
      </c>
      <c r="W22" s="4" t="s">
        <v>84</v>
      </c>
    </row>
    <row r="23" spans="1:23" x14ac:dyDescent="0.25">
      <c r="A23" s="7">
        <v>31</v>
      </c>
      <c r="F23" s="1">
        <f>100*F3/$E3</f>
        <v>95.097368279618053</v>
      </c>
      <c r="G23" s="1">
        <f t="shared" ref="G23:W37" si="0">100*G3/$E3</f>
        <v>58.06266683387377</v>
      </c>
      <c r="H23" s="1">
        <f t="shared" si="0"/>
        <v>46.811300811551625</v>
      </c>
      <c r="I23" s="1">
        <f t="shared" si="0"/>
        <v>5.136960533151794</v>
      </c>
      <c r="J23" s="1">
        <f t="shared" si="0"/>
        <v>78.021820527060683</v>
      </c>
      <c r="K23" s="1">
        <f t="shared" si="0"/>
        <v>15.822927676955874</v>
      </c>
      <c r="L23" s="1">
        <f t="shared" si="0"/>
        <v>6.2702663967466279</v>
      </c>
      <c r="M23" s="1">
        <f t="shared" si="0"/>
        <v>4.2204267364159156</v>
      </c>
      <c r="N23" s="1">
        <f t="shared" si="0"/>
        <v>8.2767516437055488E-2</v>
      </c>
      <c r="O23" s="1">
        <f t="shared" si="0"/>
        <v>1.0749028108708505E-3</v>
      </c>
      <c r="P23" s="1">
        <f t="shared" si="0"/>
        <v>0.15191959726974685</v>
      </c>
      <c r="Q23" s="1">
        <f t="shared" si="0"/>
        <v>0.12182231856536305</v>
      </c>
      <c r="R23" s="1">
        <f t="shared" si="0"/>
        <v>0.12934663824145901</v>
      </c>
      <c r="S23" s="1">
        <f t="shared" si="0"/>
        <v>0.21462226123721315</v>
      </c>
      <c r="T23" s="1">
        <f t="shared" si="0"/>
        <v>6.1505938838030065</v>
      </c>
      <c r="U23" s="1">
        <f t="shared" si="0"/>
        <v>3.4708611763019759</v>
      </c>
      <c r="V23" s="1">
        <f t="shared" si="0"/>
        <v>0.3170963292069009</v>
      </c>
      <c r="W23" s="1">
        <f t="shared" si="0"/>
        <v>2.5081065586986511E-3</v>
      </c>
    </row>
    <row r="24" spans="1:23" x14ac:dyDescent="0.25">
      <c r="A24" s="7">
        <v>32</v>
      </c>
      <c r="F24" s="1">
        <f t="shared" ref="F24:U37" si="1">100*F4/$E4</f>
        <v>95.858895705521476</v>
      </c>
      <c r="G24" s="1">
        <f t="shared" si="1"/>
        <v>61.301226993865029</v>
      </c>
      <c r="H24" s="1">
        <f t="shared" si="1"/>
        <v>47.453834355828221</v>
      </c>
      <c r="I24" s="1">
        <f t="shared" si="1"/>
        <v>8.2516871165644172</v>
      </c>
      <c r="J24" s="1">
        <f t="shared" si="1"/>
        <v>75.306748466257673</v>
      </c>
      <c r="K24" s="1">
        <f t="shared" si="1"/>
        <v>15.046319018404908</v>
      </c>
      <c r="L24" s="1">
        <f t="shared" si="1"/>
        <v>1.7007668711656441</v>
      </c>
      <c r="M24" s="1">
        <f t="shared" si="1"/>
        <v>0.99095092024539877</v>
      </c>
      <c r="N24" s="1">
        <f t="shared" si="1"/>
        <v>4.8312883435582821E-2</v>
      </c>
      <c r="O24" s="1">
        <f t="shared" si="1"/>
        <v>7.5153374233128834E-3</v>
      </c>
      <c r="P24" s="1">
        <f t="shared" si="1"/>
        <v>6.2423312883435583E-2</v>
      </c>
      <c r="Q24" s="1">
        <f t="shared" si="1"/>
        <v>4.4171779141104296E-2</v>
      </c>
      <c r="R24" s="1">
        <f t="shared" si="1"/>
        <v>4.7546012269938653E-2</v>
      </c>
      <c r="S24" s="1">
        <f t="shared" si="0"/>
        <v>5.8588957055214726E-2</v>
      </c>
      <c r="T24" s="1">
        <f t="shared" si="0"/>
        <v>11.448466257668711</v>
      </c>
      <c r="U24" s="1">
        <f t="shared" si="0"/>
        <v>9.2312883435582815</v>
      </c>
      <c r="V24" s="1">
        <f t="shared" si="0"/>
        <v>6.7102760736196316</v>
      </c>
      <c r="W24" s="1">
        <f t="shared" si="0"/>
        <v>0.22500000000000001</v>
      </c>
    </row>
    <row r="25" spans="1:23" x14ac:dyDescent="0.25">
      <c r="A25" s="7">
        <v>33</v>
      </c>
      <c r="F25" s="1">
        <f t="shared" si="1"/>
        <v>95.427733390083787</v>
      </c>
      <c r="G25" s="1">
        <f t="shared" si="1"/>
        <v>73.832644771479195</v>
      </c>
      <c r="H25" s="1">
        <f t="shared" si="1"/>
        <v>60.398980342445789</v>
      </c>
      <c r="I25" s="1">
        <f t="shared" si="1"/>
        <v>0.88271624928869175</v>
      </c>
      <c r="J25" s="1">
        <f t="shared" si="1"/>
        <v>91.5600668051501</v>
      </c>
      <c r="K25" s="1">
        <f t="shared" si="1"/>
        <v>24.9089756697864</v>
      </c>
      <c r="L25" s="1">
        <f t="shared" si="1"/>
        <v>3.678447011579868</v>
      </c>
      <c r="M25" s="1">
        <f t="shared" si="1"/>
        <v>1.4064242127031565</v>
      </c>
      <c r="N25" s="1">
        <f t="shared" si="1"/>
        <v>6.4769536111329573E-2</v>
      </c>
      <c r="O25" s="1">
        <f t="shared" si="1"/>
        <v>1.4341825853222979E-2</v>
      </c>
      <c r="P25" s="1">
        <f t="shared" si="1"/>
        <v>0.17765358476250398</v>
      </c>
      <c r="Q25" s="1">
        <f t="shared" si="1"/>
        <v>0.16516231708389043</v>
      </c>
      <c r="R25" s="1">
        <f t="shared" si="1"/>
        <v>0.15868536347275747</v>
      </c>
      <c r="S25" s="1">
        <f t="shared" si="0"/>
        <v>0.11057085093291263</v>
      </c>
      <c r="T25" s="1">
        <f t="shared" si="0"/>
        <v>3.0446308367761428</v>
      </c>
      <c r="U25" s="1">
        <f t="shared" si="0"/>
        <v>1.8561098491332448</v>
      </c>
      <c r="V25" s="1">
        <f t="shared" si="0"/>
        <v>0.57367303412891912</v>
      </c>
      <c r="W25" s="1">
        <f t="shared" si="0"/>
        <v>0.18135470111172283</v>
      </c>
    </row>
    <row r="26" spans="1:23" x14ac:dyDescent="0.25">
      <c r="A26" s="7">
        <v>34</v>
      </c>
      <c r="F26" s="1">
        <f t="shared" si="1"/>
        <v>94.445004322850636</v>
      </c>
      <c r="G26" s="1">
        <f t="shared" si="1"/>
        <v>63.246222146785975</v>
      </c>
      <c r="H26" s="1">
        <f t="shared" si="1"/>
        <v>48.707122890952775</v>
      </c>
      <c r="I26" s="1">
        <f t="shared" si="1"/>
        <v>2.6112139519341442</v>
      </c>
      <c r="J26" s="1">
        <f t="shared" si="1"/>
        <v>83.224687455246567</v>
      </c>
      <c r="K26" s="1">
        <f t="shared" si="1"/>
        <v>19.381222385470977</v>
      </c>
      <c r="L26" s="1">
        <f t="shared" si="1"/>
        <v>7.9174468130247755</v>
      </c>
      <c r="M26" s="1">
        <f t="shared" si="1"/>
        <v>4.7980990065399691</v>
      </c>
      <c r="N26" s="1">
        <f t="shared" si="1"/>
        <v>0.1585929253764593</v>
      </c>
      <c r="O26" s="1">
        <f t="shared" si="1"/>
        <v>3.182466729962394E-3</v>
      </c>
      <c r="P26" s="1">
        <f t="shared" si="1"/>
        <v>8.0092079370720243E-2</v>
      </c>
      <c r="Q26" s="1">
        <f t="shared" si="1"/>
        <v>5.7284401139323086E-2</v>
      </c>
      <c r="R26" s="1">
        <f t="shared" si="1"/>
        <v>0.17609649239125247</v>
      </c>
      <c r="S26" s="1">
        <f t="shared" si="0"/>
        <v>0.12729866919849575</v>
      </c>
      <c r="T26" s="1">
        <f t="shared" si="0"/>
        <v>9.2864379180302645</v>
      </c>
      <c r="U26" s="1">
        <f t="shared" si="0"/>
        <v>5.43777481926241</v>
      </c>
      <c r="V26" s="1">
        <f t="shared" si="0"/>
        <v>1.1515225451247262</v>
      </c>
      <c r="W26" s="1">
        <f t="shared" si="0"/>
        <v>1.591233364981197E-3</v>
      </c>
    </row>
    <row r="27" spans="1:23" x14ac:dyDescent="0.25">
      <c r="A27" s="7">
        <v>35</v>
      </c>
      <c r="F27" s="1">
        <f t="shared" si="1"/>
        <v>91.809955988081242</v>
      </c>
      <c r="G27" s="1">
        <f t="shared" si="1"/>
        <v>53.982668598452747</v>
      </c>
      <c r="H27" s="1">
        <f t="shared" si="1"/>
        <v>37.673108991006259</v>
      </c>
      <c r="I27" s="1">
        <f t="shared" si="1"/>
        <v>3.684426341543424</v>
      </c>
      <c r="J27" s="1">
        <f t="shared" si="1"/>
        <v>77.399743036002292</v>
      </c>
      <c r="K27" s="1">
        <f t="shared" si="1"/>
        <v>23.459719526530165</v>
      </c>
      <c r="L27" s="1">
        <f t="shared" si="1"/>
        <v>3.8003335064651047</v>
      </c>
      <c r="M27" s="1">
        <f t="shared" si="1"/>
        <v>1.7293130313550751</v>
      </c>
      <c r="N27" s="1">
        <f t="shared" si="1"/>
        <v>7.8182663131133645E-2</v>
      </c>
      <c r="O27" s="1">
        <f t="shared" si="1"/>
        <v>1.6401957300237829E-2</v>
      </c>
      <c r="P27" s="1">
        <f t="shared" si="1"/>
        <v>0.13558951368196606</v>
      </c>
      <c r="Q27" s="1">
        <f t="shared" si="1"/>
        <v>0.10278559908149039</v>
      </c>
      <c r="R27" s="1">
        <f t="shared" si="1"/>
        <v>0.10551925863153003</v>
      </c>
      <c r="S27" s="1">
        <f t="shared" si="0"/>
        <v>0.2968754271343047</v>
      </c>
      <c r="T27" s="1">
        <f t="shared" si="0"/>
        <v>7.8740329679341734</v>
      </c>
      <c r="U27" s="1">
        <f t="shared" si="0"/>
        <v>4.6811186134878762</v>
      </c>
      <c r="V27" s="1">
        <f t="shared" si="0"/>
        <v>1.7992947158360897</v>
      </c>
      <c r="W27" s="1">
        <f t="shared" si="0"/>
        <v>0.13941663705202154</v>
      </c>
    </row>
    <row r="28" spans="1:23" x14ac:dyDescent="0.25">
      <c r="A28" s="7">
        <v>36</v>
      </c>
      <c r="F28" s="1">
        <f t="shared" si="1"/>
        <v>96.168393465189922</v>
      </c>
      <c r="G28" s="1">
        <f t="shared" si="1"/>
        <v>61.714047459107803</v>
      </c>
      <c r="H28" s="1">
        <f t="shared" si="1"/>
        <v>36.572500719729184</v>
      </c>
      <c r="I28" s="1">
        <f t="shared" si="1"/>
        <v>0.59166702515246672</v>
      </c>
      <c r="J28" s="1">
        <f t="shared" si="1"/>
        <v>92.434736281299948</v>
      </c>
      <c r="K28" s="1">
        <f t="shared" si="1"/>
        <v>40.612911445183109</v>
      </c>
      <c r="L28" s="1">
        <f t="shared" si="1"/>
        <v>7.3528195183936305</v>
      </c>
      <c r="M28" s="1">
        <f t="shared" si="1"/>
        <v>2.9285532285231155</v>
      </c>
      <c r="N28" s="1">
        <f t="shared" si="1"/>
        <v>0.20714964079722831</v>
      </c>
      <c r="O28" s="1">
        <f t="shared" si="1"/>
        <v>5.5592874846540505E-2</v>
      </c>
      <c r="P28" s="1">
        <f t="shared" si="1"/>
        <v>0.44904482837354442</v>
      </c>
      <c r="Q28" s="1">
        <f t="shared" si="1"/>
        <v>0.36499369616508437</v>
      </c>
      <c r="R28" s="1">
        <f t="shared" si="1"/>
        <v>0.26241160567444416</v>
      </c>
      <c r="S28" s="1">
        <f t="shared" si="0"/>
        <v>0.37194280552090192</v>
      </c>
      <c r="T28" s="1">
        <f t="shared" si="0"/>
        <v>7.5536818697736905</v>
      </c>
      <c r="U28" s="1">
        <f t="shared" si="0"/>
        <v>3.7323335440126804</v>
      </c>
      <c r="V28" s="1">
        <f t="shared" si="0"/>
        <v>1.164141272084104</v>
      </c>
      <c r="W28" s="1">
        <f t="shared" si="0"/>
        <v>0.54864872914026286</v>
      </c>
    </row>
    <row r="29" spans="1:23" x14ac:dyDescent="0.25">
      <c r="A29" s="7">
        <v>37</v>
      </c>
      <c r="F29" s="1">
        <f t="shared" si="1"/>
        <v>95.873030386150987</v>
      </c>
      <c r="G29" s="1">
        <f t="shared" si="1"/>
        <v>71.601292249550454</v>
      </c>
      <c r="H29" s="1">
        <f t="shared" si="1"/>
        <v>49.77659931120661</v>
      </c>
      <c r="I29" s="1">
        <f t="shared" si="1"/>
        <v>2.2041388558715065</v>
      </c>
      <c r="J29" s="1">
        <f t="shared" si="1"/>
        <v>83.504617353936183</v>
      </c>
      <c r="K29" s="1">
        <f t="shared" si="1"/>
        <v>25.916613330895128</v>
      </c>
      <c r="L29" s="1">
        <f t="shared" si="1"/>
        <v>3.0456249428545306</v>
      </c>
      <c r="M29" s="1">
        <f t="shared" si="1"/>
        <v>1.4934016031209045</v>
      </c>
      <c r="N29" s="1">
        <f t="shared" si="1"/>
        <v>0.14690195361311756</v>
      </c>
      <c r="O29" s="1">
        <f t="shared" si="1"/>
        <v>5.6993081588491666E-2</v>
      </c>
      <c r="P29" s="1">
        <f t="shared" si="1"/>
        <v>0.26972661607387766</v>
      </c>
      <c r="Q29" s="1">
        <f t="shared" si="1"/>
        <v>0.24229679071043247</v>
      </c>
      <c r="R29" s="1">
        <f t="shared" si="1"/>
        <v>0.14233031605254334</v>
      </c>
      <c r="S29" s="1">
        <f t="shared" si="0"/>
        <v>0.19292310505623114</v>
      </c>
      <c r="T29" s="1">
        <f t="shared" si="0"/>
        <v>6.8589802200481547</v>
      </c>
      <c r="U29" s="1">
        <f t="shared" si="0"/>
        <v>3.9328274054432963</v>
      </c>
      <c r="V29" s="1">
        <f t="shared" si="0"/>
        <v>1.8478559019840908</v>
      </c>
      <c r="W29" s="1">
        <f t="shared" si="0"/>
        <v>0.37304562494285454</v>
      </c>
    </row>
    <row r="30" spans="1:23" x14ac:dyDescent="0.25">
      <c r="A30" s="7">
        <v>38</v>
      </c>
      <c r="F30" s="1">
        <f t="shared" si="1"/>
        <v>87.060070694359084</v>
      </c>
      <c r="G30" s="1">
        <f t="shared" si="1"/>
        <v>48.854549770584775</v>
      </c>
      <c r="H30" s="1">
        <f t="shared" si="1"/>
        <v>40.034989480393207</v>
      </c>
      <c r="I30" s="1">
        <f t="shared" si="1"/>
        <v>6.9647276120980353</v>
      </c>
      <c r="J30" s="1">
        <f t="shared" si="1"/>
        <v>69.53021094494359</v>
      </c>
      <c r="K30" s="1">
        <f t="shared" si="1"/>
        <v>10.621388458024004</v>
      </c>
      <c r="L30" s="1">
        <f t="shared" si="1"/>
        <v>4.1860555864477549</v>
      </c>
      <c r="M30" s="1">
        <f t="shared" si="1"/>
        <v>3.2836781878310748</v>
      </c>
      <c r="N30" s="1">
        <f t="shared" si="1"/>
        <v>4.487498414742408E-2</v>
      </c>
      <c r="O30" s="1">
        <f t="shared" si="1"/>
        <v>1.6259052227327565E-3</v>
      </c>
      <c r="P30" s="1">
        <f t="shared" si="1"/>
        <v>4.585052728106373E-2</v>
      </c>
      <c r="Q30" s="1">
        <f t="shared" si="1"/>
        <v>3.1542561321015475E-2</v>
      </c>
      <c r="R30" s="1">
        <f t="shared" si="1"/>
        <v>4.6175708325610285E-2</v>
      </c>
      <c r="S30" s="1">
        <f t="shared" si="0"/>
        <v>6.5036208909310264E-2</v>
      </c>
      <c r="T30" s="1">
        <f t="shared" si="0"/>
        <v>5.3427245618998374</v>
      </c>
      <c r="U30" s="1">
        <f t="shared" si="0"/>
        <v>3.7590928749581329</v>
      </c>
      <c r="V30" s="1">
        <f t="shared" si="0"/>
        <v>0.2682743617509048</v>
      </c>
      <c r="W30" s="1">
        <f t="shared" si="0"/>
        <v>1.3007241781862052E-3</v>
      </c>
    </row>
    <row r="31" spans="1:23" x14ac:dyDescent="0.25">
      <c r="A31" s="7">
        <v>39</v>
      </c>
      <c r="F31" s="1">
        <f t="shared" si="1"/>
        <v>82.960125712040863</v>
      </c>
      <c r="G31" s="1">
        <f t="shared" si="1"/>
        <v>57.824072469294144</v>
      </c>
      <c r="H31" s="1">
        <f t="shared" si="1"/>
        <v>42.754226027476399</v>
      </c>
      <c r="I31" s="1">
        <f t="shared" si="1"/>
        <v>5.1203392376396639</v>
      </c>
      <c r="J31" s="1">
        <f t="shared" si="1"/>
        <v>69.503275676799888</v>
      </c>
      <c r="K31" s="1">
        <f t="shared" si="1"/>
        <v>13.686205183310802</v>
      </c>
      <c r="L31" s="1">
        <f t="shared" si="1"/>
        <v>3.6852808300692108</v>
      </c>
      <c r="M31" s="1">
        <f t="shared" si="1"/>
        <v>2.5309947196321074</v>
      </c>
      <c r="N31" s="1">
        <f t="shared" si="1"/>
        <v>5.777207759945463E-2</v>
      </c>
      <c r="O31" s="1">
        <f t="shared" si="1"/>
        <v>4.6217662079563702E-3</v>
      </c>
      <c r="P31" s="1">
        <f t="shared" si="1"/>
        <v>6.1816123031416453E-2</v>
      </c>
      <c r="Q31" s="1">
        <f t="shared" si="1"/>
        <v>3.7551850439645512E-2</v>
      </c>
      <c r="R31" s="1">
        <f t="shared" si="1"/>
        <v>6.9326493119345564E-2</v>
      </c>
      <c r="S31" s="1">
        <f t="shared" si="0"/>
        <v>7.1637376223323737E-2</v>
      </c>
      <c r="T31" s="1">
        <f t="shared" si="0"/>
        <v>5.180999919119091</v>
      </c>
      <c r="U31" s="1">
        <f t="shared" si="0"/>
        <v>3.8932603094272475</v>
      </c>
      <c r="V31" s="1">
        <f t="shared" si="0"/>
        <v>1.2940945382277838</v>
      </c>
      <c r="W31" s="1">
        <f t="shared" si="0"/>
        <v>3.0041480351716408E-2</v>
      </c>
    </row>
    <row r="32" spans="1:23" x14ac:dyDescent="0.25">
      <c r="A32" s="7">
        <v>40</v>
      </c>
      <c r="F32" s="1">
        <f t="shared" si="1"/>
        <v>91.202075331850949</v>
      </c>
      <c r="G32" s="1">
        <f t="shared" si="1"/>
        <v>60.727039956876219</v>
      </c>
      <c r="H32" s="1">
        <f t="shared" si="1"/>
        <v>41.173775352065228</v>
      </c>
      <c r="I32" s="1">
        <f t="shared" si="1"/>
        <v>1.6710464254430295</v>
      </c>
      <c r="J32" s="1">
        <f t="shared" si="1"/>
        <v>82.4156054174247</v>
      </c>
      <c r="K32" s="1">
        <f t="shared" si="1"/>
        <v>29.433326595242907</v>
      </c>
      <c r="L32" s="1">
        <f t="shared" si="1"/>
        <v>4.7941513375109492</v>
      </c>
      <c r="M32" s="1">
        <f t="shared" si="1"/>
        <v>2.3704602115760394</v>
      </c>
      <c r="N32" s="1">
        <f t="shared" si="1"/>
        <v>7.8161848932012667E-2</v>
      </c>
      <c r="O32" s="1">
        <f t="shared" si="1"/>
        <v>4.7166632976214538E-3</v>
      </c>
      <c r="P32" s="1">
        <f t="shared" si="1"/>
        <v>0.12398086382319251</v>
      </c>
      <c r="Q32" s="1">
        <f t="shared" si="1"/>
        <v>9.7702311165015834E-2</v>
      </c>
      <c r="R32" s="1">
        <f t="shared" si="1"/>
        <v>0.15834512499157738</v>
      </c>
      <c r="S32" s="1">
        <f t="shared" si="0"/>
        <v>0.26413314466680143</v>
      </c>
      <c r="T32" s="1">
        <f t="shared" si="0"/>
        <v>13.24236911259349</v>
      </c>
      <c r="U32" s="1">
        <f t="shared" si="0"/>
        <v>8.5054915436965164</v>
      </c>
      <c r="V32" s="1">
        <f t="shared" si="0"/>
        <v>1.0787682770702782</v>
      </c>
      <c r="W32" s="1">
        <f t="shared" si="0"/>
        <v>2.8973788828246076E-2</v>
      </c>
    </row>
    <row r="33" spans="1:46" x14ac:dyDescent="0.25">
      <c r="A33" s="7">
        <v>41</v>
      </c>
      <c r="F33" s="1">
        <f t="shared" si="1"/>
        <v>89.580541707681078</v>
      </c>
      <c r="G33" s="1">
        <f t="shared" si="1"/>
        <v>52.028069729781222</v>
      </c>
      <c r="H33" s="1">
        <f t="shared" si="1"/>
        <v>30.871622265265298</v>
      </c>
      <c r="I33" s="1">
        <f t="shared" si="1"/>
        <v>1.426348712412282</v>
      </c>
      <c r="J33" s="1">
        <f t="shared" si="1"/>
        <v>79.528149112501197</v>
      </c>
      <c r="K33" s="1">
        <f t="shared" si="1"/>
        <v>30.562982250023815</v>
      </c>
      <c r="L33" s="1">
        <f t="shared" si="1"/>
        <v>7.214936652589464</v>
      </c>
      <c r="M33" s="1">
        <f t="shared" si="1"/>
        <v>1.7210173689391293</v>
      </c>
      <c r="N33" s="1">
        <f t="shared" si="1"/>
        <v>7.8747658209760901E-2</v>
      </c>
      <c r="O33" s="1">
        <f t="shared" si="1"/>
        <v>1.2066173435366589E-2</v>
      </c>
      <c r="P33" s="1">
        <f t="shared" si="1"/>
        <v>0.28006223605245611</v>
      </c>
      <c r="Q33" s="1">
        <f t="shared" si="1"/>
        <v>0.17019655161464453</v>
      </c>
      <c r="R33" s="1">
        <f t="shared" si="1"/>
        <v>0.25148445686342996</v>
      </c>
      <c r="S33" s="1">
        <f t="shared" si="0"/>
        <v>0.41533039088051316</v>
      </c>
      <c r="T33" s="1">
        <f t="shared" si="0"/>
        <v>11.654018353284856</v>
      </c>
      <c r="U33" s="1">
        <f t="shared" si="0"/>
        <v>5.9587844917918265</v>
      </c>
      <c r="V33" s="1">
        <f t="shared" si="0"/>
        <v>3.778617470549011</v>
      </c>
      <c r="W33" s="1">
        <f t="shared" si="0"/>
        <v>7.8747658209760901E-2</v>
      </c>
    </row>
    <row r="34" spans="1:46" x14ac:dyDescent="0.25">
      <c r="A34" s="7">
        <v>42</v>
      </c>
      <c r="F34" s="1">
        <f t="shared" si="1"/>
        <v>79.67811010568488</v>
      </c>
      <c r="G34" s="1">
        <f t="shared" si="1"/>
        <v>47.461490640326033</v>
      </c>
      <c r="H34" s="1">
        <f t="shared" si="1"/>
        <v>27.429716101402224</v>
      </c>
      <c r="I34" s="1">
        <f t="shared" si="1"/>
        <v>0.80817849001865028</v>
      </c>
      <c r="J34" s="1">
        <f t="shared" si="1"/>
        <v>72.045313255508745</v>
      </c>
      <c r="K34" s="1">
        <f t="shared" si="1"/>
        <v>26.76659528907923</v>
      </c>
      <c r="L34" s="1">
        <f t="shared" si="1"/>
        <v>6.1753125647578919</v>
      </c>
      <c r="M34" s="1">
        <f t="shared" si="1"/>
        <v>3.0945637908406436</v>
      </c>
      <c r="N34" s="1">
        <f t="shared" si="1"/>
        <v>6.9075084616978654E-3</v>
      </c>
      <c r="O34" s="1">
        <f t="shared" si="1"/>
        <v>0</v>
      </c>
      <c r="P34" s="1">
        <f t="shared" si="1"/>
        <v>0.11742764384886371</v>
      </c>
      <c r="Q34" s="1">
        <f t="shared" si="1"/>
        <v>8.2890101540374392E-2</v>
      </c>
      <c r="R34" s="1">
        <f t="shared" si="1"/>
        <v>0.12433515231056158</v>
      </c>
      <c r="S34" s="1">
        <f t="shared" si="0"/>
        <v>0.26248532154451887</v>
      </c>
      <c r="T34" s="1">
        <f t="shared" si="0"/>
        <v>12.689093044138978</v>
      </c>
      <c r="U34" s="1">
        <f t="shared" si="0"/>
        <v>8.565310492505354</v>
      </c>
      <c r="V34" s="1">
        <f t="shared" si="0"/>
        <v>4.7316432962630381</v>
      </c>
      <c r="W34" s="1">
        <f t="shared" si="0"/>
        <v>3.4537542308489329E-2</v>
      </c>
    </row>
    <row r="35" spans="1:46" x14ac:dyDescent="0.25">
      <c r="A35" s="7">
        <v>43</v>
      </c>
      <c r="F35" s="1">
        <f t="shared" si="1"/>
        <v>91.03929143503251</v>
      </c>
      <c r="G35" s="1">
        <f t="shared" si="1"/>
        <v>61.470433834515624</v>
      </c>
      <c r="H35" s="1">
        <f t="shared" si="1"/>
        <v>50.570504278221229</v>
      </c>
      <c r="I35" s="1">
        <f t="shared" si="1"/>
        <v>1.1158821391554832</v>
      </c>
      <c r="J35" s="1">
        <f t="shared" si="1"/>
        <v>85.266497063349973</v>
      </c>
      <c r="K35" s="1">
        <f t="shared" si="1"/>
        <v>17.602850053617981</v>
      </c>
      <c r="L35" s="1">
        <f t="shared" si="1"/>
        <v>3.6235883216001938</v>
      </c>
      <c r="M35" s="1">
        <f t="shared" si="1"/>
        <v>1.9966528022685566</v>
      </c>
      <c r="N35" s="1">
        <f t="shared" si="1"/>
        <v>7.493056583794358E-2</v>
      </c>
      <c r="O35" s="1">
        <f t="shared" si="1"/>
        <v>5.3842322757803769E-3</v>
      </c>
      <c r="P35" s="1">
        <f t="shared" si="1"/>
        <v>3.7689625930462642E-2</v>
      </c>
      <c r="Q35" s="1">
        <f t="shared" si="1"/>
        <v>2.3331673195048301E-2</v>
      </c>
      <c r="R35" s="1">
        <f t="shared" si="1"/>
        <v>6.2816043217437736E-2</v>
      </c>
      <c r="S35" s="1">
        <f t="shared" si="0"/>
        <v>0.1884481296523132</v>
      </c>
      <c r="T35" s="1">
        <f t="shared" si="0"/>
        <v>6.6970875790248261</v>
      </c>
      <c r="U35" s="1">
        <f t="shared" si="0"/>
        <v>3.5885908118076215</v>
      </c>
      <c r="V35" s="1">
        <f t="shared" si="0"/>
        <v>0.91666554495160923</v>
      </c>
      <c r="W35" s="1">
        <f t="shared" si="0"/>
        <v>4.3073858206243015E-2</v>
      </c>
    </row>
    <row r="36" spans="1:46" x14ac:dyDescent="0.25">
      <c r="A36" s="7">
        <v>44</v>
      </c>
      <c r="F36" s="1">
        <f>100*F16/$E16</f>
        <v>89.196899781713682</v>
      </c>
      <c r="G36" s="1">
        <f t="shared" si="1"/>
        <v>45.290610925368185</v>
      </c>
      <c r="H36" s="1">
        <f t="shared" si="1"/>
        <v>34.537592219059988</v>
      </c>
      <c r="I36" s="1">
        <f t="shared" si="1"/>
        <v>1.8581967892569975</v>
      </c>
      <c r="J36" s="1">
        <f t="shared" si="1"/>
        <v>81.784836008952496</v>
      </c>
      <c r="K36" s="1">
        <f t="shared" si="1"/>
        <v>19.836423420187341</v>
      </c>
      <c r="L36" s="1">
        <f t="shared" si="1"/>
        <v>5.9887126633693457</v>
      </c>
      <c r="M36" s="1">
        <f t="shared" si="1"/>
        <v>2.5779890027907491</v>
      </c>
      <c r="N36" s="1">
        <f t="shared" si="1"/>
        <v>9.6709126578431101E-2</v>
      </c>
      <c r="O36" s="1">
        <f t="shared" si="1"/>
        <v>2.4177281644607775E-3</v>
      </c>
      <c r="P36" s="1">
        <f t="shared" si="1"/>
        <v>0.20447072476582576</v>
      </c>
      <c r="Q36" s="1">
        <f t="shared" si="1"/>
        <v>0.12710342350308088</v>
      </c>
      <c r="R36" s="1">
        <f t="shared" si="1"/>
        <v>7.5985742311624443E-2</v>
      </c>
      <c r="S36" s="1">
        <f t="shared" si="1"/>
        <v>0.6804177834268188</v>
      </c>
      <c r="T36" s="1">
        <f t="shared" si="1"/>
        <v>11.975352988312011</v>
      </c>
      <c r="U36" s="1">
        <f t="shared" si="1"/>
        <v>5.1597772926970791</v>
      </c>
      <c r="V36" s="1">
        <f t="shared" si="0"/>
        <v>1.4133348069962146</v>
      </c>
      <c r="W36" s="1">
        <f t="shared" si="0"/>
        <v>1.277942029786411E-2</v>
      </c>
    </row>
    <row r="37" spans="1:46" x14ac:dyDescent="0.25">
      <c r="A37" s="7">
        <v>45</v>
      </c>
      <c r="F37" s="1">
        <f>100*F17/$E17</f>
        <v>89.956136459205368</v>
      </c>
      <c r="G37" s="1">
        <f t="shared" si="1"/>
        <v>43.704983932133032</v>
      </c>
      <c r="H37" s="1">
        <f t="shared" si="1"/>
        <v>33.007218002183535</v>
      </c>
      <c r="I37" s="1">
        <f t="shared" si="1"/>
        <v>2.3228001682014403</v>
      </c>
      <c r="J37" s="1">
        <f t="shared" si="1"/>
        <v>81.54297816853321</v>
      </c>
      <c r="K37" s="1">
        <f t="shared" si="1"/>
        <v>20.237796715442514</v>
      </c>
      <c r="L37" s="1">
        <f t="shared" si="1"/>
        <v>6.7917118354403518</v>
      </c>
      <c r="M37" s="1">
        <f t="shared" si="1"/>
        <v>1.8336271714767391</v>
      </c>
      <c r="N37" s="1">
        <f t="shared" si="1"/>
        <v>6.8283612318826598E-2</v>
      </c>
      <c r="O37" s="1">
        <f t="shared" si="1"/>
        <v>4.243614324898828E-3</v>
      </c>
      <c r="P37" s="1">
        <f t="shared" si="1"/>
        <v>0.19752095766801819</v>
      </c>
      <c r="Q37" s="1">
        <f t="shared" si="1"/>
        <v>0.13965348960121599</v>
      </c>
      <c r="R37" s="1">
        <f t="shared" si="1"/>
        <v>0.13926770648077064</v>
      </c>
      <c r="S37" s="1">
        <f t="shared" si="1"/>
        <v>0.58407564435425696</v>
      </c>
      <c r="T37" s="1">
        <f t="shared" si="1"/>
        <v>8.6315115368442168</v>
      </c>
      <c r="U37" s="1">
        <f t="shared" si="1"/>
        <v>3.4766774814534767</v>
      </c>
      <c r="V37" s="1">
        <f t="shared" si="0"/>
        <v>0.83753515448685056</v>
      </c>
      <c r="W37" s="1">
        <f t="shared" si="0"/>
        <v>1.1187710492915092E-2</v>
      </c>
    </row>
    <row r="38" spans="1:46" ht="27" customHeight="1" x14ac:dyDescent="0.25">
      <c r="A38" s="15" t="s">
        <v>86</v>
      </c>
      <c r="B38" s="16" t="s">
        <v>70</v>
      </c>
      <c r="C38" s="16" t="s">
        <v>71</v>
      </c>
      <c r="D38" s="16" t="s">
        <v>72</v>
      </c>
      <c r="E38" s="16" t="s">
        <v>73</v>
      </c>
      <c r="F38" s="16" t="s">
        <v>74</v>
      </c>
      <c r="G38" s="16" t="s">
        <v>75</v>
      </c>
      <c r="H38" s="16" t="s">
        <v>76</v>
      </c>
      <c r="I38" s="17" t="s">
        <v>18</v>
      </c>
      <c r="J38" s="16" t="s">
        <v>77</v>
      </c>
      <c r="K38" s="17" t="s">
        <v>12</v>
      </c>
      <c r="L38" s="17" t="s">
        <v>79</v>
      </c>
      <c r="M38" s="15"/>
      <c r="N38" s="15"/>
      <c r="O38" s="18" t="s">
        <v>80</v>
      </c>
      <c r="P38" s="15"/>
      <c r="Q38" s="18" t="s">
        <v>25</v>
      </c>
      <c r="R38" s="18" t="s">
        <v>81</v>
      </c>
      <c r="S38" s="18" t="s">
        <v>82</v>
      </c>
      <c r="T38" s="18" t="s">
        <v>83</v>
      </c>
      <c r="U38" s="15"/>
      <c r="V38" s="15"/>
      <c r="W38" s="15" t="s">
        <v>84</v>
      </c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</row>
    <row r="39" spans="1:46" x14ac:dyDescent="0.25">
      <c r="A39" s="8">
        <v>31</v>
      </c>
      <c r="G39" s="1">
        <f>100*(G3/$F3)</f>
        <v>61.05601856735943</v>
      </c>
      <c r="H39" s="1">
        <f t="shared" ref="H39:W53" si="2">100*(H3/$F3)</f>
        <v>49.224601751239582</v>
      </c>
      <c r="I39" s="1">
        <f t="shared" si="2"/>
        <v>5.401790423944659</v>
      </c>
      <c r="J39" s="1">
        <f t="shared" si="2"/>
        <v>82.044142691362865</v>
      </c>
      <c r="K39" s="1">
        <f t="shared" si="2"/>
        <v>16.638659894805059</v>
      </c>
      <c r="L39" s="1">
        <f t="shared" si="2"/>
        <v>6.5935225234729407</v>
      </c>
      <c r="M39" s="1">
        <f t="shared" si="2"/>
        <v>4.4380058173707289</v>
      </c>
      <c r="N39" s="1">
        <f t="shared" si="2"/>
        <v>8.7034497309842807E-2</v>
      </c>
      <c r="O39" s="1">
        <f t="shared" si="2"/>
        <v>1.1303181468810754E-3</v>
      </c>
      <c r="P39" s="1">
        <f t="shared" si="2"/>
        <v>0.15975163142585866</v>
      </c>
      <c r="Q39" s="1">
        <f t="shared" si="2"/>
        <v>0.12810272331318853</v>
      </c>
      <c r="R39" s="1">
        <f t="shared" si="2"/>
        <v>0.13601495034135608</v>
      </c>
      <c r="S39" s="1">
        <f t="shared" si="2"/>
        <v>0.22568685666058808</v>
      </c>
      <c r="T39" s="1">
        <f t="shared" si="2"/>
        <v>6.4676804364535139</v>
      </c>
      <c r="U39" s="1">
        <f t="shared" si="2"/>
        <v>3.6497972962789929</v>
      </c>
      <c r="V39" s="1">
        <f t="shared" si="2"/>
        <v>0.33344385332991727</v>
      </c>
      <c r="W39" s="1">
        <f t="shared" si="2"/>
        <v>2.6374090093891759E-3</v>
      </c>
    </row>
    <row r="40" spans="1:46" x14ac:dyDescent="0.25">
      <c r="A40" s="8">
        <v>32</v>
      </c>
      <c r="G40" s="1">
        <f t="shared" ref="G40:V53" si="3">100*(G4/$F4)</f>
        <v>63.949440000000003</v>
      </c>
      <c r="H40" s="1">
        <f t="shared" si="3"/>
        <v>49.503839999999997</v>
      </c>
      <c r="I40" s="1">
        <f t="shared" si="3"/>
        <v>8.6081599999999998</v>
      </c>
      <c r="J40" s="1">
        <f t="shared" si="3"/>
        <v>78.56</v>
      </c>
      <c r="K40" s="1">
        <f t="shared" si="3"/>
        <v>15.69632</v>
      </c>
      <c r="L40" s="1">
        <f t="shared" si="3"/>
        <v>1.7742399999999998</v>
      </c>
      <c r="M40" s="1">
        <f t="shared" si="3"/>
        <v>1.03376</v>
      </c>
      <c r="N40" s="1">
        <f t="shared" si="3"/>
        <v>5.04E-2</v>
      </c>
      <c r="O40" s="1">
        <f t="shared" si="3"/>
        <v>7.8399999999999997E-3</v>
      </c>
      <c r="P40" s="1">
        <f t="shared" si="3"/>
        <v>6.5119999999999997E-2</v>
      </c>
      <c r="Q40" s="1">
        <f t="shared" si="3"/>
        <v>4.6079999999999996E-2</v>
      </c>
      <c r="R40" s="1">
        <f t="shared" si="3"/>
        <v>4.9600000000000005E-2</v>
      </c>
      <c r="S40" s="1">
        <f t="shared" si="3"/>
        <v>6.1120000000000001E-2</v>
      </c>
      <c r="T40" s="1">
        <f t="shared" si="3"/>
        <v>11.94304</v>
      </c>
      <c r="U40" s="1">
        <f t="shared" si="3"/>
        <v>9.6300800000000013</v>
      </c>
      <c r="V40" s="1">
        <f t="shared" si="3"/>
        <v>7.0001599999999993</v>
      </c>
      <c r="W40" s="1">
        <f t="shared" si="2"/>
        <v>0.23471999999999998</v>
      </c>
    </row>
    <row r="41" spans="1:46" x14ac:dyDescent="0.25">
      <c r="A41" s="8">
        <v>33</v>
      </c>
      <c r="G41" s="1">
        <f t="shared" si="3"/>
        <v>77.370217387088644</v>
      </c>
      <c r="H41" s="1">
        <f t="shared" si="2"/>
        <v>63.292900498380746</v>
      </c>
      <c r="I41" s="1">
        <f t="shared" si="2"/>
        <v>0.92501018092966436</v>
      </c>
      <c r="J41" s="1">
        <f t="shared" si="2"/>
        <v>95.947020381251576</v>
      </c>
      <c r="K41" s="1">
        <f t="shared" si="2"/>
        <v>26.102449240793529</v>
      </c>
      <c r="L41" s="1">
        <f t="shared" si="2"/>
        <v>3.8546938933814259</v>
      </c>
      <c r="M41" s="1">
        <f t="shared" si="2"/>
        <v>1.4738107704539725</v>
      </c>
      <c r="N41" s="1">
        <f t="shared" si="2"/>
        <v>6.7872864428801361E-2</v>
      </c>
      <c r="O41" s="1">
        <f t="shared" si="2"/>
        <v>1.5028991409234587E-2</v>
      </c>
      <c r="P41" s="1">
        <f t="shared" si="2"/>
        <v>0.18616557100471232</v>
      </c>
      <c r="Q41" s="1">
        <f t="shared" si="2"/>
        <v>0.17307580429344349</v>
      </c>
      <c r="R41" s="1">
        <f t="shared" si="2"/>
        <v>0.16628851785056334</v>
      </c>
      <c r="S41" s="1">
        <f t="shared" si="2"/>
        <v>0.11586867570345376</v>
      </c>
      <c r="T41" s="1">
        <f t="shared" si="2"/>
        <v>3.1905094343281557</v>
      </c>
      <c r="U41" s="1">
        <f t="shared" si="2"/>
        <v>1.9450423720596504</v>
      </c>
      <c r="V41" s="1">
        <f t="shared" si="2"/>
        <v>0.60115965636938351</v>
      </c>
      <c r="W41" s="1">
        <f t="shared" si="2"/>
        <v>0.19004402040064383</v>
      </c>
    </row>
    <row r="42" spans="1:46" x14ac:dyDescent="0.25">
      <c r="A42" s="8">
        <v>34</v>
      </c>
      <c r="G42" s="1">
        <f t="shared" si="3"/>
        <v>66.96619117151522</v>
      </c>
      <c r="H42" s="1">
        <f t="shared" si="2"/>
        <v>51.57194204200831</v>
      </c>
      <c r="I42" s="1">
        <f t="shared" si="2"/>
        <v>2.7647983825676739</v>
      </c>
      <c r="J42" s="1">
        <f t="shared" si="2"/>
        <v>88.119734920813215</v>
      </c>
      <c r="K42" s="1">
        <f t="shared" si="2"/>
        <v>20.521172638436482</v>
      </c>
      <c r="L42" s="1">
        <f t="shared" si="2"/>
        <v>8.3831292822644059</v>
      </c>
      <c r="M42" s="1">
        <f t="shared" si="2"/>
        <v>5.0803100078625176</v>
      </c>
      <c r="N42" s="1">
        <f t="shared" si="2"/>
        <v>0.16792092553071997</v>
      </c>
      <c r="O42" s="1">
        <f t="shared" si="2"/>
        <v>3.3696506795462202E-3</v>
      </c>
      <c r="P42" s="1">
        <f t="shared" si="2"/>
        <v>8.4802875435246547E-2</v>
      </c>
      <c r="Q42" s="1">
        <f t="shared" si="2"/>
        <v>6.0653712231831962E-2</v>
      </c>
      <c r="R42" s="1">
        <f t="shared" si="2"/>
        <v>0.1864540042682242</v>
      </c>
      <c r="S42" s="1">
        <f t="shared" si="2"/>
        <v>0.13478602718184882</v>
      </c>
      <c r="T42" s="1">
        <f t="shared" si="2"/>
        <v>9.832640682915871</v>
      </c>
      <c r="U42" s="1">
        <f t="shared" si="2"/>
        <v>5.7576097944513087</v>
      </c>
      <c r="V42" s="1">
        <f t="shared" si="2"/>
        <v>1.2192519375491409</v>
      </c>
      <c r="W42" s="1">
        <f t="shared" si="2"/>
        <v>1.6848253397731101E-3</v>
      </c>
    </row>
    <row r="43" spans="1:46" x14ac:dyDescent="0.25">
      <c r="A43" s="8">
        <v>35</v>
      </c>
      <c r="G43" s="1">
        <f t="shared" si="3"/>
        <v>58.798273038558882</v>
      </c>
      <c r="H43" s="1">
        <f t="shared" si="2"/>
        <v>41.033794848890878</v>
      </c>
      <c r="I43" s="1">
        <f t="shared" si="2"/>
        <v>4.0131010867947001</v>
      </c>
      <c r="J43" s="1">
        <f t="shared" si="2"/>
        <v>84.304302516004171</v>
      </c>
      <c r="K43" s="1">
        <f t="shared" si="2"/>
        <v>25.552478785171949</v>
      </c>
      <c r="L43" s="1">
        <f t="shared" si="2"/>
        <v>4.139347923179991</v>
      </c>
      <c r="M43" s="1">
        <f t="shared" si="2"/>
        <v>1.883578978710734</v>
      </c>
      <c r="N43" s="1">
        <f t="shared" si="2"/>
        <v>8.5157064165550092E-2</v>
      </c>
      <c r="O43" s="1">
        <f t="shared" si="2"/>
        <v>1.786511835640911E-2</v>
      </c>
      <c r="P43" s="1">
        <f t="shared" si="2"/>
        <v>0.14768497841298198</v>
      </c>
      <c r="Q43" s="1">
        <f t="shared" si="2"/>
        <v>0.11195474170016377</v>
      </c>
      <c r="R43" s="1">
        <f t="shared" si="2"/>
        <v>0.11493226142623196</v>
      </c>
      <c r="S43" s="1">
        <f t="shared" si="2"/>
        <v>0.32335864225100491</v>
      </c>
      <c r="T43" s="1">
        <f t="shared" si="2"/>
        <v>8.5764478189668001</v>
      </c>
      <c r="U43" s="1">
        <f t="shared" si="2"/>
        <v>5.09870477891916</v>
      </c>
      <c r="V43" s="1">
        <f t="shared" si="2"/>
        <v>1.9598034836980793</v>
      </c>
      <c r="W43" s="1">
        <f t="shared" si="2"/>
        <v>0.15185350602947745</v>
      </c>
    </row>
    <row r="44" spans="1:46" x14ac:dyDescent="0.25">
      <c r="A44" s="8">
        <v>36</v>
      </c>
      <c r="G44" s="1">
        <f t="shared" si="3"/>
        <v>64.172900508571388</v>
      </c>
      <c r="H44" s="1">
        <f t="shared" si="2"/>
        <v>38.029647165695174</v>
      </c>
      <c r="I44" s="1">
        <f t="shared" si="2"/>
        <v>0.61524062515054134</v>
      </c>
      <c r="J44" s="1">
        <f t="shared" si="2"/>
        <v>96.117583907397346</v>
      </c>
      <c r="K44" s="1">
        <f t="shared" si="2"/>
        <v>42.231038683082261</v>
      </c>
      <c r="L44" s="1">
        <f t="shared" si="2"/>
        <v>7.645775554163885</v>
      </c>
      <c r="M44" s="1">
        <f t="shared" si="2"/>
        <v>3.0452346379095583</v>
      </c>
      <c r="N44" s="1">
        <f t="shared" si="2"/>
        <v>0.21540303766456309</v>
      </c>
      <c r="O44" s="1">
        <f t="shared" si="2"/>
        <v>5.7807843973876359E-2</v>
      </c>
      <c r="P44" s="1">
        <f t="shared" si="2"/>
        <v>0.46693597781279894</v>
      </c>
      <c r="Q44" s="1">
        <f t="shared" si="2"/>
        <v>0.37953602323324775</v>
      </c>
      <c r="R44" s="1">
        <f t="shared" si="2"/>
        <v>0.27286678732907116</v>
      </c>
      <c r="S44" s="1">
        <f t="shared" si="2"/>
        <v>0.38676200372998232</v>
      </c>
      <c r="T44" s="1">
        <f t="shared" si="2"/>
        <v>7.8546407999504506</v>
      </c>
      <c r="U44" s="1">
        <f t="shared" si="2"/>
        <v>3.8810397153651874</v>
      </c>
      <c r="V44" s="1">
        <f t="shared" si="2"/>
        <v>1.2105237803577205</v>
      </c>
      <c r="W44" s="1">
        <f t="shared" si="2"/>
        <v>0.57050836493266077</v>
      </c>
    </row>
    <row r="45" spans="1:46" x14ac:dyDescent="0.25">
      <c r="A45" s="8">
        <v>37</v>
      </c>
      <c r="G45" s="1">
        <f t="shared" si="3"/>
        <v>74.683455775998269</v>
      </c>
      <c r="H45" s="1">
        <f t="shared" si="2"/>
        <v>51.919292746583423</v>
      </c>
      <c r="I45" s="1">
        <f t="shared" si="2"/>
        <v>2.2990186572739209</v>
      </c>
      <c r="J45" s="1">
        <f t="shared" si="2"/>
        <v>87.099173790170042</v>
      </c>
      <c r="K45" s="1">
        <f t="shared" si="2"/>
        <v>27.032225044425868</v>
      </c>
      <c r="L45" s="1">
        <f t="shared" si="2"/>
        <v>3.1767275224195646</v>
      </c>
      <c r="M45" s="1">
        <f t="shared" si="2"/>
        <v>1.5576868667923414</v>
      </c>
      <c r="N45" s="1">
        <f t="shared" si="2"/>
        <v>0.15322552444773643</v>
      </c>
      <c r="O45" s="1">
        <f t="shared" si="2"/>
        <v>5.9446417161258737E-2</v>
      </c>
      <c r="P45" s="1">
        <f t="shared" si="2"/>
        <v>0.28133732185943305</v>
      </c>
      <c r="Q45" s="1">
        <f t="shared" si="2"/>
        <v>0.25272674675508394</v>
      </c>
      <c r="R45" s="1">
        <f t="shared" si="2"/>
        <v>0.14845709526367823</v>
      </c>
      <c r="S45" s="1">
        <f t="shared" si="2"/>
        <v>0.20122771156725552</v>
      </c>
      <c r="T45" s="1">
        <f t="shared" si="2"/>
        <v>7.1542332524819674</v>
      </c>
      <c r="U45" s="1">
        <f t="shared" si="2"/>
        <v>4.1021206794057896</v>
      </c>
      <c r="V45" s="1">
        <f t="shared" si="2"/>
        <v>1.9273990761963196</v>
      </c>
      <c r="W45" s="1">
        <f t="shared" si="2"/>
        <v>0.38910382141914807</v>
      </c>
    </row>
    <row r="46" spans="1:46" x14ac:dyDescent="0.25">
      <c r="A46" s="8">
        <v>38</v>
      </c>
      <c r="G46" s="1">
        <f t="shared" si="3"/>
        <v>56.115908683439905</v>
      </c>
      <c r="H46" s="1">
        <f t="shared" si="2"/>
        <v>45.985477798362517</v>
      </c>
      <c r="I46" s="1">
        <f t="shared" si="2"/>
        <v>7.9999103567800152</v>
      </c>
      <c r="J46" s="1">
        <f t="shared" si="2"/>
        <v>79.864638737823469</v>
      </c>
      <c r="K46" s="1">
        <f t="shared" si="2"/>
        <v>12.200068726468654</v>
      </c>
      <c r="L46" s="1">
        <f t="shared" si="2"/>
        <v>4.8082382119165716</v>
      </c>
      <c r="M46" s="1">
        <f t="shared" si="2"/>
        <v>3.7717384808462318</v>
      </c>
      <c r="N46" s="1">
        <f t="shared" si="2"/>
        <v>5.1544851491065559E-2</v>
      </c>
      <c r="O46" s="1">
        <f t="shared" si="2"/>
        <v>1.8675670830096218E-3</v>
      </c>
      <c r="P46" s="1">
        <f t="shared" si="2"/>
        <v>5.2665391740871328E-2</v>
      </c>
      <c r="Q46" s="1">
        <f t="shared" si="2"/>
        <v>3.6230801410386662E-2</v>
      </c>
      <c r="R46" s="1">
        <f t="shared" si="2"/>
        <v>5.3038905157473261E-2</v>
      </c>
      <c r="S46" s="1">
        <f t="shared" si="2"/>
        <v>7.4702683320384877E-2</v>
      </c>
      <c r="T46" s="1">
        <f t="shared" si="2"/>
        <v>6.1368254347696167</v>
      </c>
      <c r="U46" s="1">
        <f t="shared" si="2"/>
        <v>4.3178150959182453</v>
      </c>
      <c r="V46" s="1">
        <f t="shared" si="2"/>
        <v>0.30814856869658758</v>
      </c>
      <c r="W46" s="1">
        <f t="shared" si="2"/>
        <v>1.4940536664076974E-3</v>
      </c>
    </row>
    <row r="47" spans="1:46" x14ac:dyDescent="0.25">
      <c r="A47" s="8">
        <v>39</v>
      </c>
      <c r="G47" s="1">
        <f t="shared" si="3"/>
        <v>69.701042486368294</v>
      </c>
      <c r="H47" s="1">
        <f t="shared" si="2"/>
        <v>51.535874205252128</v>
      </c>
      <c r="I47" s="1">
        <f t="shared" si="2"/>
        <v>6.1720485518701382</v>
      </c>
      <c r="J47" s="1">
        <f t="shared" si="2"/>
        <v>83.77913495219326</v>
      </c>
      <c r="K47" s="1">
        <f t="shared" si="2"/>
        <v>16.497329368588918</v>
      </c>
      <c r="L47" s="1">
        <f t="shared" si="2"/>
        <v>4.4422314918627563</v>
      </c>
      <c r="M47" s="1">
        <f t="shared" si="2"/>
        <v>3.0508569001176888</v>
      </c>
      <c r="N47" s="1">
        <f t="shared" si="2"/>
        <v>6.9638367955208599E-2</v>
      </c>
      <c r="O47" s="1">
        <f t="shared" si="2"/>
        <v>5.5710694364166881E-3</v>
      </c>
      <c r="P47" s="1">
        <f t="shared" si="2"/>
        <v>7.4513053712073202E-2</v>
      </c>
      <c r="Q47" s="1">
        <f t="shared" si="2"/>
        <v>4.5264939170885587E-2</v>
      </c>
      <c r="R47" s="1">
        <f t="shared" si="2"/>
        <v>8.356604154625033E-2</v>
      </c>
      <c r="S47" s="1">
        <f t="shared" si="2"/>
        <v>8.6351576264458663E-2</v>
      </c>
      <c r="T47" s="1">
        <f t="shared" si="2"/>
        <v>6.2451688382231074</v>
      </c>
      <c r="U47" s="1">
        <f t="shared" si="2"/>
        <v>4.6929296165015071</v>
      </c>
      <c r="V47" s="1">
        <f t="shared" si="2"/>
        <v>1.5598994421966728</v>
      </c>
      <c r="W47" s="1">
        <f t="shared" si="2"/>
        <v>3.6211951336708473E-2</v>
      </c>
    </row>
    <row r="48" spans="1:46" x14ac:dyDescent="0.25">
      <c r="A48" s="8">
        <v>40</v>
      </c>
      <c r="G48" s="1">
        <f t="shared" si="3"/>
        <v>66.585151418882475</v>
      </c>
      <c r="H48" s="1">
        <f t="shared" si="2"/>
        <v>45.1456561731177</v>
      </c>
      <c r="I48" s="1">
        <f t="shared" si="2"/>
        <v>1.832246052913493</v>
      </c>
      <c r="J48" s="1">
        <f t="shared" si="2"/>
        <v>90.36593204435809</v>
      </c>
      <c r="K48" s="1">
        <f t="shared" si="2"/>
        <v>32.272650033615804</v>
      </c>
      <c r="L48" s="1">
        <f t="shared" si="2"/>
        <v>5.2566252687417343</v>
      </c>
      <c r="M48" s="1">
        <f t="shared" si="2"/>
        <v>2.599129683124866</v>
      </c>
      <c r="N48" s="1">
        <f t="shared" si="2"/>
        <v>8.5701831507244017E-2</v>
      </c>
      <c r="O48" s="1">
        <f t="shared" si="2"/>
        <v>5.1716622461267948E-3</v>
      </c>
      <c r="P48" s="1">
        <f t="shared" si="2"/>
        <v>0.13594083618390429</v>
      </c>
      <c r="Q48" s="1">
        <f t="shared" si="2"/>
        <v>0.10712728938405502</v>
      </c>
      <c r="R48" s="1">
        <f t="shared" si="2"/>
        <v>0.17362008969139953</v>
      </c>
      <c r="S48" s="1">
        <f t="shared" si="2"/>
        <v>0.28961308578310047</v>
      </c>
      <c r="T48" s="1">
        <f t="shared" si="2"/>
        <v>14.519811160447126</v>
      </c>
      <c r="U48" s="1">
        <f t="shared" si="2"/>
        <v>9.325984647551218</v>
      </c>
      <c r="V48" s="1">
        <f t="shared" si="2"/>
        <v>1.1828330365784283</v>
      </c>
      <c r="W48" s="1">
        <f t="shared" si="2"/>
        <v>3.1768782369064594E-2</v>
      </c>
    </row>
    <row r="49" spans="1:23" x14ac:dyDescent="0.25">
      <c r="A49" s="8">
        <v>41</v>
      </c>
      <c r="G49" s="1">
        <f t="shared" si="3"/>
        <v>58.079655177302961</v>
      </c>
      <c r="H49" s="1">
        <f t="shared" si="2"/>
        <v>34.462419713876564</v>
      </c>
      <c r="I49" s="1">
        <f t="shared" si="2"/>
        <v>1.5922528321683278</v>
      </c>
      <c r="J49" s="1">
        <f t="shared" si="2"/>
        <v>88.778374852897386</v>
      </c>
      <c r="K49" s="1">
        <f t="shared" si="2"/>
        <v>34.117880588126873</v>
      </c>
      <c r="L49" s="1">
        <f t="shared" si="2"/>
        <v>8.0541337605807541</v>
      </c>
      <c r="M49" s="1">
        <f t="shared" si="2"/>
        <v>1.9211955365877866</v>
      </c>
      <c r="N49" s="1">
        <f t="shared" si="2"/>
        <v>8.7907102043131194E-2</v>
      </c>
      <c r="O49" s="1">
        <f t="shared" si="2"/>
        <v>1.3469636603383005E-2</v>
      </c>
      <c r="P49" s="1">
        <f t="shared" si="2"/>
        <v>0.31263735484694238</v>
      </c>
      <c r="Q49" s="1">
        <f t="shared" si="2"/>
        <v>0.18999276893192871</v>
      </c>
      <c r="R49" s="1">
        <f t="shared" si="2"/>
        <v>0.28073558394419318</v>
      </c>
      <c r="S49" s="1">
        <f t="shared" si="2"/>
        <v>0.46363907045328878</v>
      </c>
      <c r="T49" s="1">
        <f t="shared" si="2"/>
        <v>13.009542174141133</v>
      </c>
      <c r="U49" s="1">
        <f t="shared" si="2"/>
        <v>6.651873697344354</v>
      </c>
      <c r="V49" s="1">
        <f t="shared" si="2"/>
        <v>4.2181230415857307</v>
      </c>
      <c r="W49" s="1">
        <f t="shared" si="2"/>
        <v>8.7907102043131194E-2</v>
      </c>
    </row>
    <row r="50" spans="1:23" x14ac:dyDescent="0.25">
      <c r="A50" s="8">
        <v>42</v>
      </c>
      <c r="G50" s="1">
        <f t="shared" si="3"/>
        <v>59.566536627654962</v>
      </c>
      <c r="H50" s="1">
        <f t="shared" si="2"/>
        <v>34.425661031642825</v>
      </c>
      <c r="I50" s="1">
        <f t="shared" si="2"/>
        <v>1.0143042912873863</v>
      </c>
      <c r="J50" s="1">
        <f t="shared" si="2"/>
        <v>90.420459471174681</v>
      </c>
      <c r="K50" s="1">
        <f t="shared" si="2"/>
        <v>33.593411356740354</v>
      </c>
      <c r="L50" s="1">
        <f t="shared" si="2"/>
        <v>7.7503250975292595</v>
      </c>
      <c r="M50" s="1">
        <f t="shared" si="2"/>
        <v>3.8838318162115302</v>
      </c>
      <c r="N50" s="1">
        <f t="shared" si="2"/>
        <v>8.6692674469007365E-3</v>
      </c>
      <c r="O50" s="1">
        <f>100*(O14/$F14)</f>
        <v>0</v>
      </c>
      <c r="P50" s="1">
        <f t="shared" si="2"/>
        <v>0.14737754659731253</v>
      </c>
      <c r="Q50" s="1">
        <f t="shared" si="2"/>
        <v>0.10403120936280884</v>
      </c>
      <c r="R50" s="1">
        <f t="shared" si="2"/>
        <v>0.15604681404421328</v>
      </c>
      <c r="S50" s="1">
        <f t="shared" si="2"/>
        <v>0.32943216298222799</v>
      </c>
      <c r="T50" s="1">
        <f t="shared" si="2"/>
        <v>15.925444299956654</v>
      </c>
      <c r="U50" s="1">
        <f t="shared" si="2"/>
        <v>10.749891634156914</v>
      </c>
      <c r="V50" s="1">
        <f t="shared" si="2"/>
        <v>5.938448201127005</v>
      </c>
      <c r="W50" s="1">
        <f t="shared" si="2"/>
        <v>4.3346337234503686E-2</v>
      </c>
    </row>
    <row r="51" spans="1:23" x14ac:dyDescent="0.25">
      <c r="A51" s="8">
        <v>43</v>
      </c>
      <c r="G51" s="1">
        <f t="shared" si="3"/>
        <v>67.520773575420648</v>
      </c>
      <c r="H51" s="1">
        <f t="shared" si="2"/>
        <v>55.547998541167651</v>
      </c>
      <c r="I51" s="1">
        <f t="shared" si="2"/>
        <v>1.225714877132803</v>
      </c>
      <c r="J51" s="1">
        <f t="shared" si="2"/>
        <v>93.659007796867456</v>
      </c>
      <c r="K51" s="1">
        <f t="shared" si="2"/>
        <v>19.335442726045084</v>
      </c>
      <c r="L51" s="1">
        <f t="shared" si="2"/>
        <v>3.98024662152172</v>
      </c>
      <c r="M51" s="1">
        <f t="shared" si="2"/>
        <v>2.1931770017052568</v>
      </c>
      <c r="N51" s="1">
        <f t="shared" si="2"/>
        <v>8.2305743659500649E-2</v>
      </c>
      <c r="O51" s="1">
        <f t="shared" si="2"/>
        <v>5.9141851731377712E-3</v>
      </c>
      <c r="P51" s="1">
        <f t="shared" si="2"/>
        <v>4.1399296211964393E-2</v>
      </c>
      <c r="Q51" s="1">
        <f t="shared" si="2"/>
        <v>2.5628135750263674E-2</v>
      </c>
      <c r="R51" s="1">
        <f t="shared" si="2"/>
        <v>6.8998827019940659E-2</v>
      </c>
      <c r="S51" s="1">
        <f t="shared" si="2"/>
        <v>0.20699648105982196</v>
      </c>
      <c r="T51" s="1">
        <f t="shared" si="2"/>
        <v>7.3562606578545315</v>
      </c>
      <c r="U51" s="1">
        <f t="shared" si="2"/>
        <v>3.9418044178963245</v>
      </c>
      <c r="V51" s="1">
        <f t="shared" si="2"/>
        <v>1.0068900257267055</v>
      </c>
      <c r="W51" s="1">
        <f t="shared" si="2"/>
        <v>4.731348138510217E-2</v>
      </c>
    </row>
    <row r="52" spans="1:23" x14ac:dyDescent="0.25">
      <c r="A52" s="8">
        <v>44</v>
      </c>
      <c r="G52" s="1">
        <f t="shared" si="3"/>
        <v>50.775992255566315</v>
      </c>
      <c r="H52" s="1">
        <f t="shared" si="2"/>
        <v>38.720619554695062</v>
      </c>
      <c r="I52" s="1">
        <f t="shared" si="2"/>
        <v>2.0832526621490803</v>
      </c>
      <c r="J52" s="1">
        <f t="shared" si="2"/>
        <v>91.690222652468535</v>
      </c>
      <c r="K52" s="1">
        <f t="shared" si="2"/>
        <v>22.238915779283641</v>
      </c>
      <c r="L52" s="1">
        <f t="shared" si="2"/>
        <v>6.7140367860600199</v>
      </c>
      <c r="M52" s="1">
        <f t="shared" si="2"/>
        <v>2.8902226524685384</v>
      </c>
      <c r="N52" s="1">
        <f t="shared" si="2"/>
        <v>0.10842207163601161</v>
      </c>
      <c r="O52" s="1">
        <f t="shared" si="2"/>
        <v>2.7105517909002904E-3</v>
      </c>
      <c r="P52" s="1">
        <f t="shared" si="2"/>
        <v>0.2292352371732817</v>
      </c>
      <c r="Q52" s="1">
        <f t="shared" si="2"/>
        <v>0.14249757986447242</v>
      </c>
      <c r="R52" s="1">
        <f t="shared" si="2"/>
        <v>8.5188770571151984E-2</v>
      </c>
      <c r="S52" s="1">
        <f t="shared" si="2"/>
        <v>0.76282671829622462</v>
      </c>
      <c r="T52" s="1">
        <f t="shared" si="2"/>
        <v>13.425750242013553</v>
      </c>
      <c r="U52" s="1">
        <f t="shared" si="2"/>
        <v>5.7847047434656336</v>
      </c>
      <c r="V52" s="1">
        <f t="shared" si="2"/>
        <v>1.5845111326234271</v>
      </c>
      <c r="W52" s="1">
        <f t="shared" si="2"/>
        <v>1.4327202323330106E-2</v>
      </c>
    </row>
    <row r="53" spans="1:23" x14ac:dyDescent="0.25">
      <c r="A53" s="8">
        <v>45</v>
      </c>
      <c r="G53" s="1">
        <f t="shared" si="3"/>
        <v>48.584772148315878</v>
      </c>
      <c r="H53" s="1">
        <f>100*(H17/$F17)</f>
        <v>36.692569624921731</v>
      </c>
      <c r="I53" s="1">
        <f t="shared" si="2"/>
        <v>2.5821475439363919</v>
      </c>
      <c r="J53" s="1">
        <f t="shared" si="2"/>
        <v>90.647488184991715</v>
      </c>
      <c r="K53" s="1">
        <f t="shared" si="2"/>
        <v>22.497405415605247</v>
      </c>
      <c r="L53" s="1">
        <f t="shared" si="2"/>
        <v>7.5500261602724104</v>
      </c>
      <c r="M53" s="1">
        <f t="shared" si="2"/>
        <v>2.0383569633498873</v>
      </c>
      <c r="N53" s="1">
        <f t="shared" si="2"/>
        <v>7.5907675681239226E-2</v>
      </c>
      <c r="O53" s="1">
        <f t="shared" si="2"/>
        <v>4.7174261722804037E-3</v>
      </c>
      <c r="P53" s="1">
        <f t="shared" si="2"/>
        <v>0.21957474547341516</v>
      </c>
      <c r="Q53" s="1">
        <f t="shared" si="2"/>
        <v>0.15524620676050058</v>
      </c>
      <c r="R53" s="1">
        <f t="shared" si="2"/>
        <v>0.1548173498357478</v>
      </c>
      <c r="S53" s="1">
        <f t="shared" si="2"/>
        <v>0.64928938407568471</v>
      </c>
      <c r="T53" s="1">
        <f t="shared" si="2"/>
        <v>9.5952448344183416</v>
      </c>
      <c r="U53" s="1">
        <f t="shared" si="2"/>
        <v>3.864858605871909</v>
      </c>
      <c r="V53" s="1">
        <f t="shared" si="2"/>
        <v>0.9310483836382506</v>
      </c>
      <c r="W53" s="1">
        <f>100*(W17/$F17)</f>
        <v>1.2436850817830155E-2</v>
      </c>
    </row>
    <row r="54" spans="1:23" x14ac:dyDescent="0.25">
      <c r="A54" s="10" t="s">
        <v>87</v>
      </c>
      <c r="B54" s="10"/>
      <c r="C54" s="10"/>
      <c r="D54" s="10"/>
      <c r="E54" s="10"/>
    </row>
    <row r="55" spans="1:23" s="10" customFormat="1" ht="27" customHeight="1" x14ac:dyDescent="0.25">
      <c r="A55" s="10" t="s">
        <v>87</v>
      </c>
      <c r="B55" s="13" t="s">
        <v>70</v>
      </c>
      <c r="C55" s="13" t="s">
        <v>222</v>
      </c>
      <c r="D55" s="13" t="s">
        <v>223</v>
      </c>
      <c r="E55" s="13" t="s">
        <v>224</v>
      </c>
      <c r="F55" s="13"/>
      <c r="G55" s="13"/>
      <c r="H55" s="13"/>
      <c r="I55" s="3" t="s">
        <v>18</v>
      </c>
      <c r="J55" s="13" t="s">
        <v>77</v>
      </c>
      <c r="K55" s="3" t="s">
        <v>12</v>
      </c>
      <c r="L55" s="3" t="s">
        <v>79</v>
      </c>
      <c r="O55" s="4" t="s">
        <v>80</v>
      </c>
      <c r="Q55" s="4" t="s">
        <v>25</v>
      </c>
      <c r="R55" s="4" t="s">
        <v>81</v>
      </c>
      <c r="S55" s="4" t="s">
        <v>82</v>
      </c>
      <c r="T55" s="4" t="s">
        <v>83</v>
      </c>
      <c r="W55" s="4" t="s">
        <v>84</v>
      </c>
    </row>
    <row r="56" spans="1:23" s="6" customFormat="1" x14ac:dyDescent="0.25">
      <c r="A56" s="10">
        <v>31</v>
      </c>
      <c r="B56" s="1">
        <v>2700000</v>
      </c>
      <c r="C56">
        <v>279095</v>
      </c>
      <c r="D56" s="6">
        <v>533333.33333333326</v>
      </c>
      <c r="E56" s="6">
        <f>(C56/B56)*D56</f>
        <v>55129.876543209866</v>
      </c>
      <c r="I56" s="6">
        <f>I23*$E56</f>
        <v>283199.99999999994</v>
      </c>
      <c r="K56" s="6">
        <f>K23*$E56</f>
        <v>872316.04938271584</v>
      </c>
      <c r="L56" s="6">
        <f>L23*$E56</f>
        <v>345679.01234567899</v>
      </c>
      <c r="O56" s="6">
        <f>O23*$E56</f>
        <v>59.259259259259252</v>
      </c>
      <c r="Q56" s="6">
        <f>Q23*$E56</f>
        <v>6716.0493827160481</v>
      </c>
      <c r="R56" s="6">
        <f>R23*$E56</f>
        <v>7130.8641975308628</v>
      </c>
      <c r="S56" s="6">
        <f>S23*$E56</f>
        <v>11832.098765432098</v>
      </c>
      <c r="T56" s="6">
        <f>T23*$E56</f>
        <v>339081.48148148146</v>
      </c>
      <c r="W56" s="6">
        <f>W23*$E56</f>
        <v>138.27160493827159</v>
      </c>
    </row>
    <row r="57" spans="1:23" s="6" customFormat="1" x14ac:dyDescent="0.25">
      <c r="A57" s="10">
        <v>32</v>
      </c>
      <c r="B57" s="1">
        <v>4000000</v>
      </c>
      <c r="C57" s="1">
        <v>652000</v>
      </c>
      <c r="D57" s="6">
        <v>1433333.3333333335</v>
      </c>
      <c r="E57" s="6">
        <f t="shared" ref="E57:E69" si="4">(C57/B57)*D57</f>
        <v>233633.33333333337</v>
      </c>
      <c r="I57" s="6">
        <f>I24*$E57</f>
        <v>1927869.166666667</v>
      </c>
      <c r="K57" s="6">
        <f>K24*$E57</f>
        <v>3515321.6666666674</v>
      </c>
      <c r="L57" s="6">
        <f>L24*$E57</f>
        <v>397355.83333333337</v>
      </c>
      <c r="O57" s="6">
        <f>O24*$E57</f>
        <v>1755.8333333333337</v>
      </c>
      <c r="Q57" s="6">
        <f>Q24*$E57</f>
        <v>10320.000000000002</v>
      </c>
      <c r="R57" s="6">
        <f>R24*$E57</f>
        <v>11108.333333333336</v>
      </c>
      <c r="S57" s="6">
        <f>S24*$E57</f>
        <v>13688.333333333336</v>
      </c>
      <c r="T57" s="6">
        <f>T24*$E57</f>
        <v>2674743.3333333335</v>
      </c>
      <c r="W57" s="6">
        <f>W24*$E57</f>
        <v>52567.500000000007</v>
      </c>
    </row>
    <row r="58" spans="1:23" s="6" customFormat="1" x14ac:dyDescent="0.25">
      <c r="A58" s="10">
        <v>33</v>
      </c>
      <c r="B58" s="1">
        <v>2600000</v>
      </c>
      <c r="C58">
        <v>216151</v>
      </c>
      <c r="D58" s="6">
        <v>283333.33333333337</v>
      </c>
      <c r="E58" s="6">
        <f t="shared" si="4"/>
        <v>23554.916666666672</v>
      </c>
      <c r="I58" s="6">
        <f>I25*$E58</f>
        <v>20792.307692307699</v>
      </c>
      <c r="K58" s="6">
        <f>K25*$E58</f>
        <v>586728.84615384624</v>
      </c>
      <c r="L58" s="6">
        <f>L25*$E58</f>
        <v>86645.512820512842</v>
      </c>
      <c r="O58" s="6">
        <f>O25*$E58</f>
        <v>337.82051282051293</v>
      </c>
      <c r="Q58" s="6">
        <f>Q25*$E58</f>
        <v>3890.3846153846162</v>
      </c>
      <c r="R58" s="6">
        <f>R25*$E58</f>
        <v>3737.8205128205136</v>
      </c>
      <c r="S58" s="6">
        <f>S25*$E58</f>
        <v>2604.4871794871797</v>
      </c>
      <c r="T58" s="6">
        <f>T25*$E58</f>
        <v>71716.025641025655</v>
      </c>
      <c r="W58" s="6">
        <f>W25*$E58</f>
        <v>4271.794871794873</v>
      </c>
    </row>
    <row r="59" spans="1:23" s="6" customFormat="1" x14ac:dyDescent="0.25">
      <c r="A59" s="10">
        <v>34</v>
      </c>
      <c r="B59" s="1">
        <v>2490000</v>
      </c>
      <c r="C59">
        <v>188533</v>
      </c>
      <c r="D59" s="6">
        <v>316666.66666666663</v>
      </c>
      <c r="E59" s="6">
        <f t="shared" si="4"/>
        <v>23976.753681392231</v>
      </c>
      <c r="I59" s="6">
        <f>I26*$E59</f>
        <v>62608.433734939747</v>
      </c>
      <c r="K59" s="6">
        <f>K26*$E59</f>
        <v>464698.79518072278</v>
      </c>
      <c r="L59" s="6">
        <f>L26*$E59</f>
        <v>189834.67202141896</v>
      </c>
      <c r="O59" s="6">
        <f>O26*$E59</f>
        <v>76.305220883534119</v>
      </c>
      <c r="Q59" s="6">
        <f>Q26*$E59</f>
        <v>1373.493975903614</v>
      </c>
      <c r="R59" s="6">
        <f>R26*$E59</f>
        <v>4222.2222222222217</v>
      </c>
      <c r="S59" s="6">
        <f>S26*$E59</f>
        <v>3052.2088353413646</v>
      </c>
      <c r="T59" s="6">
        <f>T26*$E59</f>
        <v>222658.63453815255</v>
      </c>
      <c r="W59" s="6">
        <f>W26*$E59</f>
        <v>38.15261044176706</v>
      </c>
    </row>
    <row r="60" spans="1:23" s="6" customFormat="1" x14ac:dyDescent="0.25">
      <c r="A60" s="10">
        <v>35</v>
      </c>
      <c r="B60" s="1">
        <v>3030000</v>
      </c>
      <c r="C60">
        <v>182905</v>
      </c>
      <c r="D60" s="6">
        <v>533333.33333333326</v>
      </c>
      <c r="E60" s="6">
        <f t="shared" si="4"/>
        <v>32194.499449944989</v>
      </c>
      <c r="I60" s="6">
        <f>I27*$E60</f>
        <v>118618.2618261826</v>
      </c>
      <c r="K60" s="6">
        <f>K27*$E60</f>
        <v>755273.9273927391</v>
      </c>
      <c r="L60" s="6">
        <f>L27*$E60</f>
        <v>122349.83498349832</v>
      </c>
      <c r="O60" s="6">
        <f>O27*$E60</f>
        <v>528.05280528052799</v>
      </c>
      <c r="Q60" s="6">
        <f>Q27*$E60</f>
        <v>3309.1309130913087</v>
      </c>
      <c r="R60" s="6">
        <f>R27*$E60</f>
        <v>3397.1397139713968</v>
      </c>
      <c r="S60" s="6">
        <f>S27*$E60</f>
        <v>9557.7557755775561</v>
      </c>
      <c r="T60" s="6">
        <f>T27*$E60</f>
        <v>253500.55005500547</v>
      </c>
      <c r="W60" s="6">
        <f>W27*$E60</f>
        <v>4488.4488448844877</v>
      </c>
    </row>
    <row r="61" spans="1:23" s="6" customFormat="1" x14ac:dyDescent="0.25">
      <c r="A61" s="10">
        <v>36</v>
      </c>
      <c r="B61" s="1">
        <v>2140000</v>
      </c>
      <c r="C61">
        <v>302197</v>
      </c>
      <c r="D61" s="6">
        <v>450000</v>
      </c>
      <c r="E61" s="6">
        <f t="shared" si="4"/>
        <v>63546.098130841128</v>
      </c>
      <c r="I61" s="6">
        <f>I28*$E61</f>
        <v>37598.1308411215</v>
      </c>
      <c r="K61" s="6">
        <f>K28*$E61</f>
        <v>2580792.0560747664</v>
      </c>
      <c r="L61" s="6">
        <f>L28*$E61</f>
        <v>467242.99065420567</v>
      </c>
      <c r="O61" s="6">
        <f>O28*$E61</f>
        <v>3532.7102803738326</v>
      </c>
      <c r="Q61" s="6">
        <f>Q28*$E61</f>
        <v>23193.925233644863</v>
      </c>
      <c r="R61" s="6">
        <f>R28*$E61</f>
        <v>16675.233644859814</v>
      </c>
      <c r="S61" s="6">
        <f>S28*$E61</f>
        <v>23635.514018691592</v>
      </c>
      <c r="T61" s="6">
        <f>T28*$E61</f>
        <v>480007.00934579445</v>
      </c>
      <c r="W61" s="6">
        <f>W28*$E61</f>
        <v>34864.485981308419</v>
      </c>
    </row>
    <row r="62" spans="1:23" s="6" customFormat="1" x14ac:dyDescent="0.25">
      <c r="A62" s="10">
        <v>37</v>
      </c>
      <c r="B62" s="1">
        <v>2830000</v>
      </c>
      <c r="C62">
        <v>328110</v>
      </c>
      <c r="D62" s="6">
        <v>616666.66666666674</v>
      </c>
      <c r="E62" s="6">
        <f t="shared" si="4"/>
        <v>71496.289752650177</v>
      </c>
      <c r="I62" s="6">
        <f>I29*$E62</f>
        <v>157587.75029446409</v>
      </c>
      <c r="K62" s="6">
        <f>K29*$E62</f>
        <v>1852941.6961130742</v>
      </c>
      <c r="L62" s="6">
        <f>L29*$E62</f>
        <v>217750.88339222615</v>
      </c>
      <c r="O62" s="6">
        <f>O29*$E62</f>
        <v>4074.793875147232</v>
      </c>
      <c r="Q62" s="6">
        <f>Q29*$E62</f>
        <v>17323.321554770318</v>
      </c>
      <c r="R62" s="6">
        <f>R29*$E62</f>
        <v>10176.089517078915</v>
      </c>
      <c r="S62" s="6">
        <f>S29*$E62</f>
        <v>13793.286219081272</v>
      </c>
      <c r="T62" s="6">
        <f>T29*$E62</f>
        <v>490391.63722025912</v>
      </c>
      <c r="W62" s="6">
        <f>W29*$E62</f>
        <v>26671.378091872793</v>
      </c>
    </row>
    <row r="63" spans="1:23" s="6" customFormat="1" x14ac:dyDescent="0.25">
      <c r="A63" s="10">
        <v>38</v>
      </c>
      <c r="B63" s="1">
        <v>4000000</v>
      </c>
      <c r="C63">
        <v>307521</v>
      </c>
      <c r="D63" s="6">
        <v>516666.66666666669</v>
      </c>
      <c r="E63" s="6">
        <f t="shared" si="4"/>
        <v>39721.462500000001</v>
      </c>
      <c r="I63" s="6">
        <f>I30*$E63</f>
        <v>276649.16666666669</v>
      </c>
      <c r="K63" s="6">
        <f>K30*$E63</f>
        <v>421897.08333333331</v>
      </c>
      <c r="L63" s="6">
        <f>L30*$E63</f>
        <v>166276.25</v>
      </c>
      <c r="O63" s="6">
        <f>O30*$E63</f>
        <v>64.583333333333343</v>
      </c>
      <c r="Q63" s="6">
        <f>Q30*$E63</f>
        <v>1252.9166666666667</v>
      </c>
      <c r="R63" s="6">
        <f>R30*$E63</f>
        <v>1834.1666666666667</v>
      </c>
      <c r="S63" s="6">
        <f>S30*$E63</f>
        <v>2583.3333333333335</v>
      </c>
      <c r="T63" s="6">
        <f>T30*$E63</f>
        <v>212220.83333333331</v>
      </c>
      <c r="W63" s="6">
        <f>W30*$E63</f>
        <v>51.666666666666671</v>
      </c>
    </row>
    <row r="64" spans="1:23" s="6" customFormat="1" x14ac:dyDescent="0.25">
      <c r="A64" s="10">
        <v>39</v>
      </c>
      <c r="B64" s="1">
        <v>3330000</v>
      </c>
      <c r="C64">
        <v>173094</v>
      </c>
      <c r="D64" s="6">
        <v>283333.33333333337</v>
      </c>
      <c r="E64" s="6">
        <f t="shared" si="4"/>
        <v>14727.717717717718</v>
      </c>
      <c r="I64" s="6">
        <f>I31*$E64</f>
        <v>75410.910910910912</v>
      </c>
      <c r="K64" s="6">
        <f>K31*$E64</f>
        <v>201566.56656656659</v>
      </c>
      <c r="L64" s="6">
        <f>L31*$E64</f>
        <v>54275.775775775779</v>
      </c>
      <c r="O64" s="6">
        <f>O31*$E64</f>
        <v>68.068068068068072</v>
      </c>
      <c r="Q64" s="6">
        <f>Q31*$E64</f>
        <v>553.05305305305308</v>
      </c>
      <c r="R64" s="6">
        <f>R31*$E64</f>
        <v>1021.0210210210212</v>
      </c>
      <c r="S64" s="6">
        <f>S31*$E64</f>
        <v>1055.0550550550549</v>
      </c>
      <c r="T64" s="6">
        <f>T31*$E64</f>
        <v>76304.3043043043</v>
      </c>
      <c r="W64" s="6">
        <f>W31*$E64</f>
        <v>442.44244244244243</v>
      </c>
    </row>
    <row r="65" spans="1:23" s="6" customFormat="1" x14ac:dyDescent="0.25">
      <c r="A65" s="10">
        <v>40</v>
      </c>
      <c r="B65" s="1">
        <v>2840000</v>
      </c>
      <c r="C65">
        <v>148410</v>
      </c>
      <c r="D65" s="6">
        <v>233333.33333333334</v>
      </c>
      <c r="E65" s="6">
        <f t="shared" si="4"/>
        <v>12193.30985915493</v>
      </c>
      <c r="I65" s="6">
        <f>I32*$E65</f>
        <v>20375.586854460096</v>
      </c>
      <c r="K65" s="6">
        <f>K32*$E65</f>
        <v>358889.67136150232</v>
      </c>
      <c r="L65" s="6">
        <f>L32*$E65</f>
        <v>58456.572769953047</v>
      </c>
      <c r="O65" s="6">
        <f>O32*$E65</f>
        <v>57.511737089201873</v>
      </c>
      <c r="Q65" s="6">
        <f>Q32*$E65</f>
        <v>1191.3145539906104</v>
      </c>
      <c r="R65" s="6">
        <f>R32*$E65</f>
        <v>1930.7511737089201</v>
      </c>
      <c r="S65" s="6">
        <f>S32*$E65</f>
        <v>3220.6572769953054</v>
      </c>
      <c r="T65" s="6">
        <f>T32*$E65</f>
        <v>161468.30985915492</v>
      </c>
      <c r="W65" s="6">
        <f>W32*$E65</f>
        <v>353.28638497652582</v>
      </c>
    </row>
    <row r="66" spans="1:23" s="6" customFormat="1" x14ac:dyDescent="0.25">
      <c r="A66" s="10">
        <v>41</v>
      </c>
      <c r="B66" s="1">
        <v>3040000</v>
      </c>
      <c r="C66">
        <v>157465</v>
      </c>
      <c r="D66" s="6">
        <v>250000</v>
      </c>
      <c r="E66" s="6">
        <f t="shared" si="4"/>
        <v>12949.424342105263</v>
      </c>
      <c r="I66" s="6">
        <f>I33*$E66</f>
        <v>18470.394736842103</v>
      </c>
      <c r="K66" s="6">
        <f>K33*$E66</f>
        <v>395773.0263157895</v>
      </c>
      <c r="L66" s="6">
        <f>L33*$E66</f>
        <v>93429.276315789466</v>
      </c>
      <c r="O66" s="6">
        <f>O33*$E66</f>
        <v>156.25</v>
      </c>
      <c r="Q66" s="6">
        <f>Q33*$E66</f>
        <v>2203.9473684210529</v>
      </c>
      <c r="R66" s="6">
        <f>R33*$E66</f>
        <v>3256.5789473684208</v>
      </c>
      <c r="S66" s="6">
        <f>S33*$E66</f>
        <v>5378.2894736842109</v>
      </c>
      <c r="T66" s="6">
        <f>T33*$E66</f>
        <v>150912.82894736843</v>
      </c>
      <c r="W66" s="6">
        <f>W33*$E66</f>
        <v>1019.7368421052632</v>
      </c>
    </row>
    <row r="67" spans="1:23" s="6" customFormat="1" x14ac:dyDescent="0.25">
      <c r="A67" s="10">
        <v>42</v>
      </c>
      <c r="B67">
        <v>169664</v>
      </c>
      <c r="C67">
        <v>14477</v>
      </c>
      <c r="D67" s="6">
        <v>233333.33333333334</v>
      </c>
      <c r="E67" s="6">
        <f t="shared" si="4"/>
        <v>19909.743178674715</v>
      </c>
      <c r="I67" s="6">
        <f>I34*$E67</f>
        <v>16090.626178800454</v>
      </c>
      <c r="K67" s="6">
        <f>K34*$E67</f>
        <v>532916.03797309194</v>
      </c>
      <c r="L67" s="6">
        <f>L34*$E67</f>
        <v>122948.88721237269</v>
      </c>
      <c r="O67" s="6">
        <f>O34*$E67</f>
        <v>0</v>
      </c>
      <c r="Q67" s="6">
        <f>Q34*$E67</f>
        <v>1650.3206337231236</v>
      </c>
      <c r="R67" s="6">
        <f>R34*$E67</f>
        <v>2475.4809505846852</v>
      </c>
      <c r="S67" s="6">
        <f>S34*$E67</f>
        <v>5226.0153401232237</v>
      </c>
      <c r="T67" s="6">
        <f>T34*$E67</f>
        <v>252636.58367911479</v>
      </c>
      <c r="W67" s="6">
        <f>W34*$E67</f>
        <v>687.63359738463475</v>
      </c>
    </row>
    <row r="68" spans="1:23" s="6" customFormat="1" x14ac:dyDescent="0.25">
      <c r="A68" s="10">
        <v>43</v>
      </c>
      <c r="B68" s="1">
        <v>3270000</v>
      </c>
      <c r="C68">
        <v>222873</v>
      </c>
      <c r="D68" s="6">
        <v>316666.66666666663</v>
      </c>
      <c r="E68" s="6">
        <f t="shared" si="4"/>
        <v>21583.012232415898</v>
      </c>
      <c r="I68" s="6">
        <f>I35*$E68</f>
        <v>24084.097859327212</v>
      </c>
      <c r="K68" s="6">
        <f>K35*$E68</f>
        <v>379922.52803261974</v>
      </c>
      <c r="L68" s="6">
        <f>L35*$E68</f>
        <v>78207.951070336378</v>
      </c>
      <c r="O68" s="6">
        <f>O35*$E68</f>
        <v>116.20795107033636</v>
      </c>
      <c r="Q68" s="6">
        <f>Q35*$E68</f>
        <v>503.56778797145762</v>
      </c>
      <c r="R68" s="6">
        <f>R35*$E68</f>
        <v>1355.7594291539244</v>
      </c>
      <c r="S68" s="6">
        <f>S35*$E68</f>
        <v>4067.2782874617728</v>
      </c>
      <c r="T68" s="6">
        <f>T35*$E68</f>
        <v>144543.3231396534</v>
      </c>
      <c r="W68" s="6">
        <f>W35*$E68</f>
        <v>929.66360856269091</v>
      </c>
    </row>
    <row r="69" spans="1:23" s="6" customFormat="1" x14ac:dyDescent="0.25">
      <c r="A69" s="10">
        <v>44</v>
      </c>
      <c r="B69" s="1">
        <v>4000000</v>
      </c>
      <c r="C69">
        <v>289528</v>
      </c>
      <c r="D69" s="6">
        <v>300000</v>
      </c>
      <c r="E69" s="6">
        <f t="shared" si="4"/>
        <v>21714.600000000002</v>
      </c>
      <c r="I69" s="6">
        <f>I36*$E69</f>
        <v>40350</v>
      </c>
      <c r="K69" s="6">
        <f>K36*$E69</f>
        <v>430740.00000000006</v>
      </c>
      <c r="L69" s="6">
        <f>L36*$E69</f>
        <v>130042.50000000001</v>
      </c>
      <c r="O69" s="6">
        <f>O36*$E69</f>
        <v>52.500000000000007</v>
      </c>
      <c r="Q69" s="6">
        <f>Q36*$E69</f>
        <v>2760.0000000000005</v>
      </c>
      <c r="R69" s="6">
        <f>R36*$E69</f>
        <v>1650.0000000000002</v>
      </c>
      <c r="S69" s="6">
        <f>S36*$E69</f>
        <v>14775.000000000002</v>
      </c>
      <c r="T69" s="6">
        <f>T36*$E69</f>
        <v>260040.00000000003</v>
      </c>
      <c r="W69" s="6">
        <f>W36*$E69</f>
        <v>277.5</v>
      </c>
    </row>
    <row r="70" spans="1:23" s="12" customFormat="1" x14ac:dyDescent="0.25">
      <c r="A70" s="10">
        <v>45</v>
      </c>
      <c r="B70" s="1">
        <v>3730000</v>
      </c>
      <c r="C70">
        <v>259213</v>
      </c>
      <c r="D70" s="6">
        <v>516666.66666666669</v>
      </c>
      <c r="E70" s="6">
        <f>(C70/B70)*D70</f>
        <v>35905.285969615732</v>
      </c>
      <c r="I70" s="6">
        <f>I37*$E70</f>
        <v>83400.804289544234</v>
      </c>
      <c r="K70" s="6">
        <f>K37*$E70</f>
        <v>726643.87846291345</v>
      </c>
      <c r="L70" s="6">
        <f>L37*$E70</f>
        <v>243858.35567470957</v>
      </c>
      <c r="O70" s="6">
        <f>O37*$E70</f>
        <v>152.36818588025022</v>
      </c>
      <c r="Q70" s="6">
        <f>Q37*$E70</f>
        <v>5014.2984807864168</v>
      </c>
      <c r="R70" s="6">
        <f>R37*$E70</f>
        <v>5000.4468275245763</v>
      </c>
      <c r="S70" s="6">
        <f>S37*$E70</f>
        <v>20971.403038427172</v>
      </c>
      <c r="T70" s="6">
        <f>T37*$E70</f>
        <v>309916.89008042897</v>
      </c>
      <c r="W70" s="6">
        <f>W37*$E70</f>
        <v>401.69794459338698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720C-BB54-B541-B143-E41BD5359233}">
  <dimension ref="A1:W66"/>
  <sheetViews>
    <sheetView topLeftCell="A33" workbookViewId="0">
      <selection activeCell="A52" sqref="A52"/>
    </sheetView>
  </sheetViews>
  <sheetFormatPr defaultColWidth="11" defaultRowHeight="15.75" x14ac:dyDescent="0.25"/>
  <cols>
    <col min="8" max="8" width="13.375" style="4" customWidth="1"/>
    <col min="9" max="9" width="10.875" style="23"/>
    <col min="10" max="11" width="10.875" style="4"/>
    <col min="13" max="13" width="10.875" style="4"/>
    <col min="15" max="15" width="10.875" style="4"/>
    <col min="18" max="18" width="10.875" style="4"/>
    <col min="20" max="20" width="10.875" style="4"/>
  </cols>
  <sheetData>
    <row r="1" spans="1:21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295</v>
      </c>
      <c r="H1" s="4" t="s">
        <v>296</v>
      </c>
      <c r="I1" s="23" t="s">
        <v>297</v>
      </c>
      <c r="J1" s="4" t="s">
        <v>298</v>
      </c>
      <c r="K1" s="4" t="s">
        <v>299</v>
      </c>
      <c r="L1" t="s">
        <v>300</v>
      </c>
      <c r="M1" s="4" t="s">
        <v>301</v>
      </c>
      <c r="N1" t="s">
        <v>302</v>
      </c>
      <c r="O1" s="4" t="s">
        <v>303</v>
      </c>
      <c r="P1" t="s">
        <v>304</v>
      </c>
      <c r="Q1" t="s">
        <v>305</v>
      </c>
      <c r="R1" s="4" t="s">
        <v>306</v>
      </c>
      <c r="S1" t="s">
        <v>307</v>
      </c>
      <c r="T1" s="4" t="s">
        <v>308</v>
      </c>
      <c r="U1" t="s">
        <v>309</v>
      </c>
    </row>
    <row r="3" spans="1:21" x14ac:dyDescent="0.25">
      <c r="A3" t="s">
        <v>310</v>
      </c>
      <c r="B3" s="1">
        <v>1280000</v>
      </c>
      <c r="C3">
        <v>336443</v>
      </c>
      <c r="D3">
        <v>237651</v>
      </c>
      <c r="E3">
        <v>115522</v>
      </c>
      <c r="F3">
        <v>108833</v>
      </c>
      <c r="G3">
        <v>27997</v>
      </c>
      <c r="H3" s="4">
        <v>10040</v>
      </c>
      <c r="I3" s="27">
        <v>370807</v>
      </c>
      <c r="J3" s="4">
        <v>7807</v>
      </c>
      <c r="K3" s="4">
        <v>2181</v>
      </c>
      <c r="L3">
        <v>12881</v>
      </c>
      <c r="M3" s="4">
        <v>11597</v>
      </c>
      <c r="N3">
        <v>13652</v>
      </c>
      <c r="O3" s="4">
        <v>8934</v>
      </c>
      <c r="P3">
        <v>80432</v>
      </c>
      <c r="Q3">
        <v>2871</v>
      </c>
      <c r="R3" s="4">
        <v>278</v>
      </c>
      <c r="S3">
        <v>107545</v>
      </c>
      <c r="T3" s="4">
        <v>12663</v>
      </c>
      <c r="U3">
        <v>413</v>
      </c>
    </row>
    <row r="4" spans="1:21" x14ac:dyDescent="0.25">
      <c r="A4" t="s">
        <v>311</v>
      </c>
      <c r="B4" s="1">
        <v>3660000</v>
      </c>
      <c r="C4" s="1">
        <v>656000</v>
      </c>
      <c r="D4" s="1">
        <v>424000</v>
      </c>
      <c r="E4">
        <v>199713</v>
      </c>
      <c r="F4">
        <v>153966</v>
      </c>
      <c r="G4">
        <v>58432</v>
      </c>
      <c r="H4" s="4">
        <v>19888</v>
      </c>
      <c r="I4" s="27">
        <v>356457</v>
      </c>
      <c r="J4" s="4">
        <v>14316</v>
      </c>
      <c r="K4" s="4">
        <v>5457</v>
      </c>
      <c r="L4">
        <v>26227</v>
      </c>
      <c r="M4" s="4">
        <v>22306</v>
      </c>
      <c r="N4">
        <v>25946</v>
      </c>
      <c r="O4" s="4">
        <v>9674</v>
      </c>
      <c r="P4">
        <v>94560</v>
      </c>
      <c r="Q4">
        <v>2641</v>
      </c>
      <c r="R4" s="4">
        <v>730</v>
      </c>
      <c r="S4">
        <v>153050</v>
      </c>
      <c r="T4" s="4">
        <v>25634</v>
      </c>
      <c r="U4">
        <v>2239</v>
      </c>
    </row>
    <row r="5" spans="1:21" x14ac:dyDescent="0.25">
      <c r="A5" t="s">
        <v>312</v>
      </c>
      <c r="B5" s="1">
        <v>2480000</v>
      </c>
      <c r="C5" s="1">
        <v>846000</v>
      </c>
      <c r="D5" s="1">
        <v>607000</v>
      </c>
      <c r="E5">
        <v>242400</v>
      </c>
      <c r="F5">
        <v>202882</v>
      </c>
      <c r="G5">
        <v>60968</v>
      </c>
      <c r="H5" s="4">
        <v>21749</v>
      </c>
      <c r="I5" s="27">
        <v>2593</v>
      </c>
      <c r="J5" s="4">
        <v>43</v>
      </c>
      <c r="K5" s="4">
        <v>21671</v>
      </c>
      <c r="L5">
        <v>24512</v>
      </c>
      <c r="M5" s="4">
        <v>16485</v>
      </c>
      <c r="N5">
        <v>42555</v>
      </c>
      <c r="O5" s="4">
        <v>38346</v>
      </c>
      <c r="P5">
        <v>140986</v>
      </c>
      <c r="Q5">
        <v>4373</v>
      </c>
      <c r="R5" s="4">
        <v>408</v>
      </c>
      <c r="S5">
        <v>194618</v>
      </c>
      <c r="T5" s="4">
        <v>15632</v>
      </c>
      <c r="U5">
        <v>127</v>
      </c>
    </row>
    <row r="6" spans="1:21" x14ac:dyDescent="0.25">
      <c r="A6" t="s">
        <v>313</v>
      </c>
      <c r="B6" s="1">
        <v>2860000</v>
      </c>
      <c r="C6" s="1">
        <v>684000</v>
      </c>
      <c r="D6" s="1">
        <v>452000</v>
      </c>
      <c r="E6">
        <v>83279</v>
      </c>
      <c r="F6">
        <v>60375</v>
      </c>
      <c r="G6">
        <v>21202</v>
      </c>
      <c r="H6" s="4">
        <v>8325</v>
      </c>
      <c r="I6" s="27">
        <v>156727</v>
      </c>
      <c r="J6" s="4">
        <v>5263</v>
      </c>
      <c r="K6" s="4">
        <v>2992</v>
      </c>
      <c r="L6">
        <v>6830</v>
      </c>
      <c r="M6" s="4">
        <v>5653</v>
      </c>
      <c r="N6">
        <v>12255</v>
      </c>
      <c r="O6" s="4">
        <v>10677</v>
      </c>
      <c r="P6">
        <v>38394</v>
      </c>
      <c r="Q6">
        <v>3596</v>
      </c>
      <c r="R6" s="4">
        <v>350</v>
      </c>
      <c r="S6">
        <v>59287</v>
      </c>
      <c r="T6" s="4">
        <v>10848</v>
      </c>
      <c r="U6">
        <v>124</v>
      </c>
    </row>
    <row r="7" spans="1:21" x14ac:dyDescent="0.25">
      <c r="A7" t="s">
        <v>314</v>
      </c>
      <c r="B7" s="1">
        <v>1550000</v>
      </c>
      <c r="C7" s="1">
        <v>514000</v>
      </c>
      <c r="D7">
        <v>376802</v>
      </c>
      <c r="E7">
        <v>172213</v>
      </c>
      <c r="F7">
        <v>161438</v>
      </c>
      <c r="G7">
        <v>45648</v>
      </c>
      <c r="H7" s="4">
        <v>12851</v>
      </c>
      <c r="I7" s="27">
        <v>176473</v>
      </c>
      <c r="J7" s="4">
        <v>8640</v>
      </c>
      <c r="K7" s="4">
        <v>4125</v>
      </c>
      <c r="L7">
        <v>28345</v>
      </c>
      <c r="M7" s="4">
        <v>23239</v>
      </c>
      <c r="N7">
        <v>15084</v>
      </c>
      <c r="O7" s="4">
        <v>14183</v>
      </c>
      <c r="P7">
        <v>114852</v>
      </c>
      <c r="Q7">
        <v>2753</v>
      </c>
      <c r="R7" s="4">
        <v>271</v>
      </c>
      <c r="S7">
        <v>160172</v>
      </c>
      <c r="T7" s="4">
        <v>7859</v>
      </c>
      <c r="U7">
        <v>440</v>
      </c>
    </row>
    <row r="8" spans="1:21" x14ac:dyDescent="0.25">
      <c r="A8" t="s">
        <v>315</v>
      </c>
      <c r="B8" s="1">
        <v>2150000</v>
      </c>
      <c r="C8" s="1">
        <v>579000</v>
      </c>
      <c r="D8">
        <v>377125</v>
      </c>
      <c r="E8">
        <v>237112</v>
      </c>
      <c r="F8">
        <v>176779</v>
      </c>
      <c r="G8">
        <v>47675</v>
      </c>
      <c r="H8" s="4">
        <v>21305</v>
      </c>
      <c r="I8" s="27">
        <v>203375</v>
      </c>
      <c r="J8" s="4">
        <v>14386</v>
      </c>
      <c r="K8" s="4">
        <v>6782</v>
      </c>
      <c r="L8">
        <v>14185</v>
      </c>
      <c r="M8" s="4">
        <v>9493</v>
      </c>
      <c r="N8">
        <v>32038</v>
      </c>
      <c r="O8" s="4">
        <v>18533</v>
      </c>
      <c r="P8">
        <v>127985</v>
      </c>
      <c r="Q8">
        <v>4486</v>
      </c>
      <c r="R8" s="4">
        <v>1091</v>
      </c>
      <c r="S8">
        <v>175341</v>
      </c>
      <c r="T8" s="4">
        <v>29116</v>
      </c>
      <c r="U8">
        <v>1930</v>
      </c>
    </row>
    <row r="9" spans="1:21" x14ac:dyDescent="0.25">
      <c r="A9" t="s">
        <v>316</v>
      </c>
      <c r="B9" s="1">
        <v>3730000</v>
      </c>
      <c r="C9" s="1">
        <v>930000</v>
      </c>
      <c r="D9" s="1">
        <v>582000</v>
      </c>
      <c r="E9">
        <v>348392</v>
      </c>
      <c r="F9">
        <v>245110</v>
      </c>
      <c r="G9">
        <v>68980</v>
      </c>
      <c r="H9" s="4">
        <v>24816</v>
      </c>
      <c r="I9" s="27">
        <v>368375</v>
      </c>
      <c r="J9" s="4">
        <v>18451</v>
      </c>
      <c r="K9" s="4">
        <v>6217</v>
      </c>
      <c r="L9">
        <v>41600</v>
      </c>
      <c r="M9" s="4">
        <v>36535</v>
      </c>
      <c r="N9">
        <v>24044</v>
      </c>
      <c r="O9" s="4">
        <v>22460</v>
      </c>
      <c r="P9">
        <v>175504</v>
      </c>
      <c r="Q9">
        <v>5478</v>
      </c>
      <c r="R9" s="4">
        <v>1865</v>
      </c>
      <c r="S9">
        <v>243756</v>
      </c>
      <c r="T9" s="4">
        <v>22064</v>
      </c>
      <c r="U9">
        <v>3262</v>
      </c>
    </row>
    <row r="10" spans="1:21" x14ac:dyDescent="0.25">
      <c r="A10" t="s">
        <v>317</v>
      </c>
      <c r="B10" s="1">
        <v>4000000</v>
      </c>
      <c r="C10" s="1">
        <v>961000</v>
      </c>
      <c r="D10" s="1">
        <v>577000</v>
      </c>
      <c r="E10">
        <v>319358</v>
      </c>
      <c r="F10">
        <v>244649</v>
      </c>
      <c r="G10">
        <v>101782</v>
      </c>
      <c r="H10" s="4">
        <v>38910</v>
      </c>
      <c r="I10" s="28">
        <v>682000</v>
      </c>
      <c r="J10" s="4">
        <v>31559</v>
      </c>
      <c r="K10" s="4">
        <v>7176</v>
      </c>
      <c r="L10">
        <v>38856</v>
      </c>
      <c r="M10" s="4">
        <v>35406</v>
      </c>
      <c r="N10">
        <v>61182</v>
      </c>
      <c r="O10" s="4">
        <v>53125</v>
      </c>
      <c r="P10">
        <v>141660</v>
      </c>
      <c r="Q10">
        <v>8924</v>
      </c>
      <c r="R10" s="4">
        <v>1273</v>
      </c>
      <c r="S10">
        <v>235003</v>
      </c>
      <c r="T10" s="4">
        <v>44289</v>
      </c>
      <c r="U10">
        <v>5199</v>
      </c>
    </row>
    <row r="11" spans="1:21" x14ac:dyDescent="0.25">
      <c r="A11" t="s">
        <v>318</v>
      </c>
      <c r="B11" s="1">
        <v>3950000</v>
      </c>
      <c r="C11" s="1">
        <v>805000</v>
      </c>
      <c r="D11" s="1">
        <v>496000</v>
      </c>
      <c r="E11">
        <v>228408</v>
      </c>
      <c r="F11">
        <v>176499</v>
      </c>
      <c r="G11">
        <v>61143</v>
      </c>
      <c r="H11" s="4">
        <v>20306</v>
      </c>
      <c r="I11" s="28">
        <v>415000</v>
      </c>
      <c r="J11" s="4">
        <v>16888</v>
      </c>
      <c r="K11" s="4">
        <v>3294</v>
      </c>
      <c r="L11">
        <v>32486</v>
      </c>
      <c r="M11" s="4">
        <v>27907</v>
      </c>
      <c r="N11">
        <v>22215</v>
      </c>
      <c r="O11" s="4">
        <v>19498</v>
      </c>
      <c r="P11">
        <v>114595</v>
      </c>
      <c r="Q11">
        <v>5079</v>
      </c>
      <c r="R11" s="4">
        <v>866</v>
      </c>
      <c r="S11">
        <v>173108</v>
      </c>
      <c r="T11" s="4">
        <v>12693</v>
      </c>
      <c r="U11">
        <v>324</v>
      </c>
    </row>
    <row r="12" spans="1:21" x14ac:dyDescent="0.25">
      <c r="A12" t="s">
        <v>319</v>
      </c>
      <c r="B12" s="1">
        <v>3630000</v>
      </c>
      <c r="C12" s="1">
        <v>911000</v>
      </c>
      <c r="D12" s="1">
        <v>562000</v>
      </c>
      <c r="E12">
        <v>342338</v>
      </c>
      <c r="F12">
        <v>282396</v>
      </c>
      <c r="G12">
        <v>64923</v>
      </c>
      <c r="H12" s="4">
        <v>21656</v>
      </c>
      <c r="I12" s="27">
        <v>113401</v>
      </c>
      <c r="J12" s="4">
        <v>12275</v>
      </c>
      <c r="K12" s="4">
        <v>9198</v>
      </c>
      <c r="L12">
        <v>30385</v>
      </c>
      <c r="M12" s="4">
        <v>25446</v>
      </c>
      <c r="N12">
        <v>32801</v>
      </c>
      <c r="O12" s="4">
        <v>27846</v>
      </c>
      <c r="P12">
        <v>216247</v>
      </c>
      <c r="Q12">
        <v>7109</v>
      </c>
      <c r="R12" s="4">
        <v>1215</v>
      </c>
      <c r="S12">
        <v>280825</v>
      </c>
      <c r="T12" s="4">
        <v>31362</v>
      </c>
      <c r="U12">
        <v>4516</v>
      </c>
    </row>
    <row r="13" spans="1:21" x14ac:dyDescent="0.25">
      <c r="A13" t="s">
        <v>320</v>
      </c>
      <c r="B13" s="1">
        <v>4000000</v>
      </c>
      <c r="C13" s="1">
        <v>1270000</v>
      </c>
      <c r="D13" s="1">
        <v>819000</v>
      </c>
      <c r="E13" s="1">
        <v>482000</v>
      </c>
      <c r="F13" s="1">
        <v>433000</v>
      </c>
      <c r="G13">
        <v>237861</v>
      </c>
      <c r="H13" s="4">
        <v>97992</v>
      </c>
      <c r="I13" s="28">
        <v>1090000</v>
      </c>
      <c r="J13" s="4">
        <v>91674</v>
      </c>
      <c r="K13" s="4">
        <v>5984</v>
      </c>
      <c r="L13">
        <v>127981</v>
      </c>
      <c r="M13" s="4">
        <v>114998</v>
      </c>
      <c r="N13">
        <v>61744</v>
      </c>
      <c r="O13" s="4">
        <v>46626</v>
      </c>
      <c r="P13">
        <v>192681</v>
      </c>
      <c r="Q13">
        <v>12261</v>
      </c>
      <c r="R13" s="4">
        <v>663</v>
      </c>
      <c r="S13" s="1">
        <v>410000</v>
      </c>
      <c r="T13" s="4">
        <v>71810</v>
      </c>
      <c r="U13">
        <v>2665</v>
      </c>
    </row>
    <row r="14" spans="1:21" x14ac:dyDescent="0.25">
      <c r="A14" t="s">
        <v>321</v>
      </c>
      <c r="B14" s="1">
        <v>3380000</v>
      </c>
      <c r="C14" s="1">
        <v>730000</v>
      </c>
      <c r="D14" s="1">
        <v>438000</v>
      </c>
      <c r="E14">
        <v>234335</v>
      </c>
      <c r="F14">
        <v>209692</v>
      </c>
      <c r="G14">
        <v>49074</v>
      </c>
      <c r="H14" s="4">
        <v>19159</v>
      </c>
      <c r="I14" s="27">
        <v>379449</v>
      </c>
      <c r="J14" s="4">
        <v>14221</v>
      </c>
      <c r="K14" s="4">
        <v>4853</v>
      </c>
      <c r="L14">
        <v>20315</v>
      </c>
      <c r="M14" s="4">
        <v>14078</v>
      </c>
      <c r="N14">
        <v>23788</v>
      </c>
      <c r="O14" s="4">
        <v>17380</v>
      </c>
      <c r="P14">
        <v>160262</v>
      </c>
      <c r="Q14">
        <v>2744</v>
      </c>
      <c r="R14" s="4">
        <v>971</v>
      </c>
      <c r="S14">
        <v>208521</v>
      </c>
      <c r="T14" s="4">
        <v>17473</v>
      </c>
      <c r="U14">
        <v>1202</v>
      </c>
    </row>
    <row r="15" spans="1:21" x14ac:dyDescent="0.25">
      <c r="A15" t="s">
        <v>322</v>
      </c>
      <c r="B15" s="1">
        <v>1560000</v>
      </c>
      <c r="C15" s="1">
        <v>419000</v>
      </c>
      <c r="D15">
        <v>309678</v>
      </c>
      <c r="E15">
        <v>115787</v>
      </c>
      <c r="F15">
        <v>108283</v>
      </c>
      <c r="G15">
        <v>52560</v>
      </c>
      <c r="H15" s="4">
        <v>12726</v>
      </c>
      <c r="I15" s="28">
        <v>691000</v>
      </c>
      <c r="J15" s="4">
        <v>10983</v>
      </c>
      <c r="K15" s="4">
        <v>1689</v>
      </c>
      <c r="L15">
        <v>32982</v>
      </c>
      <c r="M15" s="4">
        <v>28829</v>
      </c>
      <c r="N15">
        <v>20460</v>
      </c>
      <c r="O15" s="4">
        <v>18488</v>
      </c>
      <c r="P15">
        <v>55104</v>
      </c>
      <c r="Q15">
        <v>1312</v>
      </c>
      <c r="R15" s="4">
        <v>193</v>
      </c>
      <c r="S15">
        <v>107058</v>
      </c>
      <c r="T15" s="4">
        <v>16098</v>
      </c>
      <c r="U15">
        <v>1181</v>
      </c>
    </row>
    <row r="16" spans="1:21" x14ac:dyDescent="0.25">
      <c r="A16" t="s">
        <v>323</v>
      </c>
      <c r="B16" s="1">
        <v>3420000</v>
      </c>
      <c r="C16" s="1">
        <v>826000</v>
      </c>
      <c r="D16" s="1">
        <v>523000</v>
      </c>
      <c r="E16">
        <v>220312</v>
      </c>
      <c r="F16">
        <v>169060</v>
      </c>
      <c r="G16">
        <v>49723</v>
      </c>
      <c r="H16" s="4">
        <v>18289</v>
      </c>
      <c r="I16" s="27">
        <v>315687</v>
      </c>
      <c r="J16" s="4">
        <v>12692</v>
      </c>
      <c r="K16" s="4">
        <v>5480</v>
      </c>
      <c r="L16">
        <v>22237</v>
      </c>
      <c r="M16" s="4">
        <v>19953</v>
      </c>
      <c r="N16">
        <v>27064</v>
      </c>
      <c r="O16" s="4">
        <v>15722</v>
      </c>
      <c r="P16">
        <v>118894</v>
      </c>
      <c r="Q16">
        <v>2869</v>
      </c>
      <c r="R16" s="4">
        <v>687</v>
      </c>
      <c r="S16">
        <v>167090</v>
      </c>
      <c r="T16" s="4">
        <v>23169</v>
      </c>
      <c r="U16">
        <v>1036</v>
      </c>
    </row>
    <row r="17" spans="1:23" x14ac:dyDescent="0.25">
      <c r="B17" s="1" t="s">
        <v>70</v>
      </c>
      <c r="C17" s="1"/>
      <c r="D17" s="1" t="s">
        <v>324</v>
      </c>
      <c r="E17" t="s">
        <v>325</v>
      </c>
      <c r="F17" s="1" t="s">
        <v>326</v>
      </c>
      <c r="G17" s="1" t="s">
        <v>327</v>
      </c>
      <c r="H17" s="3" t="s">
        <v>328</v>
      </c>
      <c r="I17" s="28" t="s">
        <v>329</v>
      </c>
      <c r="J17" s="3" t="s">
        <v>330</v>
      </c>
      <c r="K17" s="3" t="s">
        <v>331</v>
      </c>
      <c r="M17" s="3" t="s">
        <v>17</v>
      </c>
      <c r="O17" s="3" t="s">
        <v>332</v>
      </c>
      <c r="R17" s="4" t="s">
        <v>333</v>
      </c>
      <c r="T17" s="4" t="s">
        <v>334</v>
      </c>
    </row>
    <row r="18" spans="1:23" x14ac:dyDescent="0.25">
      <c r="B18" s="1"/>
    </row>
    <row r="19" spans="1:23" s="7" customFormat="1" x14ac:dyDescent="0.25">
      <c r="A19" s="7" t="s">
        <v>85</v>
      </c>
      <c r="H19" s="4"/>
      <c r="I19" s="23"/>
      <c r="J19" s="4"/>
      <c r="K19" s="4"/>
      <c r="M19" s="4"/>
      <c r="O19" s="4"/>
      <c r="R19" s="4"/>
      <c r="T19" s="4"/>
    </row>
    <row r="20" spans="1:23" x14ac:dyDescent="0.25">
      <c r="B20" s="1" t="s">
        <v>70</v>
      </c>
      <c r="C20" s="1"/>
      <c r="D20" s="1" t="s">
        <v>324</v>
      </c>
      <c r="E20" t="s">
        <v>325</v>
      </c>
      <c r="F20" s="1" t="s">
        <v>326</v>
      </c>
      <c r="G20" s="1" t="s">
        <v>327</v>
      </c>
      <c r="H20" s="3" t="s">
        <v>328</v>
      </c>
      <c r="I20" s="24" t="s">
        <v>329</v>
      </c>
      <c r="J20" s="3" t="s">
        <v>330</v>
      </c>
      <c r="K20" s="3" t="s">
        <v>331</v>
      </c>
      <c r="M20" s="3" t="s">
        <v>17</v>
      </c>
      <c r="O20" s="3" t="s">
        <v>332</v>
      </c>
      <c r="R20" s="4" t="s">
        <v>333</v>
      </c>
      <c r="T20" s="4" t="s">
        <v>334</v>
      </c>
    </row>
    <row r="21" spans="1:23" x14ac:dyDescent="0.25">
      <c r="A21" s="7">
        <v>16</v>
      </c>
      <c r="F21" s="1">
        <f>100*F3/$E3</f>
        <v>94.209760911341561</v>
      </c>
      <c r="G21" s="1">
        <f t="shared" ref="G21:W34" si="0">100*G3/$E3</f>
        <v>24.235210609234606</v>
      </c>
      <c r="H21" s="3">
        <f>100*H3/$E3</f>
        <v>8.6909852668755736</v>
      </c>
      <c r="I21" s="24"/>
      <c r="J21" s="3">
        <f t="shared" si="0"/>
        <v>6.758020117380239</v>
      </c>
      <c r="K21" s="3">
        <f t="shared" si="0"/>
        <v>1.8879520783919945</v>
      </c>
      <c r="L21" s="1">
        <f t="shared" si="0"/>
        <v>11.150257093886879</v>
      </c>
      <c r="M21" s="3">
        <f t="shared" si="0"/>
        <v>10.038780492027493</v>
      </c>
      <c r="N21" s="1">
        <f t="shared" si="0"/>
        <v>11.817662436592164</v>
      </c>
      <c r="O21" s="3">
        <f t="shared" si="0"/>
        <v>7.7335918699468502</v>
      </c>
      <c r="P21" s="1">
        <f t="shared" si="0"/>
        <v>69.624833365073314</v>
      </c>
      <c r="Q21" s="1">
        <f t="shared" si="0"/>
        <v>2.4852409064940013</v>
      </c>
      <c r="R21" s="3">
        <f t="shared" si="0"/>
        <v>0.24064680320631568</v>
      </c>
      <c r="S21" s="1">
        <f t="shared" si="0"/>
        <v>93.094821765551146</v>
      </c>
      <c r="T21" s="3">
        <f t="shared" si="0"/>
        <v>10.961548449645955</v>
      </c>
      <c r="U21" s="1">
        <f t="shared" si="0"/>
        <v>0.35750766087844738</v>
      </c>
      <c r="V21" s="1">
        <f t="shared" si="0"/>
        <v>0</v>
      </c>
      <c r="W21" s="1">
        <f t="shared" si="0"/>
        <v>0</v>
      </c>
    </row>
    <row r="22" spans="1:23" x14ac:dyDescent="0.25">
      <c r="A22" s="7">
        <v>17</v>
      </c>
      <c r="F22" s="1">
        <f t="shared" ref="F22:U34" si="1">100*F4/$E4</f>
        <v>77.093629358128922</v>
      </c>
      <c r="G22" s="1">
        <f t="shared" si="1"/>
        <v>29.257985208774592</v>
      </c>
      <c r="H22" s="3">
        <f t="shared" si="1"/>
        <v>9.9582901463600262</v>
      </c>
      <c r="I22" s="24"/>
      <c r="J22" s="3">
        <f t="shared" si="1"/>
        <v>7.1682864911147499</v>
      </c>
      <c r="K22" s="3">
        <f t="shared" si="1"/>
        <v>2.7324210241696836</v>
      </c>
      <c r="L22" s="1">
        <f t="shared" si="1"/>
        <v>13.132344914952958</v>
      </c>
      <c r="M22" s="3">
        <f t="shared" si="1"/>
        <v>11.169027554540765</v>
      </c>
      <c r="N22" s="1">
        <f t="shared" si="1"/>
        <v>12.991643007716073</v>
      </c>
      <c r="O22" s="3">
        <f t="shared" si="1"/>
        <v>4.8439510697851418</v>
      </c>
      <c r="P22" s="1">
        <f t="shared" si="1"/>
        <v>47.347944300070601</v>
      </c>
      <c r="Q22" s="1">
        <f t="shared" si="1"/>
        <v>1.3223976406142814</v>
      </c>
      <c r="R22" s="3">
        <f t="shared" si="1"/>
        <v>0.36552452769724553</v>
      </c>
      <c r="S22" s="1">
        <f t="shared" si="0"/>
        <v>76.634971183648531</v>
      </c>
      <c r="T22" s="3">
        <f t="shared" si="0"/>
        <v>12.835418826015331</v>
      </c>
      <c r="U22" s="1">
        <f t="shared" si="0"/>
        <v>1.1211087911152504</v>
      </c>
      <c r="V22" s="1">
        <f t="shared" si="0"/>
        <v>0</v>
      </c>
      <c r="W22" s="1">
        <f t="shared" si="0"/>
        <v>0</v>
      </c>
    </row>
    <row r="23" spans="1:23" x14ac:dyDescent="0.25">
      <c r="A23" s="7">
        <v>18</v>
      </c>
      <c r="F23" s="1">
        <f t="shared" si="1"/>
        <v>83.697194719471952</v>
      </c>
      <c r="G23" s="1">
        <f t="shared" si="1"/>
        <v>25.151815181518153</v>
      </c>
      <c r="H23" s="3">
        <f t="shared" si="1"/>
        <v>8.9723597359735976</v>
      </c>
      <c r="I23" s="24"/>
      <c r="J23" s="3">
        <f t="shared" si="1"/>
        <v>1.7739273927392739E-2</v>
      </c>
      <c r="K23" s="3">
        <f t="shared" si="1"/>
        <v>8.9401815181518156</v>
      </c>
      <c r="L23" s="1">
        <f t="shared" si="1"/>
        <v>10.112211221122113</v>
      </c>
      <c r="M23" s="3">
        <f t="shared" si="1"/>
        <v>6.8007425742574261</v>
      </c>
      <c r="N23" s="1">
        <f t="shared" si="1"/>
        <v>17.55569306930693</v>
      </c>
      <c r="O23" s="3">
        <f t="shared" si="1"/>
        <v>15.819306930693068</v>
      </c>
      <c r="P23" s="1">
        <f t="shared" si="1"/>
        <v>58.162541254125415</v>
      </c>
      <c r="Q23" s="1">
        <f t="shared" si="1"/>
        <v>1.8040429042904291</v>
      </c>
      <c r="R23" s="3">
        <f t="shared" si="1"/>
        <v>0.16831683168316833</v>
      </c>
      <c r="S23" s="1">
        <f t="shared" si="0"/>
        <v>80.287953795379536</v>
      </c>
      <c r="T23" s="3">
        <f t="shared" si="0"/>
        <v>6.4488448844884489</v>
      </c>
      <c r="U23" s="1">
        <f t="shared" si="0"/>
        <v>5.2392739273927395E-2</v>
      </c>
      <c r="V23" s="1">
        <f t="shared" si="0"/>
        <v>0</v>
      </c>
      <c r="W23" s="1">
        <f t="shared" si="0"/>
        <v>0</v>
      </c>
    </row>
    <row r="24" spans="1:23" x14ac:dyDescent="0.25">
      <c r="A24" s="7">
        <v>19</v>
      </c>
      <c r="F24" s="1">
        <f t="shared" si="1"/>
        <v>72.497268218878702</v>
      </c>
      <c r="G24" s="1">
        <f t="shared" si="1"/>
        <v>25.458999267522426</v>
      </c>
      <c r="H24" s="3">
        <f t="shared" si="1"/>
        <v>9.9965177295596721</v>
      </c>
      <c r="I24" s="24"/>
      <c r="J24" s="3">
        <f t="shared" si="1"/>
        <v>6.3197204577384456</v>
      </c>
      <c r="K24" s="3">
        <f t="shared" si="1"/>
        <v>3.592742468089194</v>
      </c>
      <c r="L24" s="1">
        <f t="shared" si="1"/>
        <v>8.2013472784255335</v>
      </c>
      <c r="M24" s="3">
        <f t="shared" si="1"/>
        <v>6.7880257928169163</v>
      </c>
      <c r="N24" s="1">
        <f t="shared" si="1"/>
        <v>14.715594567658114</v>
      </c>
      <c r="O24" s="3">
        <f t="shared" si="1"/>
        <v>12.820759134955992</v>
      </c>
      <c r="P24" s="1">
        <f t="shared" si="1"/>
        <v>46.102859064109801</v>
      </c>
      <c r="Q24" s="1">
        <f t="shared" si="1"/>
        <v>4.3180153460055957</v>
      </c>
      <c r="R24" s="3">
        <f t="shared" si="1"/>
        <v>0.42027401866016645</v>
      </c>
      <c r="S24" s="1">
        <f t="shared" si="0"/>
        <v>71.190816412300819</v>
      </c>
      <c r="T24" s="3">
        <f t="shared" si="0"/>
        <v>13.026093012644244</v>
      </c>
      <c r="U24" s="1">
        <f t="shared" si="0"/>
        <v>0.14889708089674467</v>
      </c>
      <c r="V24" s="1">
        <f t="shared" si="0"/>
        <v>0</v>
      </c>
      <c r="W24" s="1">
        <f t="shared" si="0"/>
        <v>0</v>
      </c>
    </row>
    <row r="25" spans="1:23" x14ac:dyDescent="0.25">
      <c r="A25" s="7">
        <v>20</v>
      </c>
      <c r="F25" s="1">
        <f>100*F7/$E7</f>
        <v>93.743213346263062</v>
      </c>
      <c r="G25" s="1">
        <f t="shared" si="1"/>
        <v>26.506709714133081</v>
      </c>
      <c r="H25" s="3">
        <f t="shared" si="1"/>
        <v>7.4622705602945194</v>
      </c>
      <c r="I25" s="24"/>
      <c r="J25" s="3">
        <f t="shared" si="1"/>
        <v>5.017042848100898</v>
      </c>
      <c r="K25" s="3">
        <f t="shared" si="1"/>
        <v>2.3952895542148385</v>
      </c>
      <c r="L25" s="1">
        <f t="shared" si="1"/>
        <v>16.459268464053235</v>
      </c>
      <c r="M25" s="3">
        <f t="shared" si="1"/>
        <v>13.494335503126942</v>
      </c>
      <c r="N25" s="1">
        <f t="shared" si="1"/>
        <v>8.7589206389761518</v>
      </c>
      <c r="O25" s="3">
        <f t="shared" si="1"/>
        <v>8.2357313327100741</v>
      </c>
      <c r="P25" s="1">
        <f t="shared" si="1"/>
        <v>66.691829304407918</v>
      </c>
      <c r="Q25" s="1">
        <f t="shared" si="1"/>
        <v>1.5986017315765941</v>
      </c>
      <c r="R25" s="3">
        <f t="shared" si="1"/>
        <v>0.1573632652587203</v>
      </c>
      <c r="S25" s="1">
        <f t="shared" si="0"/>
        <v>93.008077206714944</v>
      </c>
      <c r="T25" s="3">
        <f t="shared" si="0"/>
        <v>4.5635346925028886</v>
      </c>
      <c r="U25" s="1">
        <f t="shared" si="0"/>
        <v>0.25549755244958278</v>
      </c>
      <c r="V25" s="1">
        <f t="shared" si="0"/>
        <v>0</v>
      </c>
      <c r="W25" s="1">
        <f t="shared" si="0"/>
        <v>0</v>
      </c>
    </row>
    <row r="26" spans="1:23" x14ac:dyDescent="0.25">
      <c r="A26" s="7">
        <v>21</v>
      </c>
      <c r="F26" s="1">
        <f t="shared" si="1"/>
        <v>74.555062586457026</v>
      </c>
      <c r="G26" s="1">
        <f t="shared" si="1"/>
        <v>20.106531934275786</v>
      </c>
      <c r="H26" s="3">
        <f t="shared" si="1"/>
        <v>8.9852053038226654</v>
      </c>
      <c r="I26" s="24"/>
      <c r="J26" s="3">
        <f t="shared" si="1"/>
        <v>6.0671750059043825</v>
      </c>
      <c r="K26" s="3">
        <f t="shared" si="1"/>
        <v>2.8602516954013293</v>
      </c>
      <c r="L26" s="1">
        <f t="shared" si="1"/>
        <v>5.9824049394379024</v>
      </c>
      <c r="M26" s="3">
        <f t="shared" si="1"/>
        <v>4.0035932386382802</v>
      </c>
      <c r="N26" s="1">
        <f t="shared" si="1"/>
        <v>13.511758156483012</v>
      </c>
      <c r="O26" s="3">
        <f t="shared" si="1"/>
        <v>7.8161375215088231</v>
      </c>
      <c r="P26" s="1">
        <f t="shared" si="1"/>
        <v>53.976601774688753</v>
      </c>
      <c r="Q26" s="1">
        <f t="shared" si="1"/>
        <v>1.8919329262120854</v>
      </c>
      <c r="R26" s="3">
        <f t="shared" si="1"/>
        <v>0.46012011201457537</v>
      </c>
      <c r="S26" s="1">
        <f t="shared" si="0"/>
        <v>73.94859813084112</v>
      </c>
      <c r="T26" s="3">
        <f t="shared" si="0"/>
        <v>12.279429130537467</v>
      </c>
      <c r="U26" s="1">
        <f t="shared" si="0"/>
        <v>0.81396133472789234</v>
      </c>
      <c r="V26" s="1">
        <f t="shared" si="0"/>
        <v>0</v>
      </c>
      <c r="W26" s="1">
        <f t="shared" si="0"/>
        <v>0</v>
      </c>
    </row>
    <row r="27" spans="1:23" x14ac:dyDescent="0.25">
      <c r="A27" s="7">
        <v>22</v>
      </c>
      <c r="F27" s="1">
        <f t="shared" si="1"/>
        <v>70.354657971480407</v>
      </c>
      <c r="G27" s="1">
        <f t="shared" si="1"/>
        <v>19.799536154676343</v>
      </c>
      <c r="H27" s="3">
        <f t="shared" si="1"/>
        <v>7.123010861328618</v>
      </c>
      <c r="I27" s="24"/>
      <c r="J27" s="3">
        <f t="shared" si="1"/>
        <v>5.2960458334290106</v>
      </c>
      <c r="K27" s="3">
        <f t="shared" si="1"/>
        <v>1.7844841442972283</v>
      </c>
      <c r="L27" s="1">
        <f t="shared" si="1"/>
        <v>11.940572688236239</v>
      </c>
      <c r="M27" s="3">
        <f t="shared" si="1"/>
        <v>10.486750556844015</v>
      </c>
      <c r="N27" s="1">
        <f t="shared" si="1"/>
        <v>6.9014213874026957</v>
      </c>
      <c r="O27" s="3">
        <f t="shared" si="1"/>
        <v>6.4467611196583157</v>
      </c>
      <c r="P27" s="1">
        <f t="shared" si="1"/>
        <v>50.37543916048589</v>
      </c>
      <c r="Q27" s="1">
        <f t="shared" si="1"/>
        <v>1.5723667592826471</v>
      </c>
      <c r="R27" s="3">
        <f t="shared" si="1"/>
        <v>0.53531653998943718</v>
      </c>
      <c r="S27" s="1">
        <f t="shared" si="0"/>
        <v>69.96601529311809</v>
      </c>
      <c r="T27" s="3">
        <f t="shared" si="0"/>
        <v>6.3330960527222206</v>
      </c>
      <c r="U27" s="1">
        <f t="shared" si="0"/>
        <v>0.93630163723621662</v>
      </c>
      <c r="V27" s="1">
        <f t="shared" si="0"/>
        <v>0</v>
      </c>
      <c r="W27" s="1">
        <f t="shared" si="0"/>
        <v>0</v>
      </c>
    </row>
    <row r="28" spans="1:23" x14ac:dyDescent="0.25">
      <c r="A28" s="7">
        <v>23</v>
      </c>
      <c r="F28" s="1">
        <f t="shared" si="1"/>
        <v>76.606504299250375</v>
      </c>
      <c r="G28" s="1">
        <f t="shared" si="1"/>
        <v>31.870815824247398</v>
      </c>
      <c r="H28" s="3">
        <f t="shared" si="1"/>
        <v>12.183818786440296</v>
      </c>
      <c r="I28" s="24"/>
      <c r="J28" s="3">
        <f t="shared" si="1"/>
        <v>9.8820132891613799</v>
      </c>
      <c r="K28" s="3">
        <f t="shared" si="1"/>
        <v>2.2470080599202151</v>
      </c>
      <c r="L28" s="1">
        <f t="shared" si="1"/>
        <v>12.166909862912469</v>
      </c>
      <c r="M28" s="3">
        <f t="shared" si="1"/>
        <v>11.086617526412365</v>
      </c>
      <c r="N28" s="1">
        <f t="shared" si="1"/>
        <v>19.15781035702879</v>
      </c>
      <c r="O28" s="3">
        <f t="shared" si="1"/>
        <v>16.634936341034201</v>
      </c>
      <c r="P28" s="1">
        <f t="shared" si="1"/>
        <v>44.357742721334681</v>
      </c>
      <c r="Q28" s="1">
        <f t="shared" si="1"/>
        <v>2.7943561770802674</v>
      </c>
      <c r="R28" s="3">
        <f t="shared" si="1"/>
        <v>0.39861221575786421</v>
      </c>
      <c r="S28" s="1">
        <f t="shared" si="0"/>
        <v>73.586069552038779</v>
      </c>
      <c r="T28" s="3">
        <f t="shared" si="0"/>
        <v>13.868135446740022</v>
      </c>
      <c r="U28" s="1">
        <f t="shared" si="0"/>
        <v>1.6279535818736339</v>
      </c>
      <c r="V28" s="1">
        <f t="shared" si="0"/>
        <v>0</v>
      </c>
      <c r="W28" s="1">
        <f t="shared" si="0"/>
        <v>0</v>
      </c>
    </row>
    <row r="29" spans="1:23" x14ac:dyDescent="0.25">
      <c r="A29" s="7">
        <v>24</v>
      </c>
      <c r="F29" s="1">
        <f t="shared" si="1"/>
        <v>77.273563097614797</v>
      </c>
      <c r="G29" s="1">
        <f t="shared" si="1"/>
        <v>26.769202479773039</v>
      </c>
      <c r="H29" s="3">
        <f t="shared" si="1"/>
        <v>8.8902315155336069</v>
      </c>
      <c r="I29" s="24"/>
      <c r="J29" s="3">
        <f t="shared" si="1"/>
        <v>7.3937865573885331</v>
      </c>
      <c r="K29" s="3">
        <f t="shared" si="1"/>
        <v>1.4421561416412736</v>
      </c>
      <c r="L29" s="1">
        <f t="shared" si="1"/>
        <v>14.222794297923015</v>
      </c>
      <c r="M29" s="3">
        <f t="shared" si="1"/>
        <v>12.218048404609295</v>
      </c>
      <c r="N29" s="1">
        <f t="shared" si="1"/>
        <v>9.726016601870338</v>
      </c>
      <c r="O29" s="3">
        <f t="shared" si="1"/>
        <v>8.5364785821862625</v>
      </c>
      <c r="P29" s="1">
        <f t="shared" si="1"/>
        <v>50.171184897201499</v>
      </c>
      <c r="Q29" s="1">
        <f t="shared" si="1"/>
        <v>2.223652411474204</v>
      </c>
      <c r="R29" s="3">
        <f t="shared" si="1"/>
        <v>0.37914608945395956</v>
      </c>
      <c r="S29" s="1">
        <f t="shared" si="0"/>
        <v>75.788939091450388</v>
      </c>
      <c r="T29" s="3">
        <f t="shared" si="0"/>
        <v>5.5571608700220656</v>
      </c>
      <c r="U29" s="1">
        <f t="shared" si="0"/>
        <v>0.14185142376799412</v>
      </c>
      <c r="V29" s="1">
        <f t="shared" si="0"/>
        <v>0</v>
      </c>
      <c r="W29" s="1">
        <f t="shared" si="0"/>
        <v>0</v>
      </c>
    </row>
    <row r="30" spans="1:23" x14ac:dyDescent="0.25">
      <c r="A30" s="7">
        <v>25</v>
      </c>
      <c r="F30" s="1">
        <f t="shared" si="1"/>
        <v>82.490404220390374</v>
      </c>
      <c r="G30" s="1">
        <f t="shared" si="1"/>
        <v>18.964590550859093</v>
      </c>
      <c r="H30" s="3">
        <f t="shared" si="1"/>
        <v>6.3259118181446405</v>
      </c>
      <c r="I30" s="24"/>
      <c r="J30" s="3">
        <f t="shared" si="1"/>
        <v>3.585637586245173</v>
      </c>
      <c r="K30" s="3">
        <f t="shared" si="1"/>
        <v>2.686818290695161</v>
      </c>
      <c r="L30" s="1">
        <f t="shared" si="1"/>
        <v>8.8757310026932448</v>
      </c>
      <c r="M30" s="3">
        <f t="shared" si="1"/>
        <v>7.4330048081136191</v>
      </c>
      <c r="N30" s="1">
        <f t="shared" si="1"/>
        <v>9.5814662701774278</v>
      </c>
      <c r="O30" s="3">
        <f t="shared" si="1"/>
        <v>8.1340663321045277</v>
      </c>
      <c r="P30" s="1">
        <f t="shared" si="1"/>
        <v>63.167688074359262</v>
      </c>
      <c r="Q30" s="1">
        <f t="shared" si="1"/>
        <v>2.0766026558547401</v>
      </c>
      <c r="R30" s="3">
        <f t="shared" si="1"/>
        <v>0.35491239652039797</v>
      </c>
      <c r="S30" s="1">
        <f t="shared" si="0"/>
        <v>82.031501031144657</v>
      </c>
      <c r="T30" s="3">
        <f t="shared" si="0"/>
        <v>9.1611214647512114</v>
      </c>
      <c r="U30" s="1">
        <f t="shared" si="0"/>
        <v>1.3191641009762283</v>
      </c>
      <c r="V30" s="1">
        <f t="shared" si="0"/>
        <v>0</v>
      </c>
      <c r="W30" s="1">
        <f t="shared" si="0"/>
        <v>0</v>
      </c>
    </row>
    <row r="31" spans="1:23" x14ac:dyDescent="0.25">
      <c r="A31" s="7">
        <v>26</v>
      </c>
      <c r="F31" s="1">
        <f t="shared" si="1"/>
        <v>89.834024896265561</v>
      </c>
      <c r="G31" s="1">
        <f t="shared" si="1"/>
        <v>49.348755186721995</v>
      </c>
      <c r="H31" s="3">
        <f t="shared" si="1"/>
        <v>20.330290456431534</v>
      </c>
      <c r="I31" s="24"/>
      <c r="J31" s="3">
        <f t="shared" si="1"/>
        <v>19.019502074688798</v>
      </c>
      <c r="K31" s="3">
        <f t="shared" si="1"/>
        <v>1.24149377593361</v>
      </c>
      <c r="L31" s="1">
        <f t="shared" si="1"/>
        <v>26.552074688796679</v>
      </c>
      <c r="M31" s="3">
        <f t="shared" si="1"/>
        <v>23.858506224066389</v>
      </c>
      <c r="N31" s="1">
        <f t="shared" si="1"/>
        <v>12.809958506224067</v>
      </c>
      <c r="O31" s="3">
        <f>100*O13/$E13</f>
        <v>9.673443983402489</v>
      </c>
      <c r="P31" s="1">
        <f t="shared" si="1"/>
        <v>39.975311203319499</v>
      </c>
      <c r="Q31" s="1">
        <f t="shared" si="1"/>
        <v>2.5437759336099584</v>
      </c>
      <c r="R31" s="3">
        <f t="shared" si="1"/>
        <v>0.13755186721991702</v>
      </c>
      <c r="S31" s="1">
        <f t="shared" si="0"/>
        <v>85.062240663900411</v>
      </c>
      <c r="T31" s="3">
        <f t="shared" si="0"/>
        <v>14.898340248962656</v>
      </c>
      <c r="U31" s="1">
        <f t="shared" si="0"/>
        <v>0.55290456431535273</v>
      </c>
      <c r="V31" s="1">
        <f t="shared" si="0"/>
        <v>0</v>
      </c>
      <c r="W31" s="1">
        <f t="shared" si="0"/>
        <v>0</v>
      </c>
    </row>
    <row r="32" spans="1:23" x14ac:dyDescent="0.25">
      <c r="A32" s="7">
        <v>27</v>
      </c>
      <c r="F32" s="1">
        <f t="shared" si="1"/>
        <v>89.483858578530743</v>
      </c>
      <c r="G32" s="1">
        <f t="shared" si="1"/>
        <v>20.941814069601211</v>
      </c>
      <c r="H32" s="3">
        <f t="shared" si="1"/>
        <v>8.1759020206115185</v>
      </c>
      <c r="I32" s="24"/>
      <c r="J32" s="3">
        <f t="shared" si="1"/>
        <v>6.0686623850470482</v>
      </c>
      <c r="K32" s="3">
        <f t="shared" si="1"/>
        <v>2.0709667783301682</v>
      </c>
      <c r="L32" s="1">
        <f t="shared" si="1"/>
        <v>8.6692128789980156</v>
      </c>
      <c r="M32" s="3">
        <f t="shared" si="1"/>
        <v>6.0076386369940469</v>
      </c>
      <c r="N32" s="1">
        <f t="shared" si="1"/>
        <v>10.15127915164188</v>
      </c>
      <c r="O32" s="3">
        <f t="shared" si="1"/>
        <v>7.4167324556724346</v>
      </c>
      <c r="P32" s="1">
        <f t="shared" si="1"/>
        <v>68.390125248042338</v>
      </c>
      <c r="Q32" s="1">
        <f t="shared" si="1"/>
        <v>1.1709731794226215</v>
      </c>
      <c r="R32" s="3">
        <f t="shared" si="1"/>
        <v>0.41436405146478333</v>
      </c>
      <c r="S32" s="1">
        <f t="shared" si="0"/>
        <v>88.984146627691132</v>
      </c>
      <c r="T32" s="3">
        <f t="shared" si="0"/>
        <v>7.456419228881729</v>
      </c>
      <c r="U32" s="1">
        <f t="shared" si="0"/>
        <v>0.51294087524270804</v>
      </c>
      <c r="V32" s="1">
        <f t="shared" si="0"/>
        <v>0</v>
      </c>
      <c r="W32" s="1">
        <f t="shared" si="0"/>
        <v>0</v>
      </c>
    </row>
    <row r="33" spans="1:23" x14ac:dyDescent="0.25">
      <c r="A33" s="7">
        <v>28</v>
      </c>
      <c r="F33" s="1">
        <f t="shared" si="1"/>
        <v>93.519134272414007</v>
      </c>
      <c r="G33" s="1">
        <f t="shared" si="1"/>
        <v>45.393697047164189</v>
      </c>
      <c r="H33" s="3">
        <f t="shared" si="1"/>
        <v>10.99087116861133</v>
      </c>
      <c r="I33" s="24"/>
      <c r="J33" s="3">
        <f t="shared" si="1"/>
        <v>9.4855208270358506</v>
      </c>
      <c r="K33" s="3">
        <f t="shared" si="1"/>
        <v>1.458712981595516</v>
      </c>
      <c r="L33" s="1">
        <f t="shared" si="1"/>
        <v>28.485063089984195</v>
      </c>
      <c r="M33" s="3">
        <f t="shared" si="1"/>
        <v>24.898304645599246</v>
      </c>
      <c r="N33" s="1">
        <f t="shared" si="1"/>
        <v>17.670377503519394</v>
      </c>
      <c r="O33" s="3">
        <f t="shared" si="1"/>
        <v>15.967250209436292</v>
      </c>
      <c r="P33" s="1">
        <f t="shared" si="1"/>
        <v>47.590834895109126</v>
      </c>
      <c r="Q33" s="1">
        <f t="shared" si="1"/>
        <v>1.1331151165502171</v>
      </c>
      <c r="R33" s="3">
        <f t="shared" si="1"/>
        <v>0.16668537918764628</v>
      </c>
      <c r="S33" s="1">
        <f t="shared" si="0"/>
        <v>92.461157124720387</v>
      </c>
      <c r="T33" s="3">
        <f t="shared" si="0"/>
        <v>13.903115202915698</v>
      </c>
      <c r="U33" s="1">
        <f t="shared" si="0"/>
        <v>1.0199763358580842</v>
      </c>
      <c r="V33" s="1">
        <f t="shared" si="0"/>
        <v>0</v>
      </c>
      <c r="W33" s="1">
        <f t="shared" si="0"/>
        <v>0</v>
      </c>
    </row>
    <row r="34" spans="1:23" x14ac:dyDescent="0.25">
      <c r="A34" s="7">
        <v>29</v>
      </c>
      <c r="F34" s="1">
        <f>100*F16/$E16</f>
        <v>76.736628054758711</v>
      </c>
      <c r="G34" s="1">
        <f t="shared" si="1"/>
        <v>22.569356185772904</v>
      </c>
      <c r="H34" s="3">
        <f t="shared" si="1"/>
        <v>8.3014089109989477</v>
      </c>
      <c r="I34" s="24"/>
      <c r="J34" s="3">
        <f t="shared" si="1"/>
        <v>5.7609208758487966</v>
      </c>
      <c r="K34" s="3">
        <f t="shared" si="1"/>
        <v>2.4873815316460295</v>
      </c>
      <c r="L34" s="1">
        <f t="shared" si="1"/>
        <v>10.093412977958531</v>
      </c>
      <c r="M34" s="3">
        <f t="shared" si="1"/>
        <v>9.0567014052797852</v>
      </c>
      <c r="N34" s="1">
        <f t="shared" si="1"/>
        <v>12.284396673808054</v>
      </c>
      <c r="O34" s="3">
        <f t="shared" si="1"/>
        <v>7.1362431460837357</v>
      </c>
      <c r="P34" s="1">
        <f t="shared" si="1"/>
        <v>53.9661933984531</v>
      </c>
      <c r="Q34" s="1">
        <f t="shared" si="1"/>
        <v>1.3022440901993537</v>
      </c>
      <c r="R34" s="3">
        <f t="shared" si="1"/>
        <v>0.31183049493445658</v>
      </c>
      <c r="S34" s="1">
        <f t="shared" si="1"/>
        <v>75.842441628236315</v>
      </c>
      <c r="T34" s="3">
        <f t="shared" si="1"/>
        <v>10.516449399034098</v>
      </c>
      <c r="U34" s="1">
        <f t="shared" si="1"/>
        <v>0.47024220196811795</v>
      </c>
      <c r="V34" s="1">
        <f t="shared" si="0"/>
        <v>0</v>
      </c>
      <c r="W34" s="1">
        <f t="shared" si="0"/>
        <v>0</v>
      </c>
    </row>
    <row r="35" spans="1:23" x14ac:dyDescent="0.25">
      <c r="F35" s="1"/>
      <c r="G35" s="1"/>
      <c r="H35" s="3"/>
      <c r="I35" s="24"/>
      <c r="J35" s="3"/>
      <c r="K35" s="3"/>
      <c r="L35" s="1"/>
      <c r="M35" s="3"/>
      <c r="N35" s="1"/>
      <c r="O35" s="3"/>
      <c r="P35" s="1"/>
      <c r="Q35" s="1"/>
      <c r="R35" s="3"/>
      <c r="S35" s="1"/>
      <c r="T35" s="3"/>
      <c r="U35" s="1"/>
      <c r="V35" s="1"/>
      <c r="W35" s="1"/>
    </row>
    <row r="36" spans="1:23" s="8" customFormat="1" x14ac:dyDescent="0.25">
      <c r="A36" s="8" t="s">
        <v>86</v>
      </c>
      <c r="B36" s="9" t="s">
        <v>70</v>
      </c>
      <c r="C36" s="9"/>
      <c r="D36" s="9" t="s">
        <v>324</v>
      </c>
      <c r="E36" s="8" t="s">
        <v>325</v>
      </c>
      <c r="F36" s="9" t="s">
        <v>326</v>
      </c>
      <c r="G36" s="9" t="s">
        <v>327</v>
      </c>
      <c r="H36" s="3" t="s">
        <v>328</v>
      </c>
      <c r="I36" s="24" t="s">
        <v>329</v>
      </c>
      <c r="J36" s="3" t="s">
        <v>330</v>
      </c>
      <c r="K36" s="3" t="s">
        <v>331</v>
      </c>
      <c r="M36" s="3" t="s">
        <v>17</v>
      </c>
      <c r="O36" s="3" t="s">
        <v>332</v>
      </c>
      <c r="R36" s="4" t="s">
        <v>333</v>
      </c>
      <c r="T36" s="4" t="s">
        <v>334</v>
      </c>
    </row>
    <row r="37" spans="1:23" x14ac:dyDescent="0.25">
      <c r="A37" s="8">
        <v>16</v>
      </c>
      <c r="G37" s="1">
        <f>100*(G3/$F3)</f>
        <v>25.72473422583224</v>
      </c>
      <c r="H37" s="3">
        <f t="shared" ref="H37:W50" si="2">100*(H3/$F3)</f>
        <v>9.2251431091672575</v>
      </c>
      <c r="I37" s="24"/>
      <c r="J37" s="3">
        <f t="shared" si="2"/>
        <v>7.173375722437128</v>
      </c>
      <c r="K37" s="3">
        <f t="shared" si="2"/>
        <v>2.003987761065118</v>
      </c>
      <c r="L37" s="1">
        <f t="shared" si="2"/>
        <v>11.835564580595959</v>
      </c>
      <c r="M37" s="3">
        <f t="shared" si="2"/>
        <v>10.655775362252259</v>
      </c>
      <c r="N37" s="1">
        <f t="shared" si="2"/>
        <v>12.543989414975238</v>
      </c>
      <c r="O37" s="3">
        <f t="shared" si="2"/>
        <v>8.2089072248307033</v>
      </c>
      <c r="P37" s="1">
        <f t="shared" si="2"/>
        <v>73.904054836308845</v>
      </c>
      <c r="Q37" s="1">
        <f t="shared" si="2"/>
        <v>2.6379866400815928</v>
      </c>
      <c r="R37" s="3">
        <f t="shared" si="2"/>
        <v>0.2554372295167826</v>
      </c>
      <c r="S37" s="1">
        <f t="shared" si="2"/>
        <v>98.816535425835923</v>
      </c>
      <c r="T37" s="3">
        <f t="shared" si="2"/>
        <v>11.635257688384955</v>
      </c>
      <c r="U37" s="1">
        <f t="shared" si="2"/>
        <v>0.37948048845478854</v>
      </c>
      <c r="V37" s="1">
        <f t="shared" si="2"/>
        <v>0</v>
      </c>
      <c r="W37" s="1">
        <f t="shared" si="2"/>
        <v>0</v>
      </c>
    </row>
    <row r="38" spans="1:23" x14ac:dyDescent="0.25">
      <c r="A38" s="8">
        <v>17</v>
      </c>
      <c r="G38" s="1">
        <f t="shared" ref="G38:G49" si="3">100*(G4/$F4)</f>
        <v>37.951235987166001</v>
      </c>
      <c r="H38" s="3">
        <f t="shared" si="2"/>
        <v>12.917137549848668</v>
      </c>
      <c r="I38" s="24"/>
      <c r="J38" s="3">
        <f t="shared" si="2"/>
        <v>9.2981567359027331</v>
      </c>
      <c r="K38" s="3">
        <f t="shared" si="2"/>
        <v>3.54428899886988</v>
      </c>
      <c r="L38" s="1">
        <f t="shared" si="2"/>
        <v>17.03428029564969</v>
      </c>
      <c r="M38" s="3">
        <f t="shared" si="2"/>
        <v>14.487614148578256</v>
      </c>
      <c r="N38" s="1">
        <f t="shared" si="2"/>
        <v>16.851772469246455</v>
      </c>
      <c r="O38" s="3">
        <f t="shared" si="2"/>
        <v>6.2832053830066377</v>
      </c>
      <c r="P38" s="1">
        <f t="shared" si="2"/>
        <v>61.416156813842015</v>
      </c>
      <c r="Q38" s="1">
        <f t="shared" si="2"/>
        <v>1.7153137705727239</v>
      </c>
      <c r="R38" s="3">
        <f t="shared" si="2"/>
        <v>0.47413065222191914</v>
      </c>
      <c r="S38" s="1">
        <f t="shared" si="2"/>
        <v>99.405063455568111</v>
      </c>
      <c r="T38" s="3">
        <f t="shared" si="2"/>
        <v>16.649130327474897</v>
      </c>
      <c r="U38" s="1">
        <f t="shared" si="2"/>
        <v>1.4542171648285984</v>
      </c>
      <c r="V38" s="1">
        <f t="shared" si="2"/>
        <v>0</v>
      </c>
      <c r="W38" s="1">
        <f t="shared" si="2"/>
        <v>0</v>
      </c>
    </row>
    <row r="39" spans="1:23" x14ac:dyDescent="0.25">
      <c r="A39" s="8">
        <v>18</v>
      </c>
      <c r="G39" s="1">
        <f>100*(G5/$F5)</f>
        <v>30.050965585907079</v>
      </c>
      <c r="H39" s="3">
        <f t="shared" si="2"/>
        <v>10.720024447708521</v>
      </c>
      <c r="I39" s="24"/>
      <c r="J39" s="3">
        <f t="shared" si="2"/>
        <v>2.1194586015516409E-2</v>
      </c>
      <c r="K39" s="3">
        <f t="shared" si="2"/>
        <v>10.681578454471072</v>
      </c>
      <c r="L39" s="1">
        <f t="shared" si="2"/>
        <v>12.081899823542749</v>
      </c>
      <c r="M39" s="3">
        <f t="shared" si="2"/>
        <v>8.1254128015299543</v>
      </c>
      <c r="N39" s="1">
        <f t="shared" si="2"/>
        <v>20.975246695123275</v>
      </c>
      <c r="O39" s="3">
        <f t="shared" si="2"/>
        <v>18.900641752348658</v>
      </c>
      <c r="P39" s="1">
        <f t="shared" si="2"/>
        <v>69.491625674037124</v>
      </c>
      <c r="Q39" s="1">
        <f t="shared" si="2"/>
        <v>2.1554401080430989</v>
      </c>
      <c r="R39" s="3">
        <f t="shared" si="2"/>
        <v>0.20110211847280685</v>
      </c>
      <c r="S39" s="1">
        <f t="shared" si="2"/>
        <v>95.926696306227271</v>
      </c>
      <c r="T39" s="3">
        <f t="shared" si="2"/>
        <v>7.7049713626640122</v>
      </c>
      <c r="U39" s="1">
        <f t="shared" si="2"/>
        <v>6.259796334815311E-2</v>
      </c>
      <c r="V39" s="1">
        <f t="shared" si="2"/>
        <v>0</v>
      </c>
      <c r="W39" s="1">
        <f t="shared" si="2"/>
        <v>0</v>
      </c>
    </row>
    <row r="40" spans="1:23" x14ac:dyDescent="0.25">
      <c r="A40" s="8">
        <v>19</v>
      </c>
      <c r="G40" s="1">
        <f t="shared" si="3"/>
        <v>35.117184265010351</v>
      </c>
      <c r="H40" s="3">
        <f t="shared" si="2"/>
        <v>13.788819875776397</v>
      </c>
      <c r="I40" s="24"/>
      <c r="J40" s="3">
        <f t="shared" si="2"/>
        <v>8.7171842650103528</v>
      </c>
      <c r="K40" s="3">
        <f t="shared" si="2"/>
        <v>4.9556935817805385</v>
      </c>
      <c r="L40" s="1">
        <f t="shared" si="2"/>
        <v>11.312629399585921</v>
      </c>
      <c r="M40" s="3">
        <f t="shared" si="2"/>
        <v>9.3631469979296078</v>
      </c>
      <c r="N40" s="1">
        <f t="shared" si="2"/>
        <v>20.298136645962732</v>
      </c>
      <c r="O40" s="3">
        <f t="shared" si="2"/>
        <v>17.68447204968944</v>
      </c>
      <c r="P40" s="1">
        <f t="shared" si="2"/>
        <v>63.592546583850925</v>
      </c>
      <c r="Q40" s="1">
        <f t="shared" si="2"/>
        <v>5.9561076604554861</v>
      </c>
      <c r="R40" s="3">
        <f t="shared" si="2"/>
        <v>0.57971014492753625</v>
      </c>
      <c r="S40" s="1">
        <f t="shared" si="2"/>
        <v>98.197929606625252</v>
      </c>
      <c r="T40" s="3">
        <f t="shared" si="2"/>
        <v>17.967701863354037</v>
      </c>
      <c r="U40" s="1">
        <f t="shared" si="2"/>
        <v>0.20538302277432713</v>
      </c>
      <c r="V40" s="1">
        <f t="shared" si="2"/>
        <v>0</v>
      </c>
      <c r="W40" s="1">
        <f t="shared" si="2"/>
        <v>0</v>
      </c>
    </row>
    <row r="41" spans="1:23" x14ac:dyDescent="0.25">
      <c r="A41" s="8">
        <v>20</v>
      </c>
      <c r="G41" s="1">
        <f t="shared" si="3"/>
        <v>28.275870612866861</v>
      </c>
      <c r="H41" s="3">
        <f t="shared" si="2"/>
        <v>7.9603315204598664</v>
      </c>
      <c r="I41" s="24"/>
      <c r="J41" s="3">
        <f t="shared" si="2"/>
        <v>5.3518998005426237</v>
      </c>
      <c r="K41" s="3">
        <f t="shared" si="2"/>
        <v>2.5551604950507314</v>
      </c>
      <c r="L41" s="1">
        <f t="shared" si="2"/>
        <v>17.557824056294059</v>
      </c>
      <c r="M41" s="3">
        <f t="shared" si="2"/>
        <v>14.394999938056715</v>
      </c>
      <c r="N41" s="1">
        <f t="shared" si="2"/>
        <v>9.3435250684473292</v>
      </c>
      <c r="O41" s="3">
        <f t="shared" si="2"/>
        <v>8.7854160730435211</v>
      </c>
      <c r="P41" s="1">
        <f t="shared" si="2"/>
        <v>71.143101376379789</v>
      </c>
      <c r="Q41" s="1">
        <f t="shared" si="2"/>
        <v>1.7052986285756762</v>
      </c>
      <c r="R41" s="3">
        <f t="shared" si="2"/>
        <v>0.16786630161424201</v>
      </c>
      <c r="S41" s="1">
        <f t="shared" si="2"/>
        <v>99.215798015337157</v>
      </c>
      <c r="T41" s="3">
        <f t="shared" si="2"/>
        <v>4.8681227468130182</v>
      </c>
      <c r="U41" s="1">
        <f t="shared" si="2"/>
        <v>0.27255045280541135</v>
      </c>
      <c r="V41" s="1">
        <f t="shared" si="2"/>
        <v>0</v>
      </c>
      <c r="W41" s="1">
        <f t="shared" si="2"/>
        <v>0</v>
      </c>
    </row>
    <row r="42" spans="1:23" x14ac:dyDescent="0.25">
      <c r="A42" s="8">
        <v>21</v>
      </c>
      <c r="G42" s="1">
        <f t="shared" si="3"/>
        <v>26.968701033493797</v>
      </c>
      <c r="H42" s="3">
        <f t="shared" si="2"/>
        <v>12.051770855135508</v>
      </c>
      <c r="I42" s="24"/>
      <c r="J42" s="3">
        <f t="shared" si="2"/>
        <v>8.1378444272226904</v>
      </c>
      <c r="K42" s="3">
        <f t="shared" si="2"/>
        <v>3.8364285350635541</v>
      </c>
      <c r="L42" s="1">
        <f t="shared" si="2"/>
        <v>8.0241431391737699</v>
      </c>
      <c r="M42" s="3">
        <f t="shared" si="2"/>
        <v>5.3699817285989857</v>
      </c>
      <c r="N42" s="1">
        <f t="shared" si="2"/>
        <v>18.123193365727829</v>
      </c>
      <c r="O42" s="3">
        <f t="shared" si="2"/>
        <v>10.483711300550405</v>
      </c>
      <c r="P42" s="1">
        <f t="shared" si="2"/>
        <v>72.398305228562222</v>
      </c>
      <c r="Q42" s="1">
        <f t="shared" si="2"/>
        <v>2.5376317322758926</v>
      </c>
      <c r="R42" s="3">
        <f t="shared" si="2"/>
        <v>0.61715475254413699</v>
      </c>
      <c r="S42" s="1">
        <f t="shared" si="2"/>
        <v>99.186554964107728</v>
      </c>
      <c r="T42" s="3">
        <f t="shared" si="2"/>
        <v>16.470282103643534</v>
      </c>
      <c r="U42" s="1">
        <f t="shared" si="2"/>
        <v>1.0917586364896283</v>
      </c>
      <c r="V42" s="1">
        <f t="shared" si="2"/>
        <v>0</v>
      </c>
      <c r="W42" s="1">
        <f t="shared" si="2"/>
        <v>0</v>
      </c>
    </row>
    <row r="43" spans="1:23" x14ac:dyDescent="0.25">
      <c r="A43" s="8">
        <v>22</v>
      </c>
      <c r="G43" s="1">
        <f t="shared" si="3"/>
        <v>28.142466647627597</v>
      </c>
      <c r="H43" s="3">
        <f t="shared" si="2"/>
        <v>10.124433927624333</v>
      </c>
      <c r="I43" s="24"/>
      <c r="J43" s="3">
        <f t="shared" si="2"/>
        <v>7.5276406511362248</v>
      </c>
      <c r="K43" s="3">
        <f t="shared" si="2"/>
        <v>2.5364122230835133</v>
      </c>
      <c r="L43" s="1">
        <f t="shared" si="2"/>
        <v>16.971971767777731</v>
      </c>
      <c r="M43" s="3">
        <f t="shared" si="2"/>
        <v>14.905552609032679</v>
      </c>
      <c r="N43" s="1">
        <f t="shared" si="2"/>
        <v>9.8094732977030716</v>
      </c>
      <c r="O43" s="3">
        <f t="shared" si="2"/>
        <v>9.1632328342376894</v>
      </c>
      <c r="P43" s="1">
        <f t="shared" si="2"/>
        <v>71.602137815674595</v>
      </c>
      <c r="Q43" s="1">
        <f t="shared" si="2"/>
        <v>2.2349149361511156</v>
      </c>
      <c r="R43" s="3">
        <f t="shared" si="2"/>
        <v>0.76088286891599688</v>
      </c>
      <c r="S43" s="1">
        <f t="shared" si="2"/>
        <v>99.447594957366078</v>
      </c>
      <c r="T43" s="3">
        <f t="shared" si="2"/>
        <v>9.0016727183713439</v>
      </c>
      <c r="U43" s="1">
        <f t="shared" si="2"/>
        <v>1.3308310554444944</v>
      </c>
      <c r="V43" s="1">
        <f t="shared" si="2"/>
        <v>0</v>
      </c>
      <c r="W43" s="1">
        <f t="shared" si="2"/>
        <v>0</v>
      </c>
    </row>
    <row r="44" spans="1:23" x14ac:dyDescent="0.25">
      <c r="A44" s="8">
        <v>23</v>
      </c>
      <c r="G44" s="1">
        <f t="shared" si="3"/>
        <v>41.603276530866665</v>
      </c>
      <c r="H44" s="3">
        <f t="shared" si="2"/>
        <v>15.904418166434361</v>
      </c>
      <c r="I44" s="24"/>
      <c r="J44" s="3">
        <f t="shared" si="2"/>
        <v>12.899705292071499</v>
      </c>
      <c r="K44" s="3">
        <f t="shared" si="2"/>
        <v>2.9331818237556666</v>
      </c>
      <c r="L44" s="1">
        <f t="shared" si="2"/>
        <v>15.882345727961283</v>
      </c>
      <c r="M44" s="3">
        <f t="shared" si="2"/>
        <v>14.472162158847981</v>
      </c>
      <c r="N44" s="1">
        <f t="shared" si="2"/>
        <v>25.008072789997097</v>
      </c>
      <c r="O44" s="3">
        <f t="shared" si="2"/>
        <v>21.714783220041774</v>
      </c>
      <c r="P44" s="1">
        <f t="shared" si="2"/>
        <v>57.903363594373978</v>
      </c>
      <c r="Q44" s="1">
        <f t="shared" si="2"/>
        <v>3.6476748321064054</v>
      </c>
      <c r="R44" s="3">
        <f t="shared" si="2"/>
        <v>0.52033729955977748</v>
      </c>
      <c r="S44" s="1">
        <f t="shared" si="2"/>
        <v>96.057208490531337</v>
      </c>
      <c r="T44" s="3">
        <f t="shared" si="2"/>
        <v>18.103078287669273</v>
      </c>
      <c r="U44" s="1">
        <f t="shared" si="2"/>
        <v>2.125085326324653</v>
      </c>
      <c r="V44" s="1">
        <f t="shared" si="2"/>
        <v>0</v>
      </c>
      <c r="W44" s="1">
        <f t="shared" si="2"/>
        <v>0</v>
      </c>
    </row>
    <row r="45" spans="1:23" x14ac:dyDescent="0.25">
      <c r="A45" s="8">
        <v>24</v>
      </c>
      <c r="G45" s="1">
        <f t="shared" si="3"/>
        <v>34.642122618258462</v>
      </c>
      <c r="H45" s="3">
        <f t="shared" si="2"/>
        <v>11.504881047484689</v>
      </c>
      <c r="I45" s="24"/>
      <c r="J45" s="3">
        <f t="shared" si="2"/>
        <v>9.5683261661539163</v>
      </c>
      <c r="K45" s="3">
        <f t="shared" si="2"/>
        <v>1.8662995257763499</v>
      </c>
      <c r="L45" s="1">
        <f t="shared" si="2"/>
        <v>18.40577000436263</v>
      </c>
      <c r="M45" s="3">
        <f t="shared" si="2"/>
        <v>15.811421027881178</v>
      </c>
      <c r="N45" s="1">
        <f t="shared" si="2"/>
        <v>12.586473577753981</v>
      </c>
      <c r="O45" s="3">
        <f t="shared" si="2"/>
        <v>11.047088085484903</v>
      </c>
      <c r="P45" s="1">
        <f t="shared" si="2"/>
        <v>64.92671346579867</v>
      </c>
      <c r="Q45" s="1">
        <f t="shared" si="2"/>
        <v>2.8776367004912209</v>
      </c>
      <c r="R45" s="3">
        <f t="shared" si="2"/>
        <v>0.49065433798491775</v>
      </c>
      <c r="S45" s="1">
        <f t="shared" si="2"/>
        <v>98.078742655765765</v>
      </c>
      <c r="T45" s="3">
        <f t="shared" si="2"/>
        <v>7.1915421617119639</v>
      </c>
      <c r="U45" s="1">
        <f t="shared" si="2"/>
        <v>0.18357044515832951</v>
      </c>
      <c r="V45" s="1">
        <f t="shared" si="2"/>
        <v>0</v>
      </c>
      <c r="W45" s="1">
        <f t="shared" si="2"/>
        <v>0</v>
      </c>
    </row>
    <row r="46" spans="1:23" x14ac:dyDescent="0.25">
      <c r="A46" s="8">
        <v>25</v>
      </c>
      <c r="G46" s="1">
        <f t="shared" si="3"/>
        <v>22.990056516381252</v>
      </c>
      <c r="H46" s="3">
        <f t="shared" si="2"/>
        <v>7.6686638620943643</v>
      </c>
      <c r="I46" s="24"/>
      <c r="J46" s="3">
        <f t="shared" si="2"/>
        <v>4.3467329565574584</v>
      </c>
      <c r="K46" s="3">
        <f t="shared" si="2"/>
        <v>3.2571282879360899</v>
      </c>
      <c r="L46" s="1">
        <f t="shared" si="2"/>
        <v>10.759713310386832</v>
      </c>
      <c r="M46" s="3">
        <f t="shared" si="2"/>
        <v>9.0107508604937738</v>
      </c>
      <c r="N46" s="1">
        <f t="shared" si="2"/>
        <v>11.615249507783396</v>
      </c>
      <c r="O46" s="3">
        <f t="shared" si="2"/>
        <v>9.8606212552585717</v>
      </c>
      <c r="P46" s="1">
        <f t="shared" si="2"/>
        <v>76.57580135695973</v>
      </c>
      <c r="Q46" s="1">
        <f t="shared" si="2"/>
        <v>2.5173869318262301</v>
      </c>
      <c r="R46" s="3">
        <f t="shared" si="2"/>
        <v>0.43024688734967914</v>
      </c>
      <c r="S46" s="1">
        <f t="shared" si="2"/>
        <v>99.443689004093542</v>
      </c>
      <c r="T46" s="3">
        <f t="shared" si="2"/>
        <v>11.105681383589003</v>
      </c>
      <c r="U46" s="1">
        <f t="shared" si="2"/>
        <v>1.5991727928157622</v>
      </c>
      <c r="V46" s="1">
        <f t="shared" si="2"/>
        <v>0</v>
      </c>
      <c r="W46" s="1">
        <f t="shared" si="2"/>
        <v>0</v>
      </c>
    </row>
    <row r="47" spans="1:23" x14ac:dyDescent="0.25">
      <c r="A47" s="8">
        <v>26</v>
      </c>
      <c r="G47" s="1">
        <f t="shared" si="3"/>
        <v>54.933256351039262</v>
      </c>
      <c r="H47" s="3">
        <f t="shared" si="2"/>
        <v>22.630946882217089</v>
      </c>
      <c r="I47" s="24"/>
      <c r="J47" s="3">
        <f t="shared" si="2"/>
        <v>21.171824480369512</v>
      </c>
      <c r="K47" s="3">
        <f t="shared" si="2"/>
        <v>1.381986143187067</v>
      </c>
      <c r="L47" s="1">
        <f t="shared" si="2"/>
        <v>29.556812933025405</v>
      </c>
      <c r="M47" s="3">
        <f t="shared" si="2"/>
        <v>26.558429561200924</v>
      </c>
      <c r="N47" s="1">
        <f t="shared" si="2"/>
        <v>14.25958429561201</v>
      </c>
      <c r="O47" s="3">
        <f t="shared" si="2"/>
        <v>10.768129330254043</v>
      </c>
      <c r="P47" s="1">
        <f t="shared" si="2"/>
        <v>44.499076212471131</v>
      </c>
      <c r="Q47" s="1">
        <f t="shared" si="2"/>
        <v>2.8316397228637413</v>
      </c>
      <c r="R47" s="3">
        <f t="shared" si="2"/>
        <v>0.15311778290993072</v>
      </c>
      <c r="S47" s="1">
        <f t="shared" si="2"/>
        <v>94.688221709006925</v>
      </c>
      <c r="T47" s="3">
        <f t="shared" si="2"/>
        <v>16.584295612009235</v>
      </c>
      <c r="U47" s="1">
        <f t="shared" si="2"/>
        <v>0.61547344110854507</v>
      </c>
      <c r="V47" s="1">
        <f t="shared" si="2"/>
        <v>0</v>
      </c>
      <c r="W47" s="1">
        <f t="shared" si="2"/>
        <v>0</v>
      </c>
    </row>
    <row r="48" spans="1:23" x14ac:dyDescent="0.25">
      <c r="A48" s="8">
        <v>27</v>
      </c>
      <c r="G48" s="1">
        <f t="shared" si="3"/>
        <v>23.402895675562252</v>
      </c>
      <c r="H48" s="3">
        <f t="shared" si="2"/>
        <v>9.1367338763519825</v>
      </c>
      <c r="I48" s="24"/>
      <c r="J48" s="3">
        <f t="shared" si="2"/>
        <v>6.7818514774049561</v>
      </c>
      <c r="K48" s="3">
        <f t="shared" si="2"/>
        <v>2.3143467561948001</v>
      </c>
      <c r="L48" s="1">
        <f t="shared" si="2"/>
        <v>9.6880186177822711</v>
      </c>
      <c r="M48" s="3">
        <f t="shared" si="2"/>
        <v>6.7136562195982687</v>
      </c>
      <c r="N48" s="1">
        <f t="shared" si="2"/>
        <v>11.344257291646796</v>
      </c>
      <c r="O48" s="3">
        <f t="shared" si="2"/>
        <v>8.2883467180436075</v>
      </c>
      <c r="P48" s="1">
        <f t="shared" si="2"/>
        <v>76.427331514793124</v>
      </c>
      <c r="Q48" s="1">
        <f t="shared" si="2"/>
        <v>1.3085859260248365</v>
      </c>
      <c r="R48" s="3">
        <f t="shared" si="2"/>
        <v>0.46306010720485286</v>
      </c>
      <c r="S48" s="1">
        <f t="shared" si="2"/>
        <v>99.44156190984873</v>
      </c>
      <c r="T48" s="3">
        <f t="shared" si="2"/>
        <v>8.3326974801136906</v>
      </c>
      <c r="U48" s="1">
        <f t="shared" si="2"/>
        <v>0.57322167750796404</v>
      </c>
      <c r="V48" s="1">
        <f t="shared" si="2"/>
        <v>0</v>
      </c>
      <c r="W48" s="1">
        <f t="shared" si="2"/>
        <v>0</v>
      </c>
    </row>
    <row r="49" spans="1:23" x14ac:dyDescent="0.25">
      <c r="A49" s="8">
        <v>28</v>
      </c>
      <c r="G49" s="1">
        <f t="shared" si="3"/>
        <v>48.539475263891838</v>
      </c>
      <c r="H49" s="3">
        <f t="shared" si="2"/>
        <v>11.752537332729975</v>
      </c>
      <c r="I49" s="24"/>
      <c r="J49" s="3">
        <f t="shared" si="2"/>
        <v>10.142866377917125</v>
      </c>
      <c r="K49" s="3">
        <f t="shared" si="2"/>
        <v>1.5598016309115927</v>
      </c>
      <c r="L49" s="1">
        <f t="shared" si="2"/>
        <v>30.45907483169103</v>
      </c>
      <c r="M49" s="3">
        <f t="shared" si="2"/>
        <v>26.623754421284968</v>
      </c>
      <c r="N49" s="1">
        <f t="shared" si="2"/>
        <v>18.894932722588035</v>
      </c>
      <c r="O49" s="3">
        <f t="shared" si="2"/>
        <v>17.073778894193918</v>
      </c>
      <c r="P49" s="1">
        <f t="shared" si="2"/>
        <v>50.888874523240027</v>
      </c>
      <c r="Q49" s="1">
        <f t="shared" si="2"/>
        <v>1.2116398696009529</v>
      </c>
      <c r="R49" s="3">
        <f t="shared" si="2"/>
        <v>0.17823665764709143</v>
      </c>
      <c r="S49" s="1">
        <f t="shared" si="2"/>
        <v>98.868705152239968</v>
      </c>
      <c r="T49" s="3">
        <f t="shared" si="2"/>
        <v>14.866599558564134</v>
      </c>
      <c r="U49" s="1">
        <f t="shared" si="2"/>
        <v>1.0906605838404919</v>
      </c>
      <c r="V49" s="1">
        <f t="shared" si="2"/>
        <v>0</v>
      </c>
      <c r="W49" s="1">
        <f t="shared" si="2"/>
        <v>0</v>
      </c>
    </row>
    <row r="50" spans="1:23" x14ac:dyDescent="0.25">
      <c r="A50" s="8">
        <v>29</v>
      </c>
      <c r="G50" s="1">
        <f>100*(G16/$F16)</f>
        <v>29.411451555660712</v>
      </c>
      <c r="H50" s="3">
        <f t="shared" si="2"/>
        <v>10.818052762332901</v>
      </c>
      <c r="I50" s="24"/>
      <c r="J50" s="3">
        <f t="shared" si="2"/>
        <v>7.5073938246776288</v>
      </c>
      <c r="K50" s="3">
        <f t="shared" si="2"/>
        <v>3.2414527386726606</v>
      </c>
      <c r="L50" s="1">
        <f>100*(L16/$F16)</f>
        <v>13.15331834851532</v>
      </c>
      <c r="M50" s="3">
        <f t="shared" si="2"/>
        <v>11.802318703418905</v>
      </c>
      <c r="N50" s="1">
        <f t="shared" si="2"/>
        <v>16.008517686028629</v>
      </c>
      <c r="O50" s="3">
        <f t="shared" si="2"/>
        <v>9.2996569265349578</v>
      </c>
      <c r="P50" s="1">
        <f t="shared" si="2"/>
        <v>70.3265112977641</v>
      </c>
      <c r="Q50" s="1">
        <f t="shared" si="2"/>
        <v>1.6970306400094644</v>
      </c>
      <c r="R50" s="3">
        <f t="shared" si="2"/>
        <v>0.40636460428250321</v>
      </c>
      <c r="S50" s="1">
        <f t="shared" si="2"/>
        <v>98.834733230805625</v>
      </c>
      <c r="T50" s="3">
        <f t="shared" si="2"/>
        <v>13.704601916479357</v>
      </c>
      <c r="U50" s="1">
        <f t="shared" si="2"/>
        <v>0.61280018928191171</v>
      </c>
      <c r="V50" s="1">
        <f t="shared" si="2"/>
        <v>0</v>
      </c>
      <c r="W50" s="1">
        <f t="shared" si="2"/>
        <v>0</v>
      </c>
    </row>
    <row r="51" spans="1:23" x14ac:dyDescent="0.25">
      <c r="A51" s="10" t="s">
        <v>87</v>
      </c>
      <c r="B51" s="10"/>
      <c r="C51" s="10"/>
      <c r="D51" s="10"/>
      <c r="E51" s="10"/>
    </row>
    <row r="52" spans="1:23" s="10" customFormat="1" ht="27" customHeight="1" x14ac:dyDescent="0.25">
      <c r="A52" s="10" t="s">
        <v>87</v>
      </c>
      <c r="B52" s="22" t="s">
        <v>70</v>
      </c>
      <c r="C52" s="22" t="s">
        <v>335</v>
      </c>
      <c r="D52" s="22" t="s">
        <v>89</v>
      </c>
      <c r="E52" s="21" t="s">
        <v>336</v>
      </c>
      <c r="F52" s="22" t="s">
        <v>326</v>
      </c>
      <c r="G52" s="22" t="s">
        <v>327</v>
      </c>
      <c r="H52" s="17" t="s">
        <v>328</v>
      </c>
      <c r="I52" s="25" t="s">
        <v>329</v>
      </c>
      <c r="J52" s="17" t="s">
        <v>330</v>
      </c>
      <c r="K52" s="17" t="s">
        <v>331</v>
      </c>
      <c r="L52" s="21"/>
      <c r="M52" s="17" t="s">
        <v>17</v>
      </c>
      <c r="N52" s="21"/>
      <c r="O52" s="17" t="s">
        <v>332</v>
      </c>
      <c r="P52" s="21"/>
      <c r="Q52" s="21"/>
      <c r="R52" s="18" t="s">
        <v>333</v>
      </c>
      <c r="S52" s="21"/>
      <c r="T52" s="18" t="s">
        <v>334</v>
      </c>
      <c r="U52" s="21"/>
      <c r="V52" s="21"/>
      <c r="W52" s="21"/>
    </row>
    <row r="53" spans="1:23" s="6" customFormat="1" x14ac:dyDescent="0.25">
      <c r="A53" s="10">
        <v>16</v>
      </c>
      <c r="B53" s="1">
        <v>1280000</v>
      </c>
      <c r="C53">
        <v>115522</v>
      </c>
      <c r="D53" s="6">
        <v>300000</v>
      </c>
      <c r="E53" s="6">
        <f>(C53/B53)*D53</f>
        <v>27075.468749999996</v>
      </c>
      <c r="H53" s="20">
        <f>H21*E53</f>
        <v>235312.49999999997</v>
      </c>
      <c r="I53" s="26"/>
      <c r="J53" s="20">
        <f>J21*$E53</f>
        <v>182976.56249999997</v>
      </c>
      <c r="K53" s="20">
        <f t="shared" ref="K53:M66" si="4">K21*$E53</f>
        <v>51117.187499999993</v>
      </c>
      <c r="M53" s="20">
        <f t="shared" si="4"/>
        <v>271804.6875</v>
      </c>
      <c r="O53" s="20">
        <f t="shared" ref="O53" si="5">O21*$E53</f>
        <v>209390.62499999997</v>
      </c>
      <c r="R53" s="20">
        <f t="shared" ref="R53:T66" si="6">R21*$E53</f>
        <v>6515.6249999999991</v>
      </c>
      <c r="T53" s="20">
        <f t="shared" si="6"/>
        <v>296789.06249999994</v>
      </c>
      <c r="W53" s="6">
        <f>W21*$E53</f>
        <v>0</v>
      </c>
    </row>
    <row r="54" spans="1:23" s="6" customFormat="1" x14ac:dyDescent="0.25">
      <c r="A54" s="10">
        <v>17</v>
      </c>
      <c r="B54" s="1">
        <v>3660000</v>
      </c>
      <c r="C54">
        <v>199713</v>
      </c>
      <c r="D54" s="6">
        <v>483333.33333333331</v>
      </c>
      <c r="E54" s="6">
        <f>(C54/B54)*D54</f>
        <v>26373.756830601091</v>
      </c>
      <c r="H54" s="20">
        <f t="shared" ref="H54:H66" si="7">H22*E54</f>
        <v>262637.52276867029</v>
      </c>
      <c r="I54" s="26"/>
      <c r="J54" s="20">
        <f t="shared" ref="J54:J65" si="8">J22*$E54</f>
        <v>189054.64480874315</v>
      </c>
      <c r="K54" s="20">
        <f t="shared" si="4"/>
        <v>72064.207650273223</v>
      </c>
      <c r="M54" s="20">
        <f t="shared" si="4"/>
        <v>294569.21675774129</v>
      </c>
      <c r="O54" s="20">
        <f t="shared" ref="O54" si="9">O22*$E54</f>
        <v>127753.18761384334</v>
      </c>
      <c r="R54" s="20">
        <f t="shared" si="6"/>
        <v>9640.2550091074663</v>
      </c>
      <c r="T54" s="20">
        <f t="shared" si="6"/>
        <v>338518.21493624768</v>
      </c>
      <c r="W54" s="6">
        <f t="shared" ref="W54:W65" si="10">W22*$E54</f>
        <v>0</v>
      </c>
    </row>
    <row r="55" spans="1:23" s="6" customFormat="1" x14ac:dyDescent="0.25">
      <c r="A55" s="10">
        <v>18</v>
      </c>
      <c r="B55" s="1">
        <v>2480000</v>
      </c>
      <c r="C55">
        <v>242400</v>
      </c>
      <c r="D55" s="6">
        <v>266666.66666666663</v>
      </c>
      <c r="E55" s="6">
        <f t="shared" ref="E55:E66" si="11">(C55/B55)*D55</f>
        <v>26064.516129032254</v>
      </c>
      <c r="H55" s="20">
        <f t="shared" si="7"/>
        <v>233860.21505376342</v>
      </c>
      <c r="I55" s="26"/>
      <c r="J55" s="20">
        <f t="shared" si="8"/>
        <v>462.36559139784936</v>
      </c>
      <c r="K55" s="20">
        <f t="shared" si="4"/>
        <v>233021.50537634405</v>
      </c>
      <c r="M55" s="20">
        <f t="shared" si="4"/>
        <v>177258.064516129</v>
      </c>
      <c r="O55" s="20">
        <f t="shared" ref="O55" si="12">O23*$E55</f>
        <v>412322.58064516122</v>
      </c>
      <c r="R55" s="20">
        <f t="shared" si="6"/>
        <v>4387.0967741935483</v>
      </c>
      <c r="T55" s="20">
        <f t="shared" si="6"/>
        <v>168086.02150537632</v>
      </c>
      <c r="W55" s="6">
        <f t="shared" si="10"/>
        <v>0</v>
      </c>
    </row>
    <row r="56" spans="1:23" s="6" customFormat="1" x14ac:dyDescent="0.25">
      <c r="A56" s="10">
        <v>19</v>
      </c>
      <c r="B56" s="1">
        <v>2860000</v>
      </c>
      <c r="C56">
        <v>83279</v>
      </c>
      <c r="D56" s="6">
        <v>250000</v>
      </c>
      <c r="E56" s="6">
        <f t="shared" si="11"/>
        <v>7279.6328671328674</v>
      </c>
      <c r="H56" s="20">
        <f t="shared" si="7"/>
        <v>72770.979020979023</v>
      </c>
      <c r="I56" s="26"/>
      <c r="J56" s="20">
        <f t="shared" si="8"/>
        <v>46005.244755244756</v>
      </c>
      <c r="K56" s="20">
        <f t="shared" si="4"/>
        <v>26153.846153846152</v>
      </c>
      <c r="M56" s="20">
        <f t="shared" si="4"/>
        <v>49414.335664335667</v>
      </c>
      <c r="O56" s="20">
        <f t="shared" ref="O56" si="13">O24*$E56</f>
        <v>93330.419580419592</v>
      </c>
      <c r="R56" s="20">
        <f t="shared" si="6"/>
        <v>3059.4405594405598</v>
      </c>
      <c r="T56" s="20">
        <f t="shared" si="6"/>
        <v>94825.174825174836</v>
      </c>
      <c r="W56" s="6">
        <f t="shared" si="10"/>
        <v>0</v>
      </c>
    </row>
    <row r="57" spans="1:23" s="6" customFormat="1" x14ac:dyDescent="0.25">
      <c r="A57" s="10">
        <v>20</v>
      </c>
      <c r="B57" s="1">
        <v>1550000</v>
      </c>
      <c r="C57">
        <v>172213</v>
      </c>
      <c r="D57" s="6">
        <v>266666.66666666663</v>
      </c>
      <c r="E57" s="6">
        <f t="shared" si="11"/>
        <v>29628.043010752684</v>
      </c>
      <c r="H57" s="20">
        <f t="shared" si="7"/>
        <v>221092.47311827957</v>
      </c>
      <c r="I57" s="26"/>
      <c r="J57" s="20">
        <f t="shared" si="8"/>
        <v>148645.16129032255</v>
      </c>
      <c r="K57" s="20">
        <f t="shared" si="4"/>
        <v>70967.741935483864</v>
      </c>
      <c r="M57" s="20">
        <f t="shared" si="4"/>
        <v>399810.75268817204</v>
      </c>
      <c r="O57" s="20">
        <f t="shared" ref="O57" si="14">O25*$E57</f>
        <v>244008.6021505376</v>
      </c>
      <c r="R57" s="20">
        <f t="shared" si="6"/>
        <v>4662.3655913978482</v>
      </c>
      <c r="T57" s="20">
        <f t="shared" si="6"/>
        <v>135208.6021505376</v>
      </c>
      <c r="W57" s="6">
        <f t="shared" si="10"/>
        <v>0</v>
      </c>
    </row>
    <row r="58" spans="1:23" s="6" customFormat="1" x14ac:dyDescent="0.25">
      <c r="A58" s="10">
        <v>21</v>
      </c>
      <c r="B58" s="1">
        <v>2150000</v>
      </c>
      <c r="C58">
        <v>237112</v>
      </c>
      <c r="D58" s="6">
        <v>300000</v>
      </c>
      <c r="E58" s="6">
        <f t="shared" si="11"/>
        <v>33085.395348837206</v>
      </c>
      <c r="H58" s="20">
        <f t="shared" si="7"/>
        <v>297279.06976744183</v>
      </c>
      <c r="I58" s="26"/>
      <c r="J58" s="20">
        <f t="shared" si="8"/>
        <v>200734.8837209302</v>
      </c>
      <c r="K58" s="20">
        <f t="shared" si="4"/>
        <v>94632.558139534871</v>
      </c>
      <c r="M58" s="20">
        <f>M26*$E58</f>
        <v>132460.46511627905</v>
      </c>
      <c r="O58" s="20">
        <f>O26*$E58</f>
        <v>258600</v>
      </c>
      <c r="R58" s="20">
        <f>R26*$E58</f>
        <v>15223.255813953487</v>
      </c>
      <c r="T58" s="20">
        <f>T26*$E58</f>
        <v>406269.7674418604</v>
      </c>
      <c r="W58" s="6">
        <f t="shared" si="10"/>
        <v>0</v>
      </c>
    </row>
    <row r="59" spans="1:23" s="6" customFormat="1" x14ac:dyDescent="0.25">
      <c r="A59" s="10">
        <v>22</v>
      </c>
      <c r="B59" s="1">
        <v>3730000</v>
      </c>
      <c r="C59">
        <v>348392</v>
      </c>
      <c r="D59" s="6">
        <v>450000</v>
      </c>
      <c r="E59" s="6">
        <f t="shared" si="11"/>
        <v>42031.206434316351</v>
      </c>
      <c r="H59" s="20">
        <f t="shared" si="7"/>
        <v>299388.73994638067</v>
      </c>
      <c r="I59" s="26"/>
      <c r="J59" s="20">
        <f t="shared" si="8"/>
        <v>222599.19571045574</v>
      </c>
      <c r="K59" s="20">
        <f t="shared" si="4"/>
        <v>75004.02144772117</v>
      </c>
      <c r="M59" s="20">
        <f t="shared" si="4"/>
        <v>440770.77747989277</v>
      </c>
      <c r="O59" s="20">
        <f t="shared" ref="O59" si="15">O27*$E59</f>
        <v>270965.14745308307</v>
      </c>
      <c r="R59" s="20">
        <f t="shared" si="6"/>
        <v>22500</v>
      </c>
      <c r="T59" s="20">
        <f t="shared" si="6"/>
        <v>266187.66756032169</v>
      </c>
      <c r="W59" s="6">
        <f t="shared" si="10"/>
        <v>0</v>
      </c>
    </row>
    <row r="60" spans="1:23" s="6" customFormat="1" x14ac:dyDescent="0.25">
      <c r="A60" s="10">
        <v>23</v>
      </c>
      <c r="B60" s="1">
        <v>4000000</v>
      </c>
      <c r="C60">
        <v>319358</v>
      </c>
      <c r="D60" s="6">
        <v>450000</v>
      </c>
      <c r="E60" s="6">
        <f t="shared" si="11"/>
        <v>35927.774999999994</v>
      </c>
      <c r="H60" s="20">
        <f t="shared" si="7"/>
        <v>437737.49999999994</v>
      </c>
      <c r="I60" s="26"/>
      <c r="J60" s="20">
        <f t="shared" si="8"/>
        <v>355038.74999999994</v>
      </c>
      <c r="K60" s="20">
        <f t="shared" si="4"/>
        <v>80730</v>
      </c>
      <c r="M60" s="20">
        <f t="shared" si="4"/>
        <v>398317.49999999994</v>
      </c>
      <c r="O60" s="20">
        <f t="shared" ref="O60" si="16">O28*$E60</f>
        <v>597656.25</v>
      </c>
      <c r="R60" s="20">
        <f t="shared" si="6"/>
        <v>14321.249999999998</v>
      </c>
      <c r="T60" s="20">
        <f t="shared" si="6"/>
        <v>498251.24999999988</v>
      </c>
      <c r="W60" s="6">
        <f t="shared" si="10"/>
        <v>0</v>
      </c>
    </row>
    <row r="61" spans="1:23" s="6" customFormat="1" x14ac:dyDescent="0.25">
      <c r="A61" s="10">
        <v>24</v>
      </c>
      <c r="B61" s="1">
        <v>3950000</v>
      </c>
      <c r="C61">
        <v>228408</v>
      </c>
      <c r="D61" s="6">
        <v>250000</v>
      </c>
      <c r="E61" s="6">
        <f t="shared" si="11"/>
        <v>14456.202531645569</v>
      </c>
      <c r="H61" s="20">
        <f t="shared" si="7"/>
        <v>128518.98734177215</v>
      </c>
      <c r="I61" s="26"/>
      <c r="J61" s="20">
        <f t="shared" si="8"/>
        <v>106886.07594936709</v>
      </c>
      <c r="K61" s="20">
        <f t="shared" si="4"/>
        <v>20848.101265822785</v>
      </c>
      <c r="M61" s="20">
        <f t="shared" si="4"/>
        <v>176626.58227848099</v>
      </c>
      <c r="O61" s="20">
        <f t="shared" ref="O61" si="17">O29*$E61</f>
        <v>123405.06329113923</v>
      </c>
      <c r="R61" s="20">
        <f t="shared" si="6"/>
        <v>5481.0126582278472</v>
      </c>
      <c r="T61" s="20">
        <f t="shared" si="6"/>
        <v>80335.443037974677</v>
      </c>
      <c r="W61" s="6">
        <f t="shared" si="10"/>
        <v>0</v>
      </c>
    </row>
    <row r="62" spans="1:23" s="6" customFormat="1" x14ac:dyDescent="0.25">
      <c r="A62" s="10">
        <v>25</v>
      </c>
      <c r="B62" s="1">
        <v>3630000</v>
      </c>
      <c r="C62">
        <v>342338</v>
      </c>
      <c r="D62" s="6">
        <v>433333.33333333331</v>
      </c>
      <c r="E62" s="6">
        <f t="shared" si="11"/>
        <v>40866.795224977039</v>
      </c>
      <c r="H62" s="20">
        <f t="shared" si="7"/>
        <v>258519.74288337922</v>
      </c>
      <c r="I62" s="26"/>
      <c r="J62" s="20">
        <f t="shared" si="8"/>
        <v>146533.51698806245</v>
      </c>
      <c r="K62" s="20">
        <f t="shared" si="4"/>
        <v>109801.65289256198</v>
      </c>
      <c r="M62" s="20">
        <f t="shared" si="4"/>
        <v>303763.08539944905</v>
      </c>
      <c r="O62" s="20">
        <f t="shared" ref="O62" si="18">O30*$E62</f>
        <v>332413.22314049583</v>
      </c>
      <c r="R62" s="20">
        <f t="shared" si="6"/>
        <v>14504.132231404958</v>
      </c>
      <c r="T62" s="20">
        <f t="shared" si="6"/>
        <v>374385.67493112944</v>
      </c>
      <c r="W62" s="6">
        <f t="shared" si="10"/>
        <v>0</v>
      </c>
    </row>
    <row r="63" spans="1:23" s="6" customFormat="1" x14ac:dyDescent="0.25">
      <c r="A63" s="10">
        <v>26</v>
      </c>
      <c r="B63" s="1">
        <v>4000000</v>
      </c>
      <c r="C63" s="1">
        <v>482000</v>
      </c>
      <c r="D63" s="6">
        <v>766666.66666666674</v>
      </c>
      <c r="E63" s="6">
        <f t="shared" si="11"/>
        <v>92383.333333333343</v>
      </c>
      <c r="H63" s="20">
        <f t="shared" si="7"/>
        <v>1878180</v>
      </c>
      <c r="I63" s="26"/>
      <c r="J63" s="20">
        <f t="shared" si="8"/>
        <v>1757085.0000000002</v>
      </c>
      <c r="K63" s="20">
        <f t="shared" si="4"/>
        <v>114693.33333333334</v>
      </c>
      <c r="M63" s="20">
        <f t="shared" si="4"/>
        <v>2204128.3333333335</v>
      </c>
      <c r="O63" s="20">
        <f t="shared" ref="O63" si="19">O31*$E63</f>
        <v>893665</v>
      </c>
      <c r="R63" s="20">
        <f t="shared" si="6"/>
        <v>12707.500000000002</v>
      </c>
      <c r="T63" s="20">
        <f t="shared" si="6"/>
        <v>1376358.3333333335</v>
      </c>
      <c r="W63" s="6">
        <f t="shared" si="10"/>
        <v>0</v>
      </c>
    </row>
    <row r="64" spans="1:23" s="6" customFormat="1" x14ac:dyDescent="0.25">
      <c r="A64" s="10">
        <v>27</v>
      </c>
      <c r="B64" s="1">
        <v>3380000</v>
      </c>
      <c r="C64">
        <v>234335</v>
      </c>
      <c r="D64" s="6">
        <v>566666.66666666674</v>
      </c>
      <c r="E64" s="6">
        <f t="shared" si="11"/>
        <v>39286.932938856022</v>
      </c>
      <c r="H64" s="20">
        <f t="shared" si="7"/>
        <v>321206.11439842219</v>
      </c>
      <c r="I64" s="26"/>
      <c r="J64" s="20">
        <f t="shared" si="8"/>
        <v>238419.13214990142</v>
      </c>
      <c r="K64" s="20">
        <f t="shared" si="4"/>
        <v>81361.932938856015</v>
      </c>
      <c r="M64" s="20">
        <f t="shared" si="4"/>
        <v>236021.69625246551</v>
      </c>
      <c r="O64" s="20">
        <f t="shared" ref="O64" si="20">O32*$E64</f>
        <v>291380.67061143985</v>
      </c>
      <c r="R64" s="20">
        <f t="shared" si="6"/>
        <v>16279.092702169628</v>
      </c>
      <c r="T64" s="20">
        <f t="shared" si="6"/>
        <v>292939.84220907302</v>
      </c>
      <c r="W64" s="6">
        <f t="shared" si="10"/>
        <v>0</v>
      </c>
    </row>
    <row r="65" spans="1:23" s="6" customFormat="1" x14ac:dyDescent="0.25">
      <c r="A65" s="10">
        <v>28</v>
      </c>
      <c r="B65" s="1">
        <v>1560000</v>
      </c>
      <c r="C65">
        <v>115787</v>
      </c>
      <c r="D65" s="6">
        <v>250000</v>
      </c>
      <c r="E65" s="6">
        <f t="shared" si="11"/>
        <v>18555.608974358973</v>
      </c>
      <c r="H65" s="20">
        <f>H33*$E65</f>
        <v>203942.30769230769</v>
      </c>
      <c r="I65" s="26"/>
      <c r="J65" s="20">
        <f t="shared" si="8"/>
        <v>176009.61538461538</v>
      </c>
      <c r="K65" s="20">
        <f t="shared" si="4"/>
        <v>27067.307692307691</v>
      </c>
      <c r="M65" s="20">
        <f t="shared" si="4"/>
        <v>462003.20512820507</v>
      </c>
      <c r="O65" s="20">
        <f t="shared" ref="O65" si="21">O33*$E65</f>
        <v>296282.05128205125</v>
      </c>
      <c r="R65" s="20">
        <f t="shared" si="6"/>
        <v>3092.9487179487178</v>
      </c>
      <c r="T65" s="20">
        <f t="shared" si="6"/>
        <v>257980.76923076919</v>
      </c>
      <c r="W65" s="6">
        <f t="shared" si="10"/>
        <v>0</v>
      </c>
    </row>
    <row r="66" spans="1:23" s="6" customFormat="1" x14ac:dyDescent="0.25">
      <c r="A66" s="10">
        <v>29</v>
      </c>
      <c r="B66" s="1">
        <v>3420000</v>
      </c>
      <c r="C66">
        <v>220312</v>
      </c>
      <c r="D66" s="6">
        <v>266666.66666666663</v>
      </c>
      <c r="E66" s="6">
        <f t="shared" si="11"/>
        <v>17178.323586744638</v>
      </c>
      <c r="H66" s="20">
        <f t="shared" si="7"/>
        <v>142604.28849902534</v>
      </c>
      <c r="I66" s="26"/>
      <c r="J66" s="20">
        <f>J34*$E66</f>
        <v>98962.962962962964</v>
      </c>
      <c r="K66" s="20">
        <f t="shared" si="4"/>
        <v>42729.044834307992</v>
      </c>
      <c r="M66" s="20">
        <f t="shared" si="4"/>
        <v>155578.94736842104</v>
      </c>
      <c r="O66" s="20">
        <f t="shared" ref="O66" si="22">O34*$E66</f>
        <v>122588.693957115</v>
      </c>
      <c r="R66" s="20">
        <f t="shared" si="6"/>
        <v>5356.7251461988299</v>
      </c>
      <c r="T66" s="20">
        <f t="shared" si="6"/>
        <v>180654.97076023393</v>
      </c>
      <c r="W66" s="6">
        <f>W34*$E66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B8A5-8049-244E-A882-D774E650B650}">
  <dimension ref="A1:AD71"/>
  <sheetViews>
    <sheetView topLeftCell="A37" workbookViewId="0">
      <selection activeCell="A56" sqref="A56"/>
    </sheetView>
  </sheetViews>
  <sheetFormatPr defaultColWidth="11" defaultRowHeight="15.75" x14ac:dyDescent="0.25"/>
  <cols>
    <col min="1" max="1" width="49.875" bestFit="1" customWidth="1"/>
    <col min="3" max="3" width="18.375" bestFit="1" customWidth="1"/>
    <col min="4" max="4" width="28.5" bestFit="1" customWidth="1"/>
    <col min="5" max="5" width="36.875" bestFit="1" customWidth="1"/>
  </cols>
  <sheetData>
    <row r="1" spans="1:21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295</v>
      </c>
      <c r="H1" t="s">
        <v>296</v>
      </c>
      <c r="I1" t="s">
        <v>297</v>
      </c>
      <c r="J1" t="s">
        <v>298</v>
      </c>
      <c r="K1" t="s">
        <v>299</v>
      </c>
      <c r="L1" t="s">
        <v>300</v>
      </c>
      <c r="M1" t="s">
        <v>337</v>
      </c>
      <c r="N1" t="s">
        <v>302</v>
      </c>
      <c r="O1" t="s">
        <v>303</v>
      </c>
      <c r="P1" t="s">
        <v>304</v>
      </c>
      <c r="Q1" t="s">
        <v>305</v>
      </c>
      <c r="R1" t="s">
        <v>306</v>
      </c>
      <c r="S1" t="s">
        <v>307</v>
      </c>
      <c r="T1" t="s">
        <v>308</v>
      </c>
      <c r="U1" t="s">
        <v>309</v>
      </c>
    </row>
    <row r="3" spans="1:21" x14ac:dyDescent="0.25">
      <c r="A3" t="s">
        <v>338</v>
      </c>
      <c r="B3" s="1">
        <v>2440000</v>
      </c>
      <c r="C3" s="1">
        <v>746000</v>
      </c>
      <c r="D3" s="1">
        <v>533000</v>
      </c>
      <c r="E3">
        <v>313957</v>
      </c>
      <c r="F3">
        <v>291660</v>
      </c>
      <c r="G3">
        <v>104256</v>
      </c>
      <c r="H3">
        <v>28665</v>
      </c>
      <c r="I3" s="28">
        <v>1170000</v>
      </c>
      <c r="J3">
        <v>27807</v>
      </c>
      <c r="K3">
        <v>806</v>
      </c>
      <c r="L3">
        <v>50179</v>
      </c>
      <c r="M3">
        <v>43906</v>
      </c>
      <c r="N3">
        <v>28372</v>
      </c>
      <c r="O3">
        <v>23536</v>
      </c>
      <c r="P3">
        <v>183387</v>
      </c>
      <c r="Q3">
        <v>22979</v>
      </c>
      <c r="R3">
        <v>836</v>
      </c>
      <c r="S3">
        <v>286545</v>
      </c>
      <c r="T3">
        <v>63689</v>
      </c>
      <c r="U3">
        <v>361</v>
      </c>
    </row>
    <row r="4" spans="1:21" x14ac:dyDescent="0.25">
      <c r="A4" t="s">
        <v>339</v>
      </c>
      <c r="B4" s="1">
        <v>3340000</v>
      </c>
      <c r="C4" s="1">
        <v>732000</v>
      </c>
      <c r="D4" s="1">
        <v>505000</v>
      </c>
      <c r="E4">
        <v>274407</v>
      </c>
      <c r="F4">
        <v>247415</v>
      </c>
      <c r="G4">
        <v>57343</v>
      </c>
      <c r="H4">
        <v>34745</v>
      </c>
      <c r="I4" s="27">
        <v>161825</v>
      </c>
      <c r="J4">
        <v>20466</v>
      </c>
      <c r="K4">
        <v>13911</v>
      </c>
      <c r="L4">
        <v>17677</v>
      </c>
      <c r="M4">
        <v>11934</v>
      </c>
      <c r="N4">
        <v>32058</v>
      </c>
      <c r="O4">
        <v>25250</v>
      </c>
      <c r="P4">
        <v>189248</v>
      </c>
      <c r="Q4">
        <v>8872</v>
      </c>
      <c r="R4">
        <v>1359</v>
      </c>
      <c r="S4">
        <v>245604</v>
      </c>
      <c r="T4">
        <v>28807</v>
      </c>
      <c r="U4">
        <v>3907</v>
      </c>
    </row>
    <row r="5" spans="1:21" x14ac:dyDescent="0.25">
      <c r="A5" t="s">
        <v>340</v>
      </c>
      <c r="B5" s="1">
        <v>3320000</v>
      </c>
      <c r="C5" s="1">
        <v>801000</v>
      </c>
      <c r="D5" s="1">
        <v>548000</v>
      </c>
      <c r="E5">
        <v>330895</v>
      </c>
      <c r="F5">
        <v>299056</v>
      </c>
      <c r="G5">
        <v>73859</v>
      </c>
      <c r="H5">
        <v>33806</v>
      </c>
      <c r="I5" s="27">
        <v>160792</v>
      </c>
      <c r="J5">
        <v>20791</v>
      </c>
      <c r="K5">
        <v>12619</v>
      </c>
      <c r="L5">
        <v>24469</v>
      </c>
      <c r="M5">
        <v>15507</v>
      </c>
      <c r="N5">
        <v>45660</v>
      </c>
      <c r="O5">
        <v>23096</v>
      </c>
      <c r="P5">
        <v>222713</v>
      </c>
      <c r="Q5">
        <v>15207</v>
      </c>
      <c r="R5">
        <v>2799</v>
      </c>
      <c r="S5">
        <v>292532</v>
      </c>
      <c r="T5">
        <v>51141</v>
      </c>
      <c r="U5">
        <v>5608</v>
      </c>
    </row>
    <row r="6" spans="1:21" x14ac:dyDescent="0.25">
      <c r="A6" t="s">
        <v>341</v>
      </c>
      <c r="B6" s="1">
        <v>3190000</v>
      </c>
      <c r="C6" s="1">
        <v>819000</v>
      </c>
      <c r="D6" s="1">
        <v>560000</v>
      </c>
      <c r="E6">
        <v>368875</v>
      </c>
      <c r="F6">
        <v>342284</v>
      </c>
      <c r="G6">
        <v>116482</v>
      </c>
      <c r="H6">
        <v>67287</v>
      </c>
      <c r="I6" s="27">
        <v>2736</v>
      </c>
      <c r="J6">
        <v>826</v>
      </c>
      <c r="K6">
        <v>66081</v>
      </c>
      <c r="L6">
        <v>55727</v>
      </c>
      <c r="M6">
        <v>23348</v>
      </c>
      <c r="N6">
        <v>96234</v>
      </c>
      <c r="O6">
        <v>80893</v>
      </c>
      <c r="P6">
        <v>222121</v>
      </c>
      <c r="Q6">
        <v>37141</v>
      </c>
      <c r="R6">
        <v>802</v>
      </c>
      <c r="S6">
        <v>285106</v>
      </c>
      <c r="T6">
        <v>62902</v>
      </c>
      <c r="U6">
        <v>516</v>
      </c>
    </row>
    <row r="7" spans="1:21" x14ac:dyDescent="0.25">
      <c r="A7" t="s">
        <v>342</v>
      </c>
      <c r="B7" s="1">
        <v>4000000</v>
      </c>
      <c r="C7" s="1">
        <v>1290000</v>
      </c>
      <c r="D7" s="1">
        <v>877000</v>
      </c>
      <c r="E7" s="1">
        <v>583000</v>
      </c>
      <c r="F7" s="1">
        <v>456000</v>
      </c>
      <c r="G7">
        <v>189474</v>
      </c>
      <c r="H7">
        <v>50159</v>
      </c>
      <c r="I7" s="28">
        <v>587000</v>
      </c>
      <c r="J7">
        <v>46889</v>
      </c>
      <c r="K7">
        <v>2967</v>
      </c>
      <c r="L7">
        <v>97409</v>
      </c>
      <c r="M7">
        <v>73908</v>
      </c>
      <c r="N7">
        <v>31147</v>
      </c>
      <c r="O7">
        <v>21050</v>
      </c>
      <c r="P7">
        <v>260092</v>
      </c>
      <c r="Q7">
        <v>41090</v>
      </c>
      <c r="R7">
        <v>1009</v>
      </c>
      <c r="S7" s="1">
        <v>453000</v>
      </c>
      <c r="T7">
        <v>103215</v>
      </c>
      <c r="U7">
        <v>20454</v>
      </c>
    </row>
    <row r="8" spans="1:21" x14ac:dyDescent="0.25">
      <c r="A8" t="s">
        <v>343</v>
      </c>
      <c r="B8" s="1">
        <v>2120000</v>
      </c>
      <c r="C8" s="1">
        <v>456000</v>
      </c>
      <c r="D8">
        <v>336675</v>
      </c>
      <c r="E8">
        <v>210951</v>
      </c>
      <c r="F8">
        <v>188143</v>
      </c>
      <c r="G8">
        <v>72706</v>
      </c>
      <c r="H8">
        <v>21879</v>
      </c>
      <c r="I8" s="28">
        <v>646000</v>
      </c>
      <c r="J8">
        <v>19019</v>
      </c>
      <c r="K8">
        <v>2733</v>
      </c>
      <c r="L8">
        <v>35514</v>
      </c>
      <c r="M8">
        <v>26420</v>
      </c>
      <c r="N8">
        <v>32393</v>
      </c>
      <c r="O8">
        <v>17933</v>
      </c>
      <c r="P8">
        <v>114088</v>
      </c>
      <c r="Q8">
        <v>9658</v>
      </c>
      <c r="R8">
        <v>639</v>
      </c>
      <c r="S8">
        <v>182115</v>
      </c>
      <c r="T8">
        <v>37809</v>
      </c>
      <c r="U8">
        <v>1191</v>
      </c>
    </row>
    <row r="9" spans="1:21" x14ac:dyDescent="0.25">
      <c r="A9" t="s">
        <v>344</v>
      </c>
      <c r="B9" s="1">
        <v>2970000</v>
      </c>
      <c r="C9" s="1">
        <v>469000</v>
      </c>
      <c r="D9">
        <v>286168</v>
      </c>
      <c r="E9">
        <v>146129</v>
      </c>
      <c r="F9">
        <v>122029</v>
      </c>
      <c r="G9">
        <v>31972</v>
      </c>
      <c r="H9">
        <v>13122</v>
      </c>
      <c r="I9" s="27">
        <v>279685</v>
      </c>
      <c r="J9">
        <v>9581</v>
      </c>
      <c r="K9">
        <v>3419</v>
      </c>
      <c r="L9">
        <v>12486</v>
      </c>
      <c r="M9">
        <v>8722</v>
      </c>
      <c r="N9">
        <v>15499</v>
      </c>
      <c r="O9">
        <v>10199</v>
      </c>
      <c r="P9">
        <v>89512</v>
      </c>
      <c r="Q9">
        <v>5918</v>
      </c>
      <c r="R9">
        <v>1112</v>
      </c>
      <c r="S9">
        <v>118286</v>
      </c>
      <c r="T9">
        <v>19547</v>
      </c>
      <c r="U9">
        <v>2502</v>
      </c>
    </row>
    <row r="10" spans="1:21" x14ac:dyDescent="0.25">
      <c r="A10" t="s">
        <v>345</v>
      </c>
      <c r="B10" s="1">
        <v>3480000</v>
      </c>
      <c r="C10" s="1">
        <v>623000</v>
      </c>
      <c r="D10" s="1">
        <v>413000</v>
      </c>
      <c r="E10">
        <v>271351</v>
      </c>
      <c r="F10">
        <v>239523</v>
      </c>
      <c r="G10">
        <v>59001</v>
      </c>
      <c r="H10">
        <v>15884</v>
      </c>
      <c r="I10" s="27">
        <v>143328</v>
      </c>
      <c r="J10">
        <v>9558</v>
      </c>
      <c r="K10">
        <v>6157</v>
      </c>
      <c r="L10">
        <v>15420</v>
      </c>
      <c r="M10">
        <v>11224</v>
      </c>
      <c r="N10">
        <v>32763</v>
      </c>
      <c r="O10">
        <v>22507</v>
      </c>
      <c r="P10">
        <v>178623</v>
      </c>
      <c r="Q10">
        <v>8726</v>
      </c>
      <c r="R10">
        <v>1587</v>
      </c>
      <c r="S10">
        <v>237864</v>
      </c>
      <c r="T10">
        <v>39008</v>
      </c>
      <c r="U10">
        <v>381</v>
      </c>
    </row>
    <row r="11" spans="1:21" x14ac:dyDescent="0.25">
      <c r="A11" t="s">
        <v>346</v>
      </c>
      <c r="B11" s="1">
        <v>2570000</v>
      </c>
      <c r="C11" s="1">
        <v>422000</v>
      </c>
      <c r="D11">
        <v>292097</v>
      </c>
      <c r="E11">
        <v>166845</v>
      </c>
      <c r="F11">
        <v>149293</v>
      </c>
      <c r="G11">
        <v>51843</v>
      </c>
      <c r="H11">
        <v>15058</v>
      </c>
      <c r="I11" s="28">
        <v>821000</v>
      </c>
      <c r="J11">
        <v>14030</v>
      </c>
      <c r="K11">
        <v>956</v>
      </c>
      <c r="L11">
        <v>21265</v>
      </c>
      <c r="M11">
        <v>19151</v>
      </c>
      <c r="N11">
        <v>13838</v>
      </c>
      <c r="O11">
        <v>11970</v>
      </c>
      <c r="P11">
        <v>96110</v>
      </c>
      <c r="Q11">
        <v>13147</v>
      </c>
      <c r="R11">
        <v>734</v>
      </c>
      <c r="S11">
        <v>147334</v>
      </c>
      <c r="T11">
        <v>28705</v>
      </c>
      <c r="U11">
        <v>238</v>
      </c>
    </row>
    <row r="12" spans="1:21" x14ac:dyDescent="0.25">
      <c r="A12" t="s">
        <v>347</v>
      </c>
      <c r="B12" s="1">
        <v>3410000</v>
      </c>
      <c r="C12" s="1">
        <v>653000</v>
      </c>
      <c r="D12" s="1">
        <v>455000</v>
      </c>
      <c r="E12">
        <v>287970</v>
      </c>
      <c r="F12">
        <v>262590</v>
      </c>
      <c r="G12">
        <v>64038</v>
      </c>
      <c r="H12">
        <v>18841</v>
      </c>
      <c r="I12" s="28">
        <v>542000</v>
      </c>
      <c r="J12">
        <v>17111</v>
      </c>
      <c r="K12">
        <v>1617</v>
      </c>
      <c r="L12">
        <v>21092</v>
      </c>
      <c r="M12">
        <v>16649</v>
      </c>
      <c r="N12">
        <v>27743</v>
      </c>
      <c r="O12">
        <v>16773</v>
      </c>
      <c r="P12">
        <v>195654</v>
      </c>
      <c r="Q12">
        <v>10912</v>
      </c>
      <c r="R12">
        <v>1372</v>
      </c>
      <c r="S12">
        <v>258558</v>
      </c>
      <c r="T12">
        <v>41222</v>
      </c>
      <c r="U12">
        <v>370</v>
      </c>
    </row>
    <row r="13" spans="1:21" x14ac:dyDescent="0.25">
      <c r="A13" t="s">
        <v>348</v>
      </c>
      <c r="B13" s="1">
        <v>557000</v>
      </c>
      <c r="C13">
        <v>117943</v>
      </c>
      <c r="D13">
        <v>87954</v>
      </c>
      <c r="E13">
        <v>50939</v>
      </c>
      <c r="F13">
        <v>43270</v>
      </c>
      <c r="G13">
        <v>16538</v>
      </c>
      <c r="H13">
        <v>5753</v>
      </c>
      <c r="I13" s="28">
        <v>875000</v>
      </c>
      <c r="J13">
        <v>5145</v>
      </c>
      <c r="K13">
        <v>582</v>
      </c>
      <c r="L13">
        <v>5932</v>
      </c>
      <c r="M13">
        <v>5205</v>
      </c>
      <c r="N13">
        <v>5610</v>
      </c>
      <c r="O13">
        <v>3677</v>
      </c>
      <c r="P13">
        <v>26252</v>
      </c>
      <c r="Q13">
        <v>2765</v>
      </c>
      <c r="R13">
        <v>235</v>
      </c>
      <c r="S13">
        <v>40482</v>
      </c>
      <c r="T13">
        <v>8493</v>
      </c>
      <c r="U13">
        <v>883</v>
      </c>
    </row>
    <row r="14" spans="1:21" x14ac:dyDescent="0.25">
      <c r="A14" t="s">
        <v>349</v>
      </c>
      <c r="B14" s="1">
        <v>3630000</v>
      </c>
      <c r="C14" s="1">
        <v>566000</v>
      </c>
      <c r="D14">
        <v>375544</v>
      </c>
      <c r="E14">
        <v>250239</v>
      </c>
      <c r="F14">
        <v>222125</v>
      </c>
      <c r="G14">
        <v>95747</v>
      </c>
      <c r="H14">
        <v>15761</v>
      </c>
      <c r="I14" s="28">
        <v>1320000</v>
      </c>
      <c r="J14">
        <v>14316</v>
      </c>
      <c r="K14">
        <v>1376</v>
      </c>
      <c r="L14">
        <v>34573</v>
      </c>
      <c r="M14">
        <v>25221</v>
      </c>
      <c r="N14">
        <v>41384</v>
      </c>
      <c r="O14">
        <v>22411</v>
      </c>
      <c r="P14">
        <v>121972</v>
      </c>
      <c r="Q14">
        <v>9326</v>
      </c>
      <c r="R14">
        <v>1370</v>
      </c>
      <c r="S14">
        <v>217286</v>
      </c>
      <c r="T14">
        <v>50719</v>
      </c>
      <c r="U14">
        <v>2425</v>
      </c>
    </row>
    <row r="15" spans="1:21" x14ac:dyDescent="0.25">
      <c r="A15" t="s">
        <v>350</v>
      </c>
      <c r="B15" s="1">
        <v>3540000</v>
      </c>
      <c r="C15" s="1">
        <v>679000</v>
      </c>
      <c r="D15" s="1">
        <v>424000</v>
      </c>
      <c r="E15">
        <v>267223</v>
      </c>
      <c r="F15">
        <v>231950</v>
      </c>
      <c r="G15">
        <v>53682</v>
      </c>
      <c r="H15">
        <v>23828</v>
      </c>
      <c r="I15" s="27">
        <v>242307</v>
      </c>
      <c r="J15">
        <v>16821</v>
      </c>
      <c r="K15">
        <v>6739</v>
      </c>
      <c r="L15">
        <v>20290</v>
      </c>
      <c r="M15">
        <v>12119</v>
      </c>
      <c r="N15">
        <v>24718</v>
      </c>
      <c r="O15">
        <v>19791</v>
      </c>
      <c r="P15">
        <v>177266</v>
      </c>
      <c r="Q15">
        <v>13444</v>
      </c>
      <c r="R15">
        <v>1342</v>
      </c>
      <c r="S15">
        <v>230289</v>
      </c>
      <c r="T15">
        <v>31200</v>
      </c>
      <c r="U15">
        <v>417</v>
      </c>
    </row>
    <row r="16" spans="1:21" x14ac:dyDescent="0.25">
      <c r="A16" t="s">
        <v>351</v>
      </c>
      <c r="B16" s="1">
        <v>3660000</v>
      </c>
      <c r="C16" s="1">
        <v>561000</v>
      </c>
      <c r="D16">
        <v>353807</v>
      </c>
      <c r="E16">
        <v>212516</v>
      </c>
      <c r="F16">
        <v>165875</v>
      </c>
      <c r="G16">
        <v>42851</v>
      </c>
      <c r="H16">
        <v>10580</v>
      </c>
      <c r="I16" s="27">
        <v>179912</v>
      </c>
      <c r="J16">
        <v>7567</v>
      </c>
      <c r="K16">
        <v>2871</v>
      </c>
      <c r="L16">
        <v>12721</v>
      </c>
      <c r="M16">
        <v>8864</v>
      </c>
      <c r="N16">
        <v>22609</v>
      </c>
      <c r="O16">
        <v>12522</v>
      </c>
      <c r="P16">
        <v>121604</v>
      </c>
      <c r="Q16">
        <v>7867</v>
      </c>
      <c r="R16">
        <v>1027</v>
      </c>
      <c r="S16">
        <v>162529</v>
      </c>
      <c r="T16">
        <v>30948</v>
      </c>
      <c r="U16">
        <v>1579</v>
      </c>
    </row>
    <row r="17" spans="1:30" x14ac:dyDescent="0.25">
      <c r="A17" t="s">
        <v>352</v>
      </c>
      <c r="B17" s="1">
        <v>3200000</v>
      </c>
      <c r="C17" s="1">
        <v>787000</v>
      </c>
      <c r="D17" s="1">
        <v>516000</v>
      </c>
      <c r="E17">
        <v>308996</v>
      </c>
      <c r="F17">
        <v>261252</v>
      </c>
      <c r="G17">
        <v>87068</v>
      </c>
      <c r="H17">
        <v>33042</v>
      </c>
      <c r="I17" s="28">
        <v>951000</v>
      </c>
      <c r="J17">
        <v>32029</v>
      </c>
      <c r="K17">
        <v>923</v>
      </c>
      <c r="L17">
        <v>33509</v>
      </c>
      <c r="M17">
        <v>21600</v>
      </c>
      <c r="N17">
        <v>47333</v>
      </c>
      <c r="O17">
        <v>34776</v>
      </c>
      <c r="P17">
        <v>170453</v>
      </c>
      <c r="Q17">
        <v>33833</v>
      </c>
      <c r="R17">
        <v>480</v>
      </c>
      <c r="S17">
        <v>224491</v>
      </c>
      <c r="T17">
        <v>65137</v>
      </c>
      <c r="U17">
        <v>799</v>
      </c>
    </row>
    <row r="18" spans="1:30" x14ac:dyDescent="0.25">
      <c r="B18" s="1" t="s">
        <v>70</v>
      </c>
      <c r="C18" s="1"/>
      <c r="D18" s="1" t="s">
        <v>324</v>
      </c>
      <c r="E18" t="s">
        <v>325</v>
      </c>
      <c r="F18" s="1" t="s">
        <v>326</v>
      </c>
      <c r="G18" s="1" t="s">
        <v>327</v>
      </c>
      <c r="H18" s="3" t="s">
        <v>328</v>
      </c>
      <c r="I18" s="28" t="s">
        <v>329</v>
      </c>
      <c r="J18" s="3" t="s">
        <v>330</v>
      </c>
      <c r="K18" s="3" t="s">
        <v>331</v>
      </c>
      <c r="M18" s="3" t="s">
        <v>17</v>
      </c>
      <c r="O18" s="3" t="s">
        <v>332</v>
      </c>
      <c r="R18" s="4" t="s">
        <v>333</v>
      </c>
      <c r="U18" s="4" t="s">
        <v>334</v>
      </c>
    </row>
    <row r="19" spans="1:30" x14ac:dyDescent="0.25">
      <c r="B19" s="1"/>
    </row>
    <row r="20" spans="1:30" s="7" customFormat="1" x14ac:dyDescent="0.25">
      <c r="A20" s="7" t="s">
        <v>85</v>
      </c>
      <c r="AC20" s="7" t="s">
        <v>242</v>
      </c>
      <c r="AD20" s="19">
        <v>2810000</v>
      </c>
    </row>
    <row r="21" spans="1:30" x14ac:dyDescent="0.25">
      <c r="B21" s="1" t="s">
        <v>70</v>
      </c>
      <c r="C21" s="1"/>
      <c r="D21" s="1" t="s">
        <v>324</v>
      </c>
      <c r="E21" t="s">
        <v>325</v>
      </c>
      <c r="F21" s="1" t="s">
        <v>326</v>
      </c>
      <c r="G21" s="1" t="s">
        <v>327</v>
      </c>
      <c r="H21" s="3" t="s">
        <v>328</v>
      </c>
      <c r="I21" s="24" t="s">
        <v>329</v>
      </c>
      <c r="J21" s="3" t="s">
        <v>330</v>
      </c>
      <c r="K21" s="3" t="s">
        <v>331</v>
      </c>
      <c r="M21" s="3" t="s">
        <v>17</v>
      </c>
      <c r="O21" s="3" t="s">
        <v>332</v>
      </c>
      <c r="R21" s="4" t="s">
        <v>333</v>
      </c>
      <c r="U21" s="4" t="s">
        <v>334</v>
      </c>
    </row>
    <row r="23" spans="1:30" x14ac:dyDescent="0.25">
      <c r="A23" s="7">
        <v>46</v>
      </c>
      <c r="F23" s="1">
        <f>100*F3/$E3</f>
        <v>92.898072028972123</v>
      </c>
      <c r="G23" s="1">
        <f t="shared" ref="G23:U23" si="0">100*G3/$E3</f>
        <v>33.207095239156956</v>
      </c>
      <c r="H23" s="1">
        <f t="shared" si="0"/>
        <v>9.1302312100064658</v>
      </c>
      <c r="I23" s="1"/>
      <c r="J23" s="1">
        <f t="shared" si="0"/>
        <v>8.8569453778702183</v>
      </c>
      <c r="K23" s="1">
        <f t="shared" si="0"/>
        <v>0.25672305443102084</v>
      </c>
      <c r="L23" s="1">
        <f t="shared" si="0"/>
        <v>15.98276197058833</v>
      </c>
      <c r="M23" s="1">
        <f t="shared" si="0"/>
        <v>13.98471765241737</v>
      </c>
      <c r="N23" s="1">
        <f t="shared" si="0"/>
        <v>9.0369063279366291</v>
      </c>
      <c r="O23" s="1">
        <f t="shared" si="0"/>
        <v>7.4965680013505036</v>
      </c>
      <c r="P23" s="1">
        <f t="shared" si="0"/>
        <v>58.411502212086369</v>
      </c>
      <c r="Q23" s="1">
        <f t="shared" si="0"/>
        <v>7.3191551709310509</v>
      </c>
      <c r="R23" s="1">
        <f t="shared" si="0"/>
        <v>0.26627850310711337</v>
      </c>
      <c r="S23" s="1">
        <f t="shared" si="0"/>
        <v>91.268868029698339</v>
      </c>
      <c r="T23" s="1">
        <f t="shared" si="0"/>
        <v>20.285899024388691</v>
      </c>
      <c r="U23" s="1">
        <f t="shared" si="0"/>
        <v>0.11498389906898078</v>
      </c>
      <c r="V23" s="1"/>
      <c r="W23" s="1"/>
    </row>
    <row r="24" spans="1:30" x14ac:dyDescent="0.25">
      <c r="A24" s="7">
        <v>47</v>
      </c>
      <c r="F24" s="1">
        <f t="shared" ref="F24:U37" si="1">100*F4/$E4</f>
        <v>90.163516236830688</v>
      </c>
      <c r="G24" s="1">
        <f t="shared" si="1"/>
        <v>20.897061663878837</v>
      </c>
      <c r="H24" s="1">
        <f t="shared" si="1"/>
        <v>12.661849005309632</v>
      </c>
      <c r="I24" s="1"/>
      <c r="J24" s="1">
        <f t="shared" si="1"/>
        <v>7.4582645486448964</v>
      </c>
      <c r="K24" s="1">
        <f t="shared" si="1"/>
        <v>5.0694770905990003</v>
      </c>
      <c r="L24" s="1">
        <f t="shared" si="1"/>
        <v>6.4418910596304029</v>
      </c>
      <c r="M24" s="1">
        <f t="shared" si="1"/>
        <v>4.3490144201860739</v>
      </c>
      <c r="N24" s="1">
        <f t="shared" si="1"/>
        <v>11.682646579715533</v>
      </c>
      <c r="O24" s="1">
        <f t="shared" si="1"/>
        <v>9.201660307499445</v>
      </c>
      <c r="P24" s="1">
        <f t="shared" si="1"/>
        <v>68.966170688065532</v>
      </c>
      <c r="Q24" s="1">
        <f t="shared" si="1"/>
        <v>3.2331536731934682</v>
      </c>
      <c r="R24" s="1">
        <f t="shared" si="1"/>
        <v>0.49524975674818789</v>
      </c>
      <c r="S24" s="1">
        <f t="shared" si="1"/>
        <v>89.503547650023506</v>
      </c>
      <c r="T24" s="1">
        <f t="shared" si="1"/>
        <v>10.497910038738079</v>
      </c>
      <c r="U24" s="1">
        <f t="shared" si="1"/>
        <v>1.4237974978772407</v>
      </c>
      <c r="V24" s="1"/>
      <c r="W24" s="1"/>
    </row>
    <row r="25" spans="1:30" x14ac:dyDescent="0.25">
      <c r="A25" s="7">
        <v>48</v>
      </c>
      <c r="F25" s="1">
        <f t="shared" si="1"/>
        <v>90.377914444159018</v>
      </c>
      <c r="G25" s="1">
        <f t="shared" si="1"/>
        <v>22.320977953731546</v>
      </c>
      <c r="H25" s="1">
        <f t="shared" si="1"/>
        <v>10.216533945813627</v>
      </c>
      <c r="I25" s="1"/>
      <c r="J25" s="1">
        <f t="shared" si="1"/>
        <v>6.2832620619834083</v>
      </c>
      <c r="K25" s="1">
        <f t="shared" si="1"/>
        <v>3.8135964580909354</v>
      </c>
      <c r="L25" s="1">
        <f t="shared" si="1"/>
        <v>7.3947929101376566</v>
      </c>
      <c r="M25" s="1">
        <f t="shared" si="1"/>
        <v>4.6863808761087355</v>
      </c>
      <c r="N25" s="1">
        <f t="shared" si="1"/>
        <v>13.798939240544584</v>
      </c>
      <c r="O25" s="1">
        <f t="shared" si="1"/>
        <v>6.9798576587739314</v>
      </c>
      <c r="P25" s="1">
        <f t="shared" si="1"/>
        <v>67.306245183517433</v>
      </c>
      <c r="Q25" s="1">
        <f t="shared" si="1"/>
        <v>4.5957176747910973</v>
      </c>
      <c r="R25" s="1">
        <f t="shared" si="1"/>
        <v>0.84588766829356743</v>
      </c>
      <c r="S25" s="1">
        <f t="shared" si="1"/>
        <v>88.406292026171442</v>
      </c>
      <c r="T25" s="1">
        <f t="shared" si="1"/>
        <v>15.455355928617839</v>
      </c>
      <c r="U25" s="1">
        <f t="shared" si="1"/>
        <v>1.6947974432977229</v>
      </c>
      <c r="V25" s="1"/>
      <c r="W25" s="1"/>
    </row>
    <row r="26" spans="1:30" x14ac:dyDescent="0.25">
      <c r="A26" s="7">
        <v>49</v>
      </c>
      <c r="F26" s="1">
        <f t="shared" si="1"/>
        <v>92.791324974584882</v>
      </c>
      <c r="G26" s="1">
        <f t="shared" si="1"/>
        <v>31.577634700101662</v>
      </c>
      <c r="H26" s="1">
        <f t="shared" si="1"/>
        <v>18.241138597085733</v>
      </c>
      <c r="I26" s="1"/>
      <c r="J26" s="1">
        <f t="shared" si="1"/>
        <v>0.22392409352761775</v>
      </c>
      <c r="K26" s="1">
        <f t="shared" si="1"/>
        <v>17.914198576753641</v>
      </c>
      <c r="L26" s="1">
        <f t="shared" si="1"/>
        <v>15.107285665875974</v>
      </c>
      <c r="M26" s="1">
        <f t="shared" si="1"/>
        <v>6.3295154185022025</v>
      </c>
      <c r="N26" s="1">
        <f t="shared" si="1"/>
        <v>26.08851236868858</v>
      </c>
      <c r="O26" s="1">
        <f t="shared" si="1"/>
        <v>21.929650965774314</v>
      </c>
      <c r="P26" s="1">
        <f t="shared" si="1"/>
        <v>60.215791257200948</v>
      </c>
      <c r="Q26" s="1">
        <f t="shared" si="1"/>
        <v>10.068722466960352</v>
      </c>
      <c r="R26" s="1">
        <f t="shared" si="1"/>
        <v>0.21741782446628261</v>
      </c>
      <c r="S26" s="1">
        <f t="shared" si="1"/>
        <v>77.290681125042354</v>
      </c>
      <c r="T26" s="1">
        <f t="shared" si="1"/>
        <v>17.052389020670958</v>
      </c>
      <c r="U26" s="1">
        <f t="shared" si="1"/>
        <v>0.13988478481870553</v>
      </c>
      <c r="V26" s="1"/>
      <c r="W26" s="1"/>
    </row>
    <row r="27" spans="1:30" x14ac:dyDescent="0.25">
      <c r="A27" s="7">
        <v>50</v>
      </c>
      <c r="F27" s="1">
        <f t="shared" si="1"/>
        <v>78.21612349914237</v>
      </c>
      <c r="G27" s="1">
        <f t="shared" si="1"/>
        <v>32.49982847341338</v>
      </c>
      <c r="H27" s="1">
        <f t="shared" si="1"/>
        <v>8.6036020583190389</v>
      </c>
      <c r="I27" s="1"/>
      <c r="J27" s="1">
        <f t="shared" si="1"/>
        <v>8.0427101200686106</v>
      </c>
      <c r="K27" s="1">
        <f t="shared" si="1"/>
        <v>0.50891938250428814</v>
      </c>
      <c r="L27" s="1">
        <f t="shared" si="1"/>
        <v>16.708233276157806</v>
      </c>
      <c r="M27" s="1">
        <f t="shared" si="1"/>
        <v>12.677186963979416</v>
      </c>
      <c r="N27" s="1">
        <f t="shared" si="1"/>
        <v>5.34253859348199</v>
      </c>
      <c r="O27" s="1">
        <f t="shared" si="1"/>
        <v>3.6106346483704974</v>
      </c>
      <c r="P27" s="1">
        <f t="shared" si="1"/>
        <v>44.612692967409949</v>
      </c>
      <c r="Q27" s="1">
        <f t="shared" si="1"/>
        <v>7.0480274442538597</v>
      </c>
      <c r="R27" s="1">
        <f t="shared" si="1"/>
        <v>0.17307032590051458</v>
      </c>
      <c r="S27" s="1">
        <f t="shared" si="1"/>
        <v>77.701543739279586</v>
      </c>
      <c r="T27" s="1">
        <f t="shared" si="1"/>
        <v>17.704116638078901</v>
      </c>
      <c r="U27" s="1">
        <f t="shared" si="1"/>
        <v>3.5084048027444252</v>
      </c>
      <c r="V27" s="1"/>
      <c r="W27" s="1"/>
    </row>
    <row r="28" spans="1:30" x14ac:dyDescent="0.25">
      <c r="A28" s="7">
        <v>51</v>
      </c>
      <c r="F28" s="1">
        <f t="shared" si="1"/>
        <v>89.188010485847428</v>
      </c>
      <c r="G28" s="1">
        <f t="shared" si="1"/>
        <v>34.465823816905349</v>
      </c>
      <c r="H28" s="1">
        <f t="shared" si="1"/>
        <v>10.371602884082085</v>
      </c>
      <c r="I28" s="1"/>
      <c r="J28" s="1">
        <f t="shared" si="1"/>
        <v>9.0158378011955378</v>
      </c>
      <c r="K28" s="1">
        <f t="shared" si="1"/>
        <v>1.29556152850662</v>
      </c>
      <c r="L28" s="1">
        <f t="shared" si="1"/>
        <v>16.835189214556934</v>
      </c>
      <c r="M28" s="1">
        <f t="shared" si="1"/>
        <v>12.524235485965935</v>
      </c>
      <c r="N28" s="1">
        <f t="shared" si="1"/>
        <v>15.355698716763609</v>
      </c>
      <c r="O28" s="1">
        <f t="shared" si="1"/>
        <v>8.5010263046868708</v>
      </c>
      <c r="P28" s="1">
        <f t="shared" si="1"/>
        <v>54.082701670056082</v>
      </c>
      <c r="Q28" s="1">
        <f t="shared" si="1"/>
        <v>4.5783143952861094</v>
      </c>
      <c r="R28" s="1">
        <f t="shared" si="1"/>
        <v>0.30291394684073553</v>
      </c>
      <c r="S28" s="1">
        <f t="shared" si="1"/>
        <v>86.330474849609629</v>
      </c>
      <c r="T28" s="1">
        <f t="shared" si="1"/>
        <v>17.923119587013097</v>
      </c>
      <c r="U28" s="1">
        <f t="shared" si="1"/>
        <v>0.56458608871254456</v>
      </c>
      <c r="V28" s="1"/>
      <c r="W28" s="1"/>
    </row>
    <row r="29" spans="1:30" x14ac:dyDescent="0.25">
      <c r="A29" s="7">
        <v>52</v>
      </c>
      <c r="F29" s="1">
        <f t="shared" si="1"/>
        <v>83.507722628636344</v>
      </c>
      <c r="G29" s="1">
        <f t="shared" si="1"/>
        <v>21.879298428101198</v>
      </c>
      <c r="H29" s="1">
        <f t="shared" si="1"/>
        <v>8.979737081619664</v>
      </c>
      <c r="I29" s="1"/>
      <c r="J29" s="1">
        <f t="shared" si="1"/>
        <v>6.5565356636944072</v>
      </c>
      <c r="K29" s="1">
        <f t="shared" si="1"/>
        <v>2.339713540775616</v>
      </c>
      <c r="L29" s="1">
        <f t="shared" si="1"/>
        <v>8.5445051974625166</v>
      </c>
      <c r="M29" s="1">
        <f t="shared" si="1"/>
        <v>5.968698889337503</v>
      </c>
      <c r="N29" s="1">
        <f t="shared" si="1"/>
        <v>10.606382032313915</v>
      </c>
      <c r="O29" s="1">
        <f t="shared" si="1"/>
        <v>6.9794496643376744</v>
      </c>
      <c r="P29" s="1">
        <f t="shared" si="1"/>
        <v>61.255466060809283</v>
      </c>
      <c r="Q29" s="1">
        <f t="shared" si="1"/>
        <v>4.0498463686195079</v>
      </c>
      <c r="R29" s="1">
        <f t="shared" si="1"/>
        <v>0.76097147041312818</v>
      </c>
      <c r="S29" s="1">
        <f t="shared" si="1"/>
        <v>80.946287184610853</v>
      </c>
      <c r="T29" s="1">
        <f t="shared" si="1"/>
        <v>13.376537169213503</v>
      </c>
      <c r="U29" s="1">
        <f t="shared" si="1"/>
        <v>1.7121858084295383</v>
      </c>
      <c r="V29" s="1"/>
      <c r="W29" s="1"/>
    </row>
    <row r="30" spans="1:30" x14ac:dyDescent="0.25">
      <c r="A30" s="7">
        <v>53</v>
      </c>
      <c r="F30" s="1">
        <f t="shared" si="1"/>
        <v>88.270542581379843</v>
      </c>
      <c r="G30" s="1">
        <f t="shared" si="1"/>
        <v>21.743424568179222</v>
      </c>
      <c r="H30" s="1">
        <f t="shared" si="1"/>
        <v>5.8536729181023839</v>
      </c>
      <c r="I30" s="1"/>
      <c r="J30" s="1">
        <f t="shared" si="1"/>
        <v>3.5223750787725123</v>
      </c>
      <c r="K30" s="1">
        <f t="shared" si="1"/>
        <v>2.2690168821931742</v>
      </c>
      <c r="L30" s="1">
        <f t="shared" si="1"/>
        <v>5.682676680756658</v>
      </c>
      <c r="M30" s="1">
        <f t="shared" si="1"/>
        <v>4.1363400171733291</v>
      </c>
      <c r="N30" s="1">
        <f t="shared" si="1"/>
        <v>12.074029577926744</v>
      </c>
      <c r="O30" s="1">
        <f t="shared" si="1"/>
        <v>8.294423090388463</v>
      </c>
      <c r="P30" s="1">
        <f t="shared" si="1"/>
        <v>65.827286429753343</v>
      </c>
      <c r="Q30" s="1">
        <f t="shared" si="1"/>
        <v>3.2157611359456939</v>
      </c>
      <c r="R30" s="1">
        <f t="shared" si="1"/>
        <v>0.58485135488721252</v>
      </c>
      <c r="S30" s="1">
        <f t="shared" si="1"/>
        <v>87.659157327594144</v>
      </c>
      <c r="T30" s="1">
        <f t="shared" si="1"/>
        <v>14.375476780995832</v>
      </c>
      <c r="U30" s="1">
        <f t="shared" si="1"/>
        <v>0.14040854833776178</v>
      </c>
      <c r="V30" s="1"/>
      <c r="W30" s="1"/>
    </row>
    <row r="31" spans="1:30" x14ac:dyDescent="0.25">
      <c r="A31" s="7">
        <v>54</v>
      </c>
      <c r="F31" s="1">
        <f t="shared" si="1"/>
        <v>89.480056339716498</v>
      </c>
      <c r="G31" s="1">
        <f t="shared" si="1"/>
        <v>31.072552368965209</v>
      </c>
      <c r="H31" s="1">
        <f t="shared" si="1"/>
        <v>9.0251430968863318</v>
      </c>
      <c r="I31" s="1"/>
      <c r="J31" s="1">
        <f t="shared" si="1"/>
        <v>8.40900236746681</v>
      </c>
      <c r="K31" s="1">
        <f t="shared" si="1"/>
        <v>0.57298690401270636</v>
      </c>
      <c r="L31" s="1">
        <f t="shared" si="1"/>
        <v>12.745362462165483</v>
      </c>
      <c r="M31" s="1">
        <f t="shared" si="1"/>
        <v>11.478318199526507</v>
      </c>
      <c r="N31" s="1">
        <f t="shared" si="1"/>
        <v>8.2939254997153053</v>
      </c>
      <c r="O31" s="1">
        <f t="shared" si="1"/>
        <v>7.1743234738829456</v>
      </c>
      <c r="P31" s="1">
        <f t="shared" si="1"/>
        <v>57.604363331235575</v>
      </c>
      <c r="Q31" s="1">
        <f t="shared" si="1"/>
        <v>7.8797686475471247</v>
      </c>
      <c r="R31" s="1">
        <f t="shared" si="1"/>
        <v>0.43992927567502771</v>
      </c>
      <c r="S31" s="1">
        <f t="shared" si="1"/>
        <v>88.305912673439423</v>
      </c>
      <c r="T31" s="1">
        <f t="shared" si="1"/>
        <v>17.204591087536336</v>
      </c>
      <c r="U31" s="1">
        <f t="shared" si="1"/>
        <v>0.14264736731697084</v>
      </c>
      <c r="V31" s="1"/>
      <c r="W31" s="1"/>
    </row>
    <row r="32" spans="1:30" x14ac:dyDescent="0.25">
      <c r="A32" s="7">
        <v>55</v>
      </c>
      <c r="F32" s="1">
        <f t="shared" si="1"/>
        <v>91.186581935618293</v>
      </c>
      <c r="G32" s="1">
        <f t="shared" si="1"/>
        <v>22.237733097197626</v>
      </c>
      <c r="H32" s="1">
        <f t="shared" si="1"/>
        <v>6.5426954196617704</v>
      </c>
      <c r="I32" s="1"/>
      <c r="J32" s="1">
        <f t="shared" si="1"/>
        <v>5.9419383963607322</v>
      </c>
      <c r="K32" s="1">
        <f t="shared" si="1"/>
        <v>0.56151682466923636</v>
      </c>
      <c r="L32" s="1">
        <f t="shared" si="1"/>
        <v>7.3243740667430632</v>
      </c>
      <c r="M32" s="1">
        <f t="shared" si="1"/>
        <v>5.7815050178838074</v>
      </c>
      <c r="N32" s="1">
        <f t="shared" si="1"/>
        <v>9.6339896516998298</v>
      </c>
      <c r="O32" s="1">
        <f t="shared" si="1"/>
        <v>5.8245650588602977</v>
      </c>
      <c r="P32" s="1">
        <f t="shared" si="1"/>
        <v>67.942494009792682</v>
      </c>
      <c r="Q32" s="1">
        <f t="shared" si="1"/>
        <v>3.7892836059311734</v>
      </c>
      <c r="R32" s="1">
        <f t="shared" si="1"/>
        <v>0.47643851790117026</v>
      </c>
      <c r="S32" s="1">
        <f t="shared" si="1"/>
        <v>89.786436087092412</v>
      </c>
      <c r="T32" s="1">
        <f t="shared" si="1"/>
        <v>14.314685557523353</v>
      </c>
      <c r="U32" s="1">
        <f t="shared" si="1"/>
        <v>0.12848560613952842</v>
      </c>
      <c r="V32" s="1"/>
      <c r="W32" s="1"/>
    </row>
    <row r="33" spans="1:23" x14ac:dyDescent="0.25">
      <c r="A33" s="7">
        <v>56</v>
      </c>
      <c r="F33" s="1">
        <f t="shared" si="1"/>
        <v>84.944737823671446</v>
      </c>
      <c r="G33" s="1">
        <f t="shared" si="1"/>
        <v>32.466283201476273</v>
      </c>
      <c r="H33" s="1">
        <f t="shared" si="1"/>
        <v>11.293900547713932</v>
      </c>
      <c r="I33" s="1"/>
      <c r="J33" s="1">
        <f t="shared" si="1"/>
        <v>10.100316064312217</v>
      </c>
      <c r="K33" s="1">
        <f t="shared" si="1"/>
        <v>1.1425430416773004</v>
      </c>
      <c r="L33" s="1">
        <f t="shared" si="1"/>
        <v>11.645301242662793</v>
      </c>
      <c r="M33" s="1">
        <f t="shared" si="1"/>
        <v>10.218104006753176</v>
      </c>
      <c r="N33" s="1">
        <f t="shared" si="1"/>
        <v>11.013172618229648</v>
      </c>
      <c r="O33" s="1">
        <f t="shared" si="1"/>
        <v>7.2184377392567578</v>
      </c>
      <c r="P33" s="1">
        <f t="shared" si="1"/>
        <v>51.536151082667502</v>
      </c>
      <c r="Q33" s="1">
        <f t="shared" si="1"/>
        <v>5.4280610141541841</v>
      </c>
      <c r="R33" s="1">
        <f t="shared" si="1"/>
        <v>0.46133610789375529</v>
      </c>
      <c r="S33" s="1">
        <f t="shared" si="1"/>
        <v>79.471524764914903</v>
      </c>
      <c r="T33" s="1">
        <f t="shared" si="1"/>
        <v>16.672883252517718</v>
      </c>
      <c r="U33" s="1">
        <f t="shared" si="1"/>
        <v>1.7334458862561102</v>
      </c>
      <c r="V33" s="1"/>
      <c r="W33" s="1"/>
    </row>
    <row r="34" spans="1:23" x14ac:dyDescent="0.25">
      <c r="A34" s="7">
        <v>57</v>
      </c>
      <c r="F34" s="1">
        <f t="shared" si="1"/>
        <v>88.765140525657472</v>
      </c>
      <c r="G34" s="1">
        <f t="shared" si="1"/>
        <v>38.262221316421503</v>
      </c>
      <c r="H34" s="1">
        <f t="shared" si="1"/>
        <v>6.2983787499150816</v>
      </c>
      <c r="I34" s="1"/>
      <c r="J34" s="1">
        <f t="shared" si="1"/>
        <v>5.7209307901646023</v>
      </c>
      <c r="K34" s="1">
        <f t="shared" si="1"/>
        <v>0.54987432014993665</v>
      </c>
      <c r="L34" s="1">
        <f t="shared" si="1"/>
        <v>13.815991911732384</v>
      </c>
      <c r="M34" s="1">
        <f t="shared" si="1"/>
        <v>10.078764700945896</v>
      </c>
      <c r="N34" s="1">
        <f t="shared" si="1"/>
        <v>16.537789872881525</v>
      </c>
      <c r="O34" s="1">
        <f t="shared" si="1"/>
        <v>8.9558382186629579</v>
      </c>
      <c r="P34" s="1">
        <f t="shared" si="1"/>
        <v>48.74220245445354</v>
      </c>
      <c r="Q34" s="1">
        <f t="shared" si="1"/>
        <v>3.7268371436906316</v>
      </c>
      <c r="R34" s="1">
        <f t="shared" si="1"/>
        <v>0.54747661235858525</v>
      </c>
      <c r="S34" s="1">
        <f t="shared" si="1"/>
        <v>86.831389191932516</v>
      </c>
      <c r="T34" s="1">
        <f t="shared" si="1"/>
        <v>20.268223578259185</v>
      </c>
      <c r="U34" s="1">
        <f t="shared" si="1"/>
        <v>0.96907356567121827</v>
      </c>
      <c r="V34" s="1"/>
      <c r="W34" s="1"/>
    </row>
    <row r="35" spans="1:23" x14ac:dyDescent="0.25">
      <c r="A35" s="7">
        <v>58</v>
      </c>
      <c r="F35" s="1">
        <f t="shared" si="1"/>
        <v>86.80016315960826</v>
      </c>
      <c r="G35" s="1">
        <f t="shared" si="1"/>
        <v>20.088839658262948</v>
      </c>
      <c r="H35" s="1">
        <f t="shared" si="1"/>
        <v>8.9168971233763568</v>
      </c>
      <c r="I35" s="1"/>
      <c r="J35" s="1">
        <f t="shared" si="1"/>
        <v>6.2947425932648011</v>
      </c>
      <c r="K35" s="1">
        <f t="shared" si="1"/>
        <v>2.5218637617270967</v>
      </c>
      <c r="L35" s="1">
        <f t="shared" si="1"/>
        <v>7.5929092929875051</v>
      </c>
      <c r="M35" s="1">
        <f t="shared" si="1"/>
        <v>4.5351635151165883</v>
      </c>
      <c r="N35" s="1">
        <f t="shared" si="1"/>
        <v>9.249952287041161</v>
      </c>
      <c r="O35" s="1">
        <f t="shared" si="1"/>
        <v>7.4061738697642046</v>
      </c>
      <c r="P35" s="1">
        <f t="shared" si="1"/>
        <v>66.336355777758655</v>
      </c>
      <c r="Q35" s="1">
        <f t="shared" si="1"/>
        <v>5.0310040677636279</v>
      </c>
      <c r="R35" s="1">
        <f t="shared" si="1"/>
        <v>0.50220228049232285</v>
      </c>
      <c r="S35" s="1">
        <f t="shared" si="1"/>
        <v>86.178584927195644</v>
      </c>
      <c r="T35" s="1">
        <f t="shared" si="1"/>
        <v>11.675641692518981</v>
      </c>
      <c r="U35" s="1">
        <f t="shared" si="1"/>
        <v>0.15604944185193639</v>
      </c>
      <c r="V35" s="1"/>
      <c r="W35" s="1"/>
    </row>
    <row r="36" spans="1:23" x14ac:dyDescent="0.25">
      <c r="A36" s="7">
        <v>59</v>
      </c>
      <c r="F36" s="1">
        <f t="shared" si="1"/>
        <v>78.052946601667642</v>
      </c>
      <c r="G36" s="1">
        <f t="shared" si="1"/>
        <v>20.163658265730579</v>
      </c>
      <c r="H36" s="1">
        <f t="shared" si="1"/>
        <v>4.9784486815110389</v>
      </c>
      <c r="I36" s="1"/>
      <c r="J36" s="1">
        <f t="shared" si="1"/>
        <v>3.5606730787328953</v>
      </c>
      <c r="K36" s="1">
        <f t="shared" si="1"/>
        <v>1.3509571044062565</v>
      </c>
      <c r="L36" s="1">
        <f t="shared" si="1"/>
        <v>5.9859022379491424</v>
      </c>
      <c r="M36" s="1">
        <f t="shared" si="1"/>
        <v>4.1709800673831614</v>
      </c>
      <c r="N36" s="1">
        <f t="shared" si="1"/>
        <v>10.638728378098591</v>
      </c>
      <c r="O36" s="1">
        <f t="shared" si="1"/>
        <v>5.8922622296674136</v>
      </c>
      <c r="P36" s="1">
        <f t="shared" si="1"/>
        <v>57.221103352218186</v>
      </c>
      <c r="Q36" s="1">
        <f t="shared" si="1"/>
        <v>3.701838920363643</v>
      </c>
      <c r="R36" s="1">
        <f t="shared" si="1"/>
        <v>0.4832577311825933</v>
      </c>
      <c r="S36" s="1">
        <f t="shared" si="1"/>
        <v>76.478476914679362</v>
      </c>
      <c r="T36" s="1">
        <f t="shared" si="1"/>
        <v>14.562668222627943</v>
      </c>
      <c r="U36" s="1">
        <f t="shared" si="1"/>
        <v>0.74300287978316926</v>
      </c>
      <c r="V36" s="1"/>
      <c r="W36" s="1"/>
    </row>
    <row r="37" spans="1:23" x14ac:dyDescent="0.25">
      <c r="A37" s="7">
        <v>60</v>
      </c>
      <c r="F37" s="1">
        <f t="shared" si="1"/>
        <v>84.548667296664036</v>
      </c>
      <c r="G37" s="1">
        <f>100*G17/$E17</f>
        <v>28.177711038330592</v>
      </c>
      <c r="H37" s="1">
        <f t="shared" si="1"/>
        <v>10.6933423086383</v>
      </c>
      <c r="I37" s="1"/>
      <c r="J37" s="1">
        <f t="shared" si="1"/>
        <v>10.365506349596759</v>
      </c>
      <c r="K37" s="1">
        <f t="shared" si="1"/>
        <v>0.29870936840606349</v>
      </c>
      <c r="L37" s="1">
        <f t="shared" si="1"/>
        <v>10.844476951157944</v>
      </c>
      <c r="M37" s="1">
        <f t="shared" si="1"/>
        <v>6.9903817525145957</v>
      </c>
      <c r="N37" s="1">
        <f t="shared" si="1"/>
        <v>15.318321272767285</v>
      </c>
      <c r="O37" s="1">
        <f t="shared" si="1"/>
        <v>11.254514621548498</v>
      </c>
      <c r="P37" s="1">
        <f t="shared" si="1"/>
        <v>55.163497262100478</v>
      </c>
      <c r="Q37" s="1">
        <f t="shared" si="1"/>
        <v>10.949332677445662</v>
      </c>
      <c r="R37" s="1">
        <f t="shared" si="1"/>
        <v>0.15534181672254657</v>
      </c>
      <c r="S37" s="1">
        <f t="shared" si="1"/>
        <v>72.651749537210833</v>
      </c>
      <c r="T37" s="1">
        <f t="shared" si="1"/>
        <v>21.080208158034409</v>
      </c>
      <c r="U37" s="1">
        <f t="shared" si="1"/>
        <v>0.2585793990860723</v>
      </c>
      <c r="V37" s="1"/>
      <c r="W37" s="1"/>
    </row>
    <row r="38" spans="1:23" s="8" customFormat="1" x14ac:dyDescent="0.25">
      <c r="A38" s="8" t="s">
        <v>86</v>
      </c>
      <c r="B38" s="9" t="s">
        <v>70</v>
      </c>
      <c r="C38" s="9"/>
      <c r="D38" s="9" t="s">
        <v>324</v>
      </c>
      <c r="E38" s="8" t="s">
        <v>325</v>
      </c>
      <c r="F38" s="9" t="s">
        <v>326</v>
      </c>
      <c r="G38" s="9" t="s">
        <v>327</v>
      </c>
      <c r="H38" s="3" t="s">
        <v>328</v>
      </c>
      <c r="I38" s="24" t="s">
        <v>329</v>
      </c>
      <c r="J38" s="3" t="s">
        <v>330</v>
      </c>
      <c r="K38" s="3" t="s">
        <v>331</v>
      </c>
      <c r="M38" s="3" t="s">
        <v>17</v>
      </c>
      <c r="O38" s="3" t="s">
        <v>332</v>
      </c>
      <c r="R38" s="4" t="s">
        <v>333</v>
      </c>
      <c r="U38" s="4" t="s">
        <v>334</v>
      </c>
    </row>
    <row r="40" spans="1:23" x14ac:dyDescent="0.25">
      <c r="A40" s="8">
        <v>46</v>
      </c>
      <c r="G40" s="1">
        <f>100*(G3/$F3)</f>
        <v>35.745731331001849</v>
      </c>
      <c r="H40" s="1">
        <f t="shared" ref="H40:U54" si="2">100*(H3/$F3)</f>
        <v>9.8282246451347461</v>
      </c>
      <c r="I40" s="1"/>
      <c r="J40" s="1">
        <f t="shared" si="2"/>
        <v>9.5340464924912567</v>
      </c>
      <c r="K40" s="1">
        <f t="shared" si="2"/>
        <v>0.2763491736953988</v>
      </c>
      <c r="L40" s="1">
        <f t="shared" si="2"/>
        <v>17.204621819927311</v>
      </c>
      <c r="M40" s="1">
        <f t="shared" si="2"/>
        <v>15.053829801824042</v>
      </c>
      <c r="N40" s="1">
        <f t="shared" si="2"/>
        <v>9.7277652060618536</v>
      </c>
      <c r="O40" s="1">
        <f t="shared" si="2"/>
        <v>8.0696701638894606</v>
      </c>
      <c r="P40" s="1">
        <f t="shared" si="2"/>
        <v>62.876980045258179</v>
      </c>
      <c r="Q40" s="1">
        <f t="shared" si="2"/>
        <v>7.8786943701570324</v>
      </c>
      <c r="R40" s="1">
        <f>100*(R3/$F3)</f>
        <v>0.28663512308852773</v>
      </c>
      <c r="S40" s="1">
        <f t="shared" si="2"/>
        <v>98.246245628471513</v>
      </c>
      <c r="T40" s="1">
        <f t="shared" si="2"/>
        <v>21.836727696633066</v>
      </c>
      <c r="U40" s="1">
        <f t="shared" si="2"/>
        <v>0.1237742576973188</v>
      </c>
      <c r="V40" s="1"/>
      <c r="W40" s="1"/>
    </row>
    <row r="41" spans="1:23" x14ac:dyDescent="0.25">
      <c r="A41" s="8">
        <v>47</v>
      </c>
      <c r="G41" s="1">
        <f t="shared" ref="G41:P54" si="3">100*(G4/$F4)</f>
        <v>23.176848614675745</v>
      </c>
      <c r="H41" s="1">
        <f t="shared" si="3"/>
        <v>14.043206757876442</v>
      </c>
      <c r="I41" s="1"/>
      <c r="J41" s="1">
        <f t="shared" si="3"/>
        <v>8.2719317745488361</v>
      </c>
      <c r="K41" s="1">
        <f t="shared" si="3"/>
        <v>5.6225370329203965</v>
      </c>
      <c r="L41" s="1">
        <f t="shared" si="3"/>
        <v>7.1446759493159266</v>
      </c>
      <c r="M41" s="1">
        <f t="shared" si="3"/>
        <v>4.8234747286947028</v>
      </c>
      <c r="N41" s="1">
        <f t="shared" si="3"/>
        <v>12.957177212375967</v>
      </c>
      <c r="O41" s="1">
        <f t="shared" si="3"/>
        <v>10.205525129842572</v>
      </c>
      <c r="P41" s="1">
        <f t="shared" si="3"/>
        <v>76.490107713760281</v>
      </c>
      <c r="Q41" s="1">
        <f t="shared" si="2"/>
        <v>3.5858779782955761</v>
      </c>
      <c r="R41" s="1">
        <f t="shared" si="2"/>
        <v>0.54927955055271505</v>
      </c>
      <c r="S41" s="1">
        <f t="shared" si="2"/>
        <v>99.268031445142782</v>
      </c>
      <c r="T41" s="1">
        <f t="shared" si="2"/>
        <v>11.643190590707921</v>
      </c>
      <c r="U41" s="1">
        <f t="shared" si="2"/>
        <v>1.5791281854374228</v>
      </c>
      <c r="V41" s="1"/>
      <c r="W41" s="1"/>
    </row>
    <row r="42" spans="1:23" x14ac:dyDescent="0.25">
      <c r="A42" s="8">
        <v>48</v>
      </c>
      <c r="G42" s="1">
        <f t="shared" si="3"/>
        <v>24.697381092504415</v>
      </c>
      <c r="H42" s="1">
        <f t="shared" si="3"/>
        <v>11.304237333476005</v>
      </c>
      <c r="I42" s="1"/>
      <c r="J42" s="1">
        <f t="shared" si="3"/>
        <v>6.9522096196030168</v>
      </c>
      <c r="K42" s="1">
        <f t="shared" si="3"/>
        <v>4.2196110427478466</v>
      </c>
      <c r="L42" s="1">
        <f t="shared" si="3"/>
        <v>8.1820796105077314</v>
      </c>
      <c r="M42" s="1">
        <f t="shared" si="3"/>
        <v>5.1853164624685677</v>
      </c>
      <c r="N42" s="1">
        <f t="shared" si="3"/>
        <v>15.268043443368464</v>
      </c>
      <c r="O42" s="1">
        <f t="shared" si="3"/>
        <v>7.7229682735006149</v>
      </c>
      <c r="P42" s="1">
        <f t="shared" si="3"/>
        <v>74.472005243165157</v>
      </c>
      <c r="Q42" s="1">
        <f t="shared" si="2"/>
        <v>5.0850008025252791</v>
      </c>
      <c r="R42" s="1">
        <f t="shared" si="2"/>
        <v>0.93594510727087898</v>
      </c>
      <c r="S42" s="1">
        <f t="shared" si="2"/>
        <v>97.818468781766626</v>
      </c>
      <c r="T42" s="1">
        <f t="shared" si="2"/>
        <v>17.100810550532341</v>
      </c>
      <c r="U42" s="1">
        <f t="shared" si="2"/>
        <v>1.8752340698732008</v>
      </c>
      <c r="V42" s="1"/>
      <c r="W42" s="1"/>
    </row>
    <row r="43" spans="1:23" x14ac:dyDescent="0.25">
      <c r="A43" s="8">
        <v>49</v>
      </c>
      <c r="G43" s="1">
        <f t="shared" si="3"/>
        <v>34.030804828738709</v>
      </c>
      <c r="H43" s="1">
        <f t="shared" si="3"/>
        <v>19.658237019551017</v>
      </c>
      <c r="I43" s="1"/>
      <c r="J43" s="1">
        <f t="shared" si="3"/>
        <v>0.24132007338934919</v>
      </c>
      <c r="K43" s="1">
        <f t="shared" si="3"/>
        <v>19.305898026200467</v>
      </c>
      <c r="L43" s="1">
        <f t="shared" si="3"/>
        <v>16.280924612310248</v>
      </c>
      <c r="M43" s="1">
        <f t="shared" si="3"/>
        <v>6.8212361664582621</v>
      </c>
      <c r="N43" s="1">
        <f t="shared" si="3"/>
        <v>28.115249325121827</v>
      </c>
      <c r="O43" s="1">
        <f t="shared" si="3"/>
        <v>23.633298664267098</v>
      </c>
      <c r="P43" s="1">
        <f t="shared" si="3"/>
        <v>64.893772422900284</v>
      </c>
      <c r="Q43" s="1">
        <f t="shared" si="2"/>
        <v>10.850930805997359</v>
      </c>
      <c r="R43" s="1">
        <f t="shared" si="2"/>
        <v>0.23430835212864171</v>
      </c>
      <c r="S43" s="1">
        <f t="shared" si="2"/>
        <v>83.295158406469483</v>
      </c>
      <c r="T43" s="1">
        <f t="shared" si="2"/>
        <v>18.377137114209251</v>
      </c>
      <c r="U43" s="1">
        <f t="shared" si="2"/>
        <v>0.15075200710521086</v>
      </c>
      <c r="V43" s="1"/>
      <c r="W43" s="1"/>
    </row>
    <row r="44" spans="1:23" x14ac:dyDescent="0.25">
      <c r="A44" s="8">
        <v>50</v>
      </c>
      <c r="G44" s="1">
        <f t="shared" si="3"/>
        <v>41.551315789473684</v>
      </c>
      <c r="H44" s="1">
        <f t="shared" si="3"/>
        <v>10.999780701754386</v>
      </c>
      <c r="I44" s="1"/>
      <c r="J44" s="1">
        <f t="shared" si="3"/>
        <v>10.282675438596492</v>
      </c>
      <c r="K44" s="1">
        <f t="shared" si="3"/>
        <v>0.6506578947368421</v>
      </c>
      <c r="L44" s="1">
        <f t="shared" si="3"/>
        <v>21.361622807017543</v>
      </c>
      <c r="M44" s="1">
        <f t="shared" si="3"/>
        <v>16.207894736842103</v>
      </c>
      <c r="N44" s="1">
        <f t="shared" si="3"/>
        <v>6.8304824561403503</v>
      </c>
      <c r="O44" s="1">
        <f t="shared" si="3"/>
        <v>4.6162280701754383</v>
      </c>
      <c r="P44" s="1">
        <f t="shared" si="3"/>
        <v>57.037719298245612</v>
      </c>
      <c r="Q44" s="1">
        <f t="shared" si="2"/>
        <v>9.0109649122807021</v>
      </c>
      <c r="R44" s="1">
        <f t="shared" si="2"/>
        <v>0.2212719298245614</v>
      </c>
      <c r="S44" s="1">
        <f t="shared" si="2"/>
        <v>99.342105263157904</v>
      </c>
      <c r="T44" s="1">
        <f t="shared" si="2"/>
        <v>22.63486842105263</v>
      </c>
      <c r="U44" s="1">
        <f t="shared" si="2"/>
        <v>4.4855263157894738</v>
      </c>
      <c r="V44" s="1"/>
      <c r="W44" s="1"/>
    </row>
    <row r="45" spans="1:23" x14ac:dyDescent="0.25">
      <c r="A45" s="8">
        <v>51</v>
      </c>
      <c r="G45" s="1">
        <f t="shared" si="3"/>
        <v>38.644010141222367</v>
      </c>
      <c r="H45" s="1">
        <f t="shared" si="3"/>
        <v>11.628920555109676</v>
      </c>
      <c r="I45" s="1"/>
      <c r="J45" s="1">
        <f t="shared" si="3"/>
        <v>10.108800221108412</v>
      </c>
      <c r="K45" s="1">
        <f t="shared" si="3"/>
        <v>1.4526184870019083</v>
      </c>
      <c r="L45" s="1">
        <f t="shared" si="3"/>
        <v>18.876067671930393</v>
      </c>
      <c r="M45" s="1">
        <f t="shared" si="3"/>
        <v>14.042510218291406</v>
      </c>
      <c r="N45" s="1">
        <f t="shared" si="3"/>
        <v>17.217223069686355</v>
      </c>
      <c r="O45" s="1">
        <f t="shared" si="3"/>
        <v>9.5315797026729676</v>
      </c>
      <c r="P45" s="1">
        <f t="shared" si="3"/>
        <v>60.638982050886824</v>
      </c>
      <c r="Q45" s="1">
        <f t="shared" si="2"/>
        <v>5.1333294355888865</v>
      </c>
      <c r="R45" s="1">
        <f t="shared" si="2"/>
        <v>0.33963527742196092</v>
      </c>
      <c r="S45" s="1">
        <f t="shared" si="2"/>
        <v>96.796054065258872</v>
      </c>
      <c r="T45" s="1">
        <f t="shared" si="2"/>
        <v>20.095884513375463</v>
      </c>
      <c r="U45" s="1">
        <f t="shared" si="2"/>
        <v>0.63302913209633094</v>
      </c>
      <c r="V45" s="1"/>
      <c r="W45" s="1"/>
    </row>
    <row r="46" spans="1:23" x14ac:dyDescent="0.25">
      <c r="A46" s="8">
        <v>52</v>
      </c>
      <c r="G46" s="1">
        <f t="shared" si="3"/>
        <v>26.200329429889617</v>
      </c>
      <c r="H46" s="1">
        <f t="shared" si="3"/>
        <v>10.753181620762279</v>
      </c>
      <c r="I46" s="1"/>
      <c r="J46" s="1">
        <f t="shared" si="3"/>
        <v>7.8514123691909301</v>
      </c>
      <c r="K46" s="1">
        <f t="shared" si="3"/>
        <v>2.8017930164141314</v>
      </c>
      <c r="L46" s="1">
        <f t="shared" si="3"/>
        <v>10.231994034204984</v>
      </c>
      <c r="M46" s="1">
        <f t="shared" si="3"/>
        <v>7.1474813364036427</v>
      </c>
      <c r="N46" s="1">
        <f t="shared" si="3"/>
        <v>12.701079251653297</v>
      </c>
      <c r="O46" s="1">
        <f t="shared" si="3"/>
        <v>8.3578493636758466</v>
      </c>
      <c r="P46" s="1">
        <f t="shared" si="3"/>
        <v>73.353055421252321</v>
      </c>
      <c r="Q46" s="1">
        <f t="shared" si="2"/>
        <v>4.8496668824623654</v>
      </c>
      <c r="R46" s="1">
        <f t="shared" si="2"/>
        <v>0.91125879913790986</v>
      </c>
      <c r="S46" s="1">
        <f t="shared" si="2"/>
        <v>96.932696326283093</v>
      </c>
      <c r="T46" s="1">
        <f t="shared" si="2"/>
        <v>16.01832351326324</v>
      </c>
      <c r="U46" s="1">
        <f t="shared" si="2"/>
        <v>2.0503322980602969</v>
      </c>
      <c r="V46" s="1"/>
      <c r="W46" s="1"/>
    </row>
    <row r="47" spans="1:23" x14ac:dyDescent="0.25">
      <c r="A47" s="8">
        <v>53</v>
      </c>
      <c r="G47" s="1">
        <f t="shared" si="3"/>
        <v>24.632707506168511</v>
      </c>
      <c r="H47" s="1">
        <f t="shared" si="3"/>
        <v>6.6315134663476991</v>
      </c>
      <c r="I47" s="1"/>
      <c r="J47" s="1">
        <f t="shared" si="3"/>
        <v>3.9904309815758818</v>
      </c>
      <c r="K47" s="1">
        <f t="shared" si="3"/>
        <v>2.570525586269377</v>
      </c>
      <c r="L47" s="1">
        <f t="shared" si="3"/>
        <v>6.4377951177966217</v>
      </c>
      <c r="M47" s="1">
        <f t="shared" si="3"/>
        <v>4.6859800520200565</v>
      </c>
      <c r="N47" s="1">
        <f t="shared" si="3"/>
        <v>13.678435891334026</v>
      </c>
      <c r="O47" s="1">
        <f t="shared" si="3"/>
        <v>9.3965923940498399</v>
      </c>
      <c r="P47" s="1">
        <f t="shared" si="3"/>
        <v>74.574466752670929</v>
      </c>
      <c r="Q47" s="1">
        <f t="shared" si="2"/>
        <v>3.6430739427946377</v>
      </c>
      <c r="R47" s="1">
        <f t="shared" si="2"/>
        <v>0.66256685161758988</v>
      </c>
      <c r="S47" s="1">
        <f t="shared" si="2"/>
        <v>99.307373404641737</v>
      </c>
      <c r="T47" s="1">
        <f t="shared" si="2"/>
        <v>16.285701164397572</v>
      </c>
      <c r="U47" s="1">
        <f t="shared" si="2"/>
        <v>0.15906614396112273</v>
      </c>
      <c r="V47" s="1"/>
      <c r="W47" s="1"/>
    </row>
    <row r="48" spans="1:23" x14ac:dyDescent="0.25">
      <c r="A48" s="8">
        <v>54</v>
      </c>
      <c r="G48" s="1">
        <f t="shared" si="3"/>
        <v>34.72567367525604</v>
      </c>
      <c r="H48" s="1">
        <f t="shared" si="3"/>
        <v>10.086206319117439</v>
      </c>
      <c r="I48" s="1"/>
      <c r="J48" s="1">
        <f t="shared" si="3"/>
        <v>9.3976274842089058</v>
      </c>
      <c r="K48" s="1">
        <f t="shared" si="3"/>
        <v>0.64035152351416336</v>
      </c>
      <c r="L48" s="1">
        <f t="shared" si="3"/>
        <v>14.24380245557394</v>
      </c>
      <c r="M48" s="1">
        <f t="shared" si="3"/>
        <v>12.827795007133624</v>
      </c>
      <c r="N48" s="1">
        <f t="shared" si="3"/>
        <v>9.2690213204905803</v>
      </c>
      <c r="O48" s="1">
        <f t="shared" si="3"/>
        <v>8.017790519314369</v>
      </c>
      <c r="P48" s="1">
        <f t="shared" si="3"/>
        <v>64.37676247379315</v>
      </c>
      <c r="Q48" s="1">
        <f t="shared" si="2"/>
        <v>8.8061730958584796</v>
      </c>
      <c r="R48" s="1">
        <f t="shared" si="2"/>
        <v>0.49165064671484926</v>
      </c>
      <c r="S48" s="1">
        <f t="shared" si="2"/>
        <v>98.687815235811456</v>
      </c>
      <c r="T48" s="1">
        <f t="shared" si="2"/>
        <v>19.227291299659061</v>
      </c>
      <c r="U48" s="1">
        <f t="shared" si="2"/>
        <v>0.15941805710917456</v>
      </c>
      <c r="V48" s="1"/>
      <c r="W48" s="1"/>
    </row>
    <row r="49" spans="1:23" x14ac:dyDescent="0.25">
      <c r="A49" s="8">
        <v>55</v>
      </c>
      <c r="G49" s="1">
        <f t="shared" si="3"/>
        <v>24.387067291214439</v>
      </c>
      <c r="H49" s="1">
        <f t="shared" si="3"/>
        <v>7.1750637876537571</v>
      </c>
      <c r="I49" s="1"/>
      <c r="J49" s="1">
        <f t="shared" si="3"/>
        <v>6.5162420503446432</v>
      </c>
      <c r="K49" s="1">
        <f t="shared" si="3"/>
        <v>0.61578887238661029</v>
      </c>
      <c r="L49" s="1">
        <f t="shared" si="3"/>
        <v>8.0322936897825503</v>
      </c>
      <c r="M49" s="1">
        <f t="shared" si="3"/>
        <v>6.340302372519897</v>
      </c>
      <c r="N49" s="1">
        <f t="shared" si="3"/>
        <v>10.565139571194639</v>
      </c>
      <c r="O49" s="1">
        <f t="shared" si="3"/>
        <v>6.3875242773906091</v>
      </c>
      <c r="P49" s="1">
        <f t="shared" si="3"/>
        <v>74.50931109333942</v>
      </c>
      <c r="Q49" s="1">
        <f t="shared" si="2"/>
        <v>4.1555276286225675</v>
      </c>
      <c r="R49" s="1">
        <f t="shared" si="2"/>
        <v>0.52248752808560872</v>
      </c>
      <c r="S49" s="1">
        <f t="shared" si="2"/>
        <v>98.464526448074935</v>
      </c>
      <c r="T49" s="1">
        <f t="shared" si="2"/>
        <v>15.698236795003616</v>
      </c>
      <c r="U49" s="1">
        <f t="shared" si="2"/>
        <v>0.14090407098518604</v>
      </c>
      <c r="V49" s="1"/>
      <c r="W49" s="1"/>
    </row>
    <row r="50" spans="1:23" x14ac:dyDescent="0.25">
      <c r="A50" s="8">
        <v>56</v>
      </c>
      <c r="G50" s="1">
        <f t="shared" si="3"/>
        <v>38.220476080425236</v>
      </c>
      <c r="H50" s="1">
        <f t="shared" si="3"/>
        <v>13.295585856251444</v>
      </c>
      <c r="I50" s="1"/>
      <c r="J50" s="1">
        <f t="shared" si="3"/>
        <v>11.890455280795008</v>
      </c>
      <c r="K50" s="1">
        <f t="shared" si="3"/>
        <v>1.3450427547954704</v>
      </c>
      <c r="L50" s="1">
        <f t="shared" si="3"/>
        <v>13.709267390801941</v>
      </c>
      <c r="M50" s="1">
        <f t="shared" si="3"/>
        <v>12.029119482320315</v>
      </c>
      <c r="N50" s="1">
        <f t="shared" si="3"/>
        <v>12.96510284261613</v>
      </c>
      <c r="O50" s="1">
        <f t="shared" si="3"/>
        <v>8.4978044834758482</v>
      </c>
      <c r="P50" s="1">
        <f t="shared" si="3"/>
        <v>60.670210307372315</v>
      </c>
      <c r="Q50" s="1">
        <f t="shared" si="2"/>
        <v>6.390108620291195</v>
      </c>
      <c r="R50" s="1">
        <f t="shared" si="2"/>
        <v>0.54310145597411597</v>
      </c>
      <c r="S50" s="1">
        <f t="shared" si="2"/>
        <v>93.5567367691241</v>
      </c>
      <c r="T50" s="1">
        <f t="shared" si="2"/>
        <v>19.627917725907096</v>
      </c>
      <c r="U50" s="1">
        <f t="shared" si="2"/>
        <v>2.0406748324474231</v>
      </c>
      <c r="V50" s="1"/>
      <c r="W50" s="1"/>
    </row>
    <row r="51" spans="1:23" x14ac:dyDescent="0.25">
      <c r="A51" s="8">
        <v>57</v>
      </c>
      <c r="G51" s="1">
        <f t="shared" si="3"/>
        <v>43.105008441193021</v>
      </c>
      <c r="H51" s="1">
        <f t="shared" si="3"/>
        <v>7.0955543050084415</v>
      </c>
      <c r="I51" s="1"/>
      <c r="J51" s="1">
        <f t="shared" si="3"/>
        <v>6.4450196961170505</v>
      </c>
      <c r="K51" s="1">
        <f t="shared" si="3"/>
        <v>0.61947101857062459</v>
      </c>
      <c r="L51" s="1">
        <f t="shared" si="3"/>
        <v>15.564659538548115</v>
      </c>
      <c r="M51" s="1">
        <f t="shared" si="3"/>
        <v>11.354417557681487</v>
      </c>
      <c r="N51" s="1">
        <f t="shared" si="3"/>
        <v>18.630951041080472</v>
      </c>
      <c r="O51" s="1">
        <f t="shared" si="3"/>
        <v>10.089364096792346</v>
      </c>
      <c r="P51" s="1">
        <f t="shared" si="3"/>
        <v>54.9114237478897</v>
      </c>
      <c r="Q51" s="1">
        <f t="shared" si="2"/>
        <v>4.1985368598761958</v>
      </c>
      <c r="R51" s="1">
        <f t="shared" si="2"/>
        <v>0.61676983680360153</v>
      </c>
      <c r="S51" s="1">
        <f t="shared" si="2"/>
        <v>97.821496904895895</v>
      </c>
      <c r="T51" s="1">
        <f t="shared" si="2"/>
        <v>22.833539673607202</v>
      </c>
      <c r="U51" s="1">
        <f t="shared" si="2"/>
        <v>1.0917276308384918</v>
      </c>
      <c r="V51" s="1"/>
      <c r="W51" s="1"/>
    </row>
    <row r="52" spans="1:23" x14ac:dyDescent="0.25">
      <c r="A52" s="8">
        <v>58</v>
      </c>
      <c r="G52" s="1">
        <f t="shared" si="3"/>
        <v>23.143780987281744</v>
      </c>
      <c r="H52" s="1">
        <f t="shared" si="3"/>
        <v>10.272903643026513</v>
      </c>
      <c r="I52" s="1"/>
      <c r="J52" s="1">
        <f t="shared" si="3"/>
        <v>7.2519939642164255</v>
      </c>
      <c r="K52" s="1">
        <f t="shared" si="3"/>
        <v>2.9053675361069198</v>
      </c>
      <c r="L52" s="1">
        <f t="shared" si="3"/>
        <v>8.7475749083854275</v>
      </c>
      <c r="M52" s="1">
        <f t="shared" si="3"/>
        <v>5.2248329381332184</v>
      </c>
      <c r="N52" s="1">
        <f t="shared" si="3"/>
        <v>10.656607027376589</v>
      </c>
      <c r="O52" s="1">
        <f t="shared" si="3"/>
        <v>8.5324423367104973</v>
      </c>
      <c r="P52" s="1">
        <f t="shared" si="3"/>
        <v>76.424229359775808</v>
      </c>
      <c r="Q52" s="1">
        <f t="shared" si="2"/>
        <v>5.7960767406768703</v>
      </c>
      <c r="R52" s="1">
        <f t="shared" si="2"/>
        <v>0.57857296831213623</v>
      </c>
      <c r="S52" s="1">
        <f t="shared" si="2"/>
        <v>99.283897391679247</v>
      </c>
      <c r="T52" s="1">
        <f t="shared" si="2"/>
        <v>13.451174822159947</v>
      </c>
      <c r="U52" s="1">
        <f t="shared" si="2"/>
        <v>0.17978012502694546</v>
      </c>
      <c r="V52" s="1"/>
      <c r="W52" s="1"/>
    </row>
    <row r="53" spans="1:23" x14ac:dyDescent="0.25">
      <c r="A53" s="8">
        <v>59</v>
      </c>
      <c r="G53" s="1">
        <f t="shared" si="3"/>
        <v>25.833308214016583</v>
      </c>
      <c r="H53" s="1">
        <f t="shared" si="3"/>
        <v>6.3782969103240399</v>
      </c>
      <c r="I53" s="1"/>
      <c r="J53" s="1">
        <f t="shared" si="3"/>
        <v>4.5618688771665408</v>
      </c>
      <c r="K53" s="1">
        <f t="shared" si="3"/>
        <v>1.7308214016578747</v>
      </c>
      <c r="L53" s="1">
        <f t="shared" si="3"/>
        <v>7.6690278824415978</v>
      </c>
      <c r="M53" s="1">
        <f t="shared" si="3"/>
        <v>5.3437829691032404</v>
      </c>
      <c r="N53" s="1">
        <f t="shared" si="3"/>
        <v>13.630143180105501</v>
      </c>
      <c r="O53" s="1">
        <f t="shared" si="3"/>
        <v>7.5490580256217035</v>
      </c>
      <c r="P53" s="1">
        <f t="shared" si="3"/>
        <v>73.310625470987191</v>
      </c>
      <c r="Q53" s="1">
        <f t="shared" si="2"/>
        <v>4.7427279577995485</v>
      </c>
      <c r="R53" s="1">
        <f t="shared" si="2"/>
        <v>0.61914091936699323</v>
      </c>
      <c r="S53" s="1">
        <f t="shared" si="2"/>
        <v>97.982818387339861</v>
      </c>
      <c r="T53" s="1">
        <f t="shared" si="2"/>
        <v>18.657422758100981</v>
      </c>
      <c r="U53" s="1">
        <f t="shared" si="2"/>
        <v>0.95192162773172562</v>
      </c>
      <c r="V53" s="1"/>
      <c r="W53" s="1"/>
    </row>
    <row r="54" spans="1:23" x14ac:dyDescent="0.25">
      <c r="A54" s="8">
        <v>60</v>
      </c>
      <c r="G54" s="1">
        <f t="shared" si="3"/>
        <v>33.327208978304476</v>
      </c>
      <c r="H54" s="1">
        <f t="shared" si="3"/>
        <v>12.647558678976619</v>
      </c>
      <c r="I54" s="1"/>
      <c r="J54" s="1">
        <f t="shared" si="3"/>
        <v>12.259810451211857</v>
      </c>
      <c r="K54" s="1">
        <f t="shared" si="3"/>
        <v>0.35329873072742024</v>
      </c>
      <c r="L54" s="1">
        <f t="shared" si="3"/>
        <v>12.826313291381503</v>
      </c>
      <c r="M54" s="1">
        <f t="shared" si="3"/>
        <v>8.26787928896238</v>
      </c>
      <c r="N54" s="1">
        <f t="shared" si="3"/>
        <v>18.117756036317427</v>
      </c>
      <c r="O54" s="1">
        <f>100*(O17/$F17)</f>
        <v>13.311285655229433</v>
      </c>
      <c r="P54" s="1">
        <f t="shared" si="3"/>
        <v>65.244667983402991</v>
      </c>
      <c r="Q54" s="1">
        <f t="shared" si="2"/>
        <v>12.950331480715938</v>
      </c>
      <c r="R54" s="1">
        <f t="shared" si="2"/>
        <v>0.18373065086583071</v>
      </c>
      <c r="S54" s="1">
        <f t="shared" si="2"/>
        <v>85.928911549002493</v>
      </c>
      <c r="T54" s="1">
        <f t="shared" si="2"/>
        <v>24.932632094682528</v>
      </c>
      <c r="U54" s="1">
        <f t="shared" si="2"/>
        <v>0.30583497925374731</v>
      </c>
      <c r="V54" s="1"/>
      <c r="W54" s="1"/>
    </row>
    <row r="55" spans="1:23" x14ac:dyDescent="0.25">
      <c r="A55" s="10" t="s">
        <v>87</v>
      </c>
      <c r="B55" s="10"/>
      <c r="C55" s="10"/>
      <c r="D55" s="10"/>
      <c r="E55" s="10"/>
    </row>
    <row r="56" spans="1:23" s="10" customFormat="1" ht="27" customHeight="1" x14ac:dyDescent="0.25">
      <c r="A56" s="10" t="s">
        <v>87</v>
      </c>
      <c r="B56" s="22" t="s">
        <v>70</v>
      </c>
      <c r="C56" s="22" t="s">
        <v>335</v>
      </c>
      <c r="D56" s="22" t="s">
        <v>89</v>
      </c>
      <c r="E56" s="21" t="s">
        <v>336</v>
      </c>
      <c r="F56" s="22" t="s">
        <v>326</v>
      </c>
      <c r="G56" s="22" t="s">
        <v>327</v>
      </c>
      <c r="H56" s="17" t="s">
        <v>328</v>
      </c>
      <c r="I56" s="25" t="s">
        <v>329</v>
      </c>
      <c r="J56" s="17" t="s">
        <v>330</v>
      </c>
      <c r="K56" s="17" t="s">
        <v>331</v>
      </c>
      <c r="L56" s="21"/>
      <c r="M56" s="17" t="s">
        <v>17</v>
      </c>
      <c r="N56" s="21"/>
      <c r="O56" s="17" t="s">
        <v>332</v>
      </c>
      <c r="P56" s="21"/>
      <c r="Q56" s="21"/>
      <c r="R56" s="18" t="s">
        <v>333</v>
      </c>
      <c r="S56" s="21"/>
      <c r="U56" s="18" t="s">
        <v>334</v>
      </c>
      <c r="V56" s="21"/>
      <c r="W56" s="21"/>
    </row>
    <row r="57" spans="1:23" s="6" customFormat="1" x14ac:dyDescent="0.25">
      <c r="A57" s="10">
        <v>46</v>
      </c>
      <c r="B57" s="1">
        <v>2440000</v>
      </c>
      <c r="C57">
        <v>313957</v>
      </c>
      <c r="D57" s="6">
        <v>866666.66666666663</v>
      </c>
      <c r="E57" s="6">
        <f>(C57/B57)*D57</f>
        <v>111514.78142076504</v>
      </c>
      <c r="H57" s="6">
        <f>H23*$E57</f>
        <v>1018155.7377049181</v>
      </c>
      <c r="J57" s="6">
        <f t="shared" ref="J57:J71" si="4">J23*$E57</f>
        <v>987680.32786885265</v>
      </c>
      <c r="K57" s="6">
        <f>K23*$E57</f>
        <v>28628.415300546454</v>
      </c>
      <c r="M57" s="6">
        <f>M23*$E57</f>
        <v>1559502.7322404373</v>
      </c>
      <c r="O57" s="6">
        <f>O23*$E57</f>
        <v>835978.14207650279</v>
      </c>
      <c r="R57" s="6">
        <f>R23*$E57</f>
        <v>29693.989071038253</v>
      </c>
      <c r="U57" s="6">
        <f>U23*$E57</f>
        <v>12822.4043715847</v>
      </c>
    </row>
    <row r="58" spans="1:23" s="6" customFormat="1" x14ac:dyDescent="0.25">
      <c r="A58" s="10">
        <v>47</v>
      </c>
      <c r="B58" s="1">
        <v>3340000</v>
      </c>
      <c r="C58">
        <v>274407</v>
      </c>
      <c r="D58" s="6">
        <v>416666.66666666669</v>
      </c>
      <c r="E58" s="6">
        <f t="shared" ref="E58:E70" si="5">(C58/B58)*D58</f>
        <v>34232.410179640719</v>
      </c>
      <c r="H58" s="6">
        <f t="shared" ref="H58:H70" si="6">H24*$E58</f>
        <v>433445.60878243519</v>
      </c>
      <c r="J58" s="6">
        <f t="shared" si="4"/>
        <v>255314.37125748504</v>
      </c>
      <c r="K58" s="6">
        <f t="shared" ref="K58:M71" si="7">K24*$E58</f>
        <v>173540.41916167663</v>
      </c>
      <c r="M58" s="6">
        <f t="shared" si="7"/>
        <v>148877.24550898204</v>
      </c>
      <c r="O58" s="6">
        <f t="shared" ref="O58:O70" si="8">O24*$E58</f>
        <v>314995.00998003996</v>
      </c>
      <c r="R58" s="6">
        <f t="shared" ref="R58:U70" si="9">R24*$E58</f>
        <v>16953.592814371255</v>
      </c>
      <c r="U58" s="6">
        <f t="shared" si="9"/>
        <v>48740.019960079844</v>
      </c>
    </row>
    <row r="59" spans="1:23" s="6" customFormat="1" x14ac:dyDescent="0.25">
      <c r="A59" s="10">
        <v>48</v>
      </c>
      <c r="B59" s="1">
        <v>3320000</v>
      </c>
      <c r="C59">
        <v>330895</v>
      </c>
      <c r="D59" s="6">
        <v>633333.33333333326</v>
      </c>
      <c r="E59" s="6">
        <f t="shared" si="5"/>
        <v>63122.540160642566</v>
      </c>
      <c r="H59" s="6">
        <f t="shared" si="6"/>
        <v>644893.57429718866</v>
      </c>
      <c r="J59" s="6">
        <f t="shared" si="4"/>
        <v>396615.46184738952</v>
      </c>
      <c r="K59" s="6">
        <f t="shared" si="7"/>
        <v>240723.89558232931</v>
      </c>
      <c r="M59" s="6">
        <f t="shared" si="7"/>
        <v>295816.26506024093</v>
      </c>
      <c r="O59" s="6">
        <f t="shared" si="8"/>
        <v>440586.3453815261</v>
      </c>
      <c r="R59" s="6">
        <f t="shared" si="9"/>
        <v>53394.578313253005</v>
      </c>
      <c r="U59" s="6">
        <f t="shared" si="9"/>
        <v>106979.91967871485</v>
      </c>
    </row>
    <row r="60" spans="1:23" s="6" customFormat="1" x14ac:dyDescent="0.25">
      <c r="A60" s="10">
        <v>49</v>
      </c>
      <c r="B60" s="1">
        <v>3190000</v>
      </c>
      <c r="C60">
        <v>368875</v>
      </c>
      <c r="D60" s="6">
        <v>683333.33333333326</v>
      </c>
      <c r="E60" s="6">
        <f t="shared" si="5"/>
        <v>79017.11076280041</v>
      </c>
      <c r="H60" s="6">
        <f t="shared" si="6"/>
        <v>1441362.068965517</v>
      </c>
      <c r="J60" s="6">
        <f t="shared" si="4"/>
        <v>17693.83490073145</v>
      </c>
      <c r="K60" s="6">
        <f t="shared" si="7"/>
        <v>1415528.213166144</v>
      </c>
      <c r="M60" s="6">
        <f t="shared" si="7"/>
        <v>500140.02089864149</v>
      </c>
      <c r="O60" s="6">
        <f t="shared" si="8"/>
        <v>1732817.6593521419</v>
      </c>
      <c r="R60" s="6">
        <f t="shared" si="9"/>
        <v>17179.728317659348</v>
      </c>
      <c r="U60" s="6">
        <f t="shared" si="9"/>
        <v>11053.291536050156</v>
      </c>
    </row>
    <row r="61" spans="1:23" s="6" customFormat="1" x14ac:dyDescent="0.25">
      <c r="A61" s="10">
        <v>50</v>
      </c>
      <c r="B61" s="1">
        <v>4000000</v>
      </c>
      <c r="C61" s="1">
        <v>583000</v>
      </c>
      <c r="D61" s="6">
        <v>533333.33333333326</v>
      </c>
      <c r="E61" s="6">
        <f t="shared" si="5"/>
        <v>77733.333333333314</v>
      </c>
      <c r="H61" s="6">
        <f t="shared" si="6"/>
        <v>668786.66666666651</v>
      </c>
      <c r="J61" s="6">
        <f t="shared" si="4"/>
        <v>625186.66666666651</v>
      </c>
      <c r="K61" s="6">
        <f t="shared" si="7"/>
        <v>39559.999999999985</v>
      </c>
      <c r="M61" s="6">
        <f t="shared" si="7"/>
        <v>985439.99999999965</v>
      </c>
      <c r="O61" s="6">
        <f t="shared" si="8"/>
        <v>280666.66666666657</v>
      </c>
      <c r="R61" s="6">
        <f t="shared" si="9"/>
        <v>13453.33333333333</v>
      </c>
      <c r="U61" s="6">
        <f t="shared" si="9"/>
        <v>272719.99999999994</v>
      </c>
    </row>
    <row r="62" spans="1:23" s="6" customFormat="1" x14ac:dyDescent="0.25">
      <c r="A62" s="10">
        <v>51</v>
      </c>
      <c r="B62" s="1">
        <v>2120000</v>
      </c>
      <c r="C62">
        <v>210951</v>
      </c>
      <c r="D62" s="6">
        <v>300000</v>
      </c>
      <c r="E62" s="6">
        <f t="shared" si="5"/>
        <v>29851.556603773584</v>
      </c>
      <c r="H62" s="6">
        <f t="shared" si="6"/>
        <v>309608.49056603771</v>
      </c>
      <c r="J62" s="6">
        <f t="shared" si="4"/>
        <v>269136.79245283018</v>
      </c>
      <c r="K62" s="6">
        <f t="shared" si="7"/>
        <v>38674.528301886792</v>
      </c>
      <c r="M62" s="6">
        <f t="shared" si="7"/>
        <v>373867.92452830187</v>
      </c>
      <c r="O62" s="6">
        <f t="shared" si="8"/>
        <v>253768.86792452831</v>
      </c>
      <c r="R62" s="6">
        <f t="shared" si="9"/>
        <v>9042.4528301886785</v>
      </c>
      <c r="U62" s="6">
        <f t="shared" si="9"/>
        <v>16853.773584905659</v>
      </c>
    </row>
    <row r="63" spans="1:23" s="6" customFormat="1" x14ac:dyDescent="0.25">
      <c r="A63" s="10">
        <v>52</v>
      </c>
      <c r="B63" s="1">
        <v>2970000</v>
      </c>
      <c r="C63">
        <v>146129</v>
      </c>
      <c r="D63" s="6">
        <v>433333.33333333331</v>
      </c>
      <c r="E63" s="6">
        <f t="shared" si="5"/>
        <v>21320.729517396183</v>
      </c>
      <c r="H63" s="6">
        <f t="shared" si="6"/>
        <v>191454.54545454544</v>
      </c>
      <c r="J63" s="6">
        <f t="shared" si="4"/>
        <v>139790.12345679011</v>
      </c>
      <c r="K63" s="6">
        <f t="shared" si="7"/>
        <v>49884.399551066213</v>
      </c>
      <c r="M63" s="6">
        <f t="shared" si="7"/>
        <v>127257.01459034791</v>
      </c>
      <c r="O63" s="6">
        <f t="shared" si="8"/>
        <v>148806.95847362513</v>
      </c>
      <c r="R63" s="6">
        <f t="shared" si="9"/>
        <v>16224.466891133558</v>
      </c>
      <c r="U63" s="6">
        <f t="shared" si="9"/>
        <v>36505.050505050502</v>
      </c>
    </row>
    <row r="64" spans="1:23" s="6" customFormat="1" x14ac:dyDescent="0.25">
      <c r="A64" s="10">
        <v>53</v>
      </c>
      <c r="B64" s="1">
        <v>3480000</v>
      </c>
      <c r="C64">
        <v>271351</v>
      </c>
      <c r="D64" s="6">
        <v>550000</v>
      </c>
      <c r="E64" s="6">
        <f t="shared" si="5"/>
        <v>42885.933908045976</v>
      </c>
      <c r="H64" s="6">
        <f t="shared" si="6"/>
        <v>251040.22988505746</v>
      </c>
      <c r="J64" s="6">
        <f t="shared" si="4"/>
        <v>151060.3448275862</v>
      </c>
      <c r="K64" s="6">
        <f t="shared" si="7"/>
        <v>97308.908045977005</v>
      </c>
      <c r="M64" s="6">
        <f t="shared" si="7"/>
        <v>177390.80459770115</v>
      </c>
      <c r="O64" s="6">
        <f t="shared" si="8"/>
        <v>355714.08045977011</v>
      </c>
      <c r="R64" s="6">
        <f t="shared" si="9"/>
        <v>25081.896551724138</v>
      </c>
      <c r="U64" s="6">
        <f t="shared" si="9"/>
        <v>6021.5517241379303</v>
      </c>
    </row>
    <row r="65" spans="1:23" s="6" customFormat="1" x14ac:dyDescent="0.25">
      <c r="A65" s="10">
        <v>54</v>
      </c>
      <c r="B65" s="1">
        <v>2570000</v>
      </c>
      <c r="C65">
        <v>166845</v>
      </c>
      <c r="D65" s="6">
        <v>416666.66666666669</v>
      </c>
      <c r="E65" s="6">
        <f t="shared" si="5"/>
        <v>27050.097276264594</v>
      </c>
      <c r="H65" s="6">
        <f t="shared" si="6"/>
        <v>244130.99870298317</v>
      </c>
      <c r="J65" s="6">
        <f t="shared" si="4"/>
        <v>227464.33203631648</v>
      </c>
      <c r="K65" s="6">
        <f t="shared" si="7"/>
        <v>15499.35149156939</v>
      </c>
      <c r="M65" s="6">
        <f t="shared" si="7"/>
        <v>310489.62386511028</v>
      </c>
      <c r="O65" s="6">
        <f t="shared" si="8"/>
        <v>194066.1478599222</v>
      </c>
      <c r="R65" s="6">
        <f t="shared" si="9"/>
        <v>11900.129701686123</v>
      </c>
      <c r="U65" s="6">
        <f t="shared" si="9"/>
        <v>3858.6251621271081</v>
      </c>
    </row>
    <row r="66" spans="1:23" s="6" customFormat="1" x14ac:dyDescent="0.25">
      <c r="A66" s="10">
        <v>55</v>
      </c>
      <c r="B66" s="1">
        <v>3410000</v>
      </c>
      <c r="C66">
        <v>287970</v>
      </c>
      <c r="D66" s="6">
        <v>516666.66666666669</v>
      </c>
      <c r="E66" s="6">
        <f t="shared" si="5"/>
        <v>43631.818181818184</v>
      </c>
      <c r="H66" s="6">
        <f t="shared" si="6"/>
        <v>285469.69696969696</v>
      </c>
      <c r="J66" s="6">
        <f t="shared" si="4"/>
        <v>259257.57575757577</v>
      </c>
      <c r="K66" s="6">
        <f t="shared" si="7"/>
        <v>24500</v>
      </c>
      <c r="M66" s="6">
        <f t="shared" si="7"/>
        <v>252257.57575757577</v>
      </c>
      <c r="O66" s="6">
        <f t="shared" si="8"/>
        <v>254136.36363636365</v>
      </c>
      <c r="R66" s="6">
        <f t="shared" si="9"/>
        <v>20787.878787878788</v>
      </c>
      <c r="U66" s="6">
        <f t="shared" si="9"/>
        <v>5606.060606060606</v>
      </c>
    </row>
    <row r="67" spans="1:23" s="6" customFormat="1" x14ac:dyDescent="0.25">
      <c r="A67" s="10">
        <v>56</v>
      </c>
      <c r="B67" s="1">
        <v>557000</v>
      </c>
      <c r="C67">
        <v>50939</v>
      </c>
      <c r="D67" s="6">
        <v>216666.66666666666</v>
      </c>
      <c r="E67" s="6">
        <f t="shared" si="5"/>
        <v>19814.691801316578</v>
      </c>
      <c r="H67" s="6">
        <f t="shared" si="6"/>
        <v>223785.15858767205</v>
      </c>
      <c r="J67" s="6">
        <f t="shared" si="4"/>
        <v>200134.64991023342</v>
      </c>
      <c r="K67" s="6">
        <f t="shared" si="7"/>
        <v>22639.13824057451</v>
      </c>
      <c r="M67" s="6">
        <f t="shared" si="7"/>
        <v>202468.58168761223</v>
      </c>
      <c r="O67" s="6">
        <f t="shared" si="8"/>
        <v>143031.11909036504</v>
      </c>
      <c r="R67" s="6">
        <f t="shared" si="9"/>
        <v>9141.2327947336926</v>
      </c>
      <c r="U67" s="6">
        <f t="shared" si="9"/>
        <v>34347.695990424894</v>
      </c>
    </row>
    <row r="68" spans="1:23" s="6" customFormat="1" x14ac:dyDescent="0.25">
      <c r="A68" s="10">
        <v>57</v>
      </c>
      <c r="B68" s="1">
        <v>3630000</v>
      </c>
      <c r="C68">
        <v>250239</v>
      </c>
      <c r="D68" s="6">
        <v>283333.33333333337</v>
      </c>
      <c r="E68" s="6">
        <f t="shared" si="5"/>
        <v>19531.9696969697</v>
      </c>
      <c r="H68" s="6">
        <f t="shared" si="6"/>
        <v>123019.74288337928</v>
      </c>
      <c r="J68" s="6">
        <f t="shared" si="4"/>
        <v>111741.04683195593</v>
      </c>
      <c r="K68" s="6">
        <f t="shared" si="7"/>
        <v>10740.128558310378</v>
      </c>
      <c r="M68" s="6">
        <f t="shared" si="7"/>
        <v>196858.12672176314</v>
      </c>
      <c r="O68" s="6">
        <f t="shared" si="8"/>
        <v>174925.160697888</v>
      </c>
      <c r="R68" s="6">
        <f t="shared" si="9"/>
        <v>10693.296602387514</v>
      </c>
      <c r="U68" s="6">
        <f t="shared" si="9"/>
        <v>18927.915518824611</v>
      </c>
    </row>
    <row r="69" spans="1:23" s="6" customFormat="1" x14ac:dyDescent="0.25">
      <c r="A69" s="10">
        <v>58</v>
      </c>
      <c r="B69" s="1">
        <v>3540000</v>
      </c>
      <c r="C69">
        <v>267223</v>
      </c>
      <c r="D69" s="6">
        <v>433333.33333333331</v>
      </c>
      <c r="E69" s="6">
        <f t="shared" si="5"/>
        <v>32710.913370998114</v>
      </c>
      <c r="H69" s="6">
        <f t="shared" si="6"/>
        <v>291679.84934086626</v>
      </c>
      <c r="J69" s="6">
        <f t="shared" si="4"/>
        <v>205906.77966101692</v>
      </c>
      <c r="K69" s="6">
        <f t="shared" si="7"/>
        <v>82492.467043314493</v>
      </c>
      <c r="M69" s="6">
        <f t="shared" si="7"/>
        <v>148349.34086629</v>
      </c>
      <c r="O69" s="6">
        <f t="shared" si="8"/>
        <v>242262.71186440677</v>
      </c>
      <c r="R69" s="6">
        <f t="shared" si="9"/>
        <v>16427.495291902069</v>
      </c>
      <c r="U69" s="6">
        <f t="shared" si="9"/>
        <v>5104.519774011299</v>
      </c>
    </row>
    <row r="70" spans="1:23" s="6" customFormat="1" x14ac:dyDescent="0.25">
      <c r="A70" s="10">
        <v>59</v>
      </c>
      <c r="B70" s="1">
        <v>3660000</v>
      </c>
      <c r="C70">
        <v>212516</v>
      </c>
      <c r="D70" s="6">
        <v>366666.66666666663</v>
      </c>
      <c r="E70" s="6">
        <f t="shared" si="5"/>
        <v>21290.309653916211</v>
      </c>
      <c r="H70" s="6">
        <f t="shared" si="6"/>
        <v>105992.7140255009</v>
      </c>
      <c r="J70" s="6">
        <f t="shared" si="4"/>
        <v>75807.832422586522</v>
      </c>
      <c r="K70" s="6">
        <f t="shared" si="7"/>
        <v>28762.295081967211</v>
      </c>
      <c r="M70" s="6">
        <f t="shared" si="7"/>
        <v>88801.457194899805</v>
      </c>
      <c r="O70" s="6">
        <f t="shared" si="8"/>
        <v>125448.08743169399</v>
      </c>
      <c r="R70" s="6">
        <f t="shared" si="9"/>
        <v>10288.706739526411</v>
      </c>
      <c r="U70" s="6">
        <f t="shared" si="9"/>
        <v>15818.761384335154</v>
      </c>
    </row>
    <row r="71" spans="1:23" s="12" customFormat="1" x14ac:dyDescent="0.25">
      <c r="A71" s="10">
        <v>60</v>
      </c>
      <c r="B71" s="1">
        <v>3200000</v>
      </c>
      <c r="C71">
        <v>308996</v>
      </c>
      <c r="D71" s="6">
        <v>600000</v>
      </c>
      <c r="E71" s="6">
        <f>(C71/B71)*D71</f>
        <v>57936.75</v>
      </c>
      <c r="H71" s="6">
        <f>H37*$E71</f>
        <v>619537.5</v>
      </c>
      <c r="I71" s="6"/>
      <c r="J71" s="6">
        <f t="shared" si="4"/>
        <v>600543.75</v>
      </c>
      <c r="K71" s="6">
        <f t="shared" si="7"/>
        <v>17306.25</v>
      </c>
      <c r="L71" s="6"/>
      <c r="M71" s="6">
        <f>M37*$E71</f>
        <v>405000</v>
      </c>
      <c r="O71" s="6">
        <f>O37*$E71</f>
        <v>652050</v>
      </c>
      <c r="Q71" s="6"/>
      <c r="R71" s="6">
        <f>R37*$E71</f>
        <v>9000</v>
      </c>
      <c r="S71" s="6"/>
      <c r="T71" s="6"/>
      <c r="U71" s="6">
        <f>U37*$E71</f>
        <v>14981.25</v>
      </c>
      <c r="W71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6105-86D8-DE40-824D-9EC1761B6BCF}">
  <dimension ref="A1:W70"/>
  <sheetViews>
    <sheetView topLeftCell="A16" workbookViewId="0">
      <selection activeCell="A55" sqref="A55"/>
    </sheetView>
  </sheetViews>
  <sheetFormatPr defaultColWidth="11" defaultRowHeight="15.75" x14ac:dyDescent="0.25"/>
  <cols>
    <col min="1" max="1" width="57.5" bestFit="1" customWidth="1"/>
  </cols>
  <sheetData>
    <row r="1" spans="1:21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295</v>
      </c>
      <c r="H1" t="s">
        <v>296</v>
      </c>
      <c r="I1" t="s">
        <v>297</v>
      </c>
      <c r="J1" t="s">
        <v>298</v>
      </c>
      <c r="K1" t="s">
        <v>299</v>
      </c>
      <c r="L1" t="s">
        <v>300</v>
      </c>
      <c r="M1" t="s">
        <v>337</v>
      </c>
      <c r="N1" t="s">
        <v>302</v>
      </c>
      <c r="O1" t="s">
        <v>303</v>
      </c>
      <c r="P1" t="s">
        <v>304</v>
      </c>
      <c r="Q1" t="s">
        <v>305</v>
      </c>
      <c r="R1" t="s">
        <v>306</v>
      </c>
      <c r="S1" t="s">
        <v>307</v>
      </c>
      <c r="T1" t="s">
        <v>308</v>
      </c>
      <c r="U1" t="s">
        <v>309</v>
      </c>
    </row>
    <row r="3" spans="1:21" x14ac:dyDescent="0.25">
      <c r="B3" s="1"/>
      <c r="C3" s="1"/>
      <c r="D3" s="1"/>
      <c r="E3" s="1"/>
      <c r="F3" s="1"/>
      <c r="I3" s="27"/>
      <c r="S3" s="1"/>
    </row>
    <row r="4" spans="1:21" x14ac:dyDescent="0.25">
      <c r="A4" t="s">
        <v>353</v>
      </c>
      <c r="B4" s="1">
        <v>3220000</v>
      </c>
      <c r="C4" s="1">
        <v>987000</v>
      </c>
      <c r="D4" s="1">
        <v>674000</v>
      </c>
      <c r="E4">
        <v>300798</v>
      </c>
      <c r="F4">
        <v>281644</v>
      </c>
      <c r="G4">
        <v>125651</v>
      </c>
      <c r="H4">
        <v>63995</v>
      </c>
      <c r="I4" s="28">
        <v>1230000</v>
      </c>
      <c r="J4">
        <v>63611</v>
      </c>
      <c r="K4">
        <v>333</v>
      </c>
      <c r="L4">
        <v>39721</v>
      </c>
      <c r="M4">
        <v>25142</v>
      </c>
      <c r="N4">
        <v>19402</v>
      </c>
      <c r="O4">
        <v>12671</v>
      </c>
      <c r="P4">
        <v>152386</v>
      </c>
      <c r="Q4">
        <v>21588</v>
      </c>
      <c r="R4">
        <v>42</v>
      </c>
      <c r="S4">
        <v>271263</v>
      </c>
      <c r="T4">
        <v>59530</v>
      </c>
      <c r="U4">
        <v>3236</v>
      </c>
    </row>
    <row r="5" spans="1:21" x14ac:dyDescent="0.25">
      <c r="A5" t="s">
        <v>354</v>
      </c>
      <c r="B5" s="1">
        <v>3110000</v>
      </c>
      <c r="C5" s="1">
        <v>866000</v>
      </c>
      <c r="D5" s="1">
        <v>684000</v>
      </c>
      <c r="E5" s="1">
        <v>467000</v>
      </c>
      <c r="F5" s="1">
        <v>450000</v>
      </c>
      <c r="G5">
        <v>127133</v>
      </c>
      <c r="H5">
        <v>41659</v>
      </c>
      <c r="I5" s="27">
        <v>298140</v>
      </c>
      <c r="J5">
        <v>34113</v>
      </c>
      <c r="K5">
        <v>7060</v>
      </c>
      <c r="L5">
        <v>39826</v>
      </c>
      <c r="M5">
        <v>28746</v>
      </c>
      <c r="N5">
        <v>65508</v>
      </c>
      <c r="O5">
        <v>51274</v>
      </c>
      <c r="P5">
        <v>315172</v>
      </c>
      <c r="Q5">
        <v>23043</v>
      </c>
      <c r="R5">
        <v>1148</v>
      </c>
      <c r="S5" s="1">
        <v>436000</v>
      </c>
      <c r="T5">
        <v>66207</v>
      </c>
      <c r="U5">
        <v>688</v>
      </c>
    </row>
    <row r="6" spans="1:21" x14ac:dyDescent="0.25">
      <c r="A6" t="s">
        <v>355</v>
      </c>
      <c r="B6" s="1">
        <v>2700000</v>
      </c>
      <c r="C6" s="1">
        <v>595000</v>
      </c>
      <c r="D6" s="1">
        <v>432000</v>
      </c>
      <c r="E6">
        <v>242602</v>
      </c>
      <c r="F6">
        <v>228093</v>
      </c>
      <c r="G6">
        <v>46861</v>
      </c>
      <c r="H6">
        <v>16067</v>
      </c>
      <c r="I6" s="28">
        <v>418000</v>
      </c>
      <c r="J6">
        <v>12513</v>
      </c>
      <c r="K6">
        <v>3466</v>
      </c>
      <c r="L6">
        <v>15652</v>
      </c>
      <c r="M6">
        <v>10847</v>
      </c>
      <c r="N6">
        <v>27922</v>
      </c>
      <c r="O6">
        <v>11919</v>
      </c>
      <c r="P6">
        <v>179906</v>
      </c>
      <c r="Q6">
        <v>10742</v>
      </c>
      <c r="R6">
        <v>1955</v>
      </c>
      <c r="S6">
        <v>223838</v>
      </c>
      <c r="T6">
        <v>36139</v>
      </c>
      <c r="U6">
        <v>4506</v>
      </c>
    </row>
    <row r="7" spans="1:21" x14ac:dyDescent="0.25">
      <c r="A7" t="s">
        <v>356</v>
      </c>
      <c r="B7" s="1">
        <v>2890000</v>
      </c>
      <c r="C7" s="1">
        <v>741000</v>
      </c>
      <c r="D7" s="1">
        <v>548000</v>
      </c>
      <c r="E7">
        <v>216597</v>
      </c>
      <c r="F7">
        <v>190122</v>
      </c>
      <c r="G7">
        <v>68500</v>
      </c>
      <c r="H7">
        <v>24107</v>
      </c>
      <c r="I7" s="27">
        <v>95974</v>
      </c>
      <c r="J7">
        <v>13227</v>
      </c>
      <c r="K7">
        <v>10550</v>
      </c>
      <c r="L7">
        <v>21949</v>
      </c>
      <c r="M7">
        <v>14503</v>
      </c>
      <c r="N7">
        <v>29033</v>
      </c>
      <c r="O7">
        <v>15514</v>
      </c>
      <c r="P7">
        <v>118602</v>
      </c>
      <c r="Q7">
        <v>8776</v>
      </c>
      <c r="R7">
        <v>2133</v>
      </c>
      <c r="S7">
        <v>187446</v>
      </c>
      <c r="T7">
        <v>37591</v>
      </c>
      <c r="U7">
        <v>2423</v>
      </c>
    </row>
    <row r="8" spans="1:21" x14ac:dyDescent="0.25">
      <c r="A8" t="s">
        <v>357</v>
      </c>
      <c r="B8" s="1">
        <v>3360000</v>
      </c>
      <c r="C8" s="1">
        <v>1090000</v>
      </c>
      <c r="D8" s="1">
        <v>781000</v>
      </c>
      <c r="E8" s="1">
        <v>536000</v>
      </c>
      <c r="F8" s="1">
        <v>511000</v>
      </c>
      <c r="G8">
        <v>166402</v>
      </c>
      <c r="H8">
        <v>51924</v>
      </c>
      <c r="I8" s="27">
        <v>322274</v>
      </c>
      <c r="J8">
        <v>41856</v>
      </c>
      <c r="K8">
        <v>9501</v>
      </c>
      <c r="L8">
        <v>91505</v>
      </c>
      <c r="M8">
        <v>67764</v>
      </c>
      <c r="N8">
        <v>75353</v>
      </c>
      <c r="O8">
        <v>35190</v>
      </c>
      <c r="P8">
        <v>340197</v>
      </c>
      <c r="Q8">
        <v>69994</v>
      </c>
      <c r="R8">
        <v>480</v>
      </c>
      <c r="S8" s="1">
        <v>471000</v>
      </c>
      <c r="T8">
        <v>141135</v>
      </c>
      <c r="U8">
        <v>37142</v>
      </c>
    </row>
    <row r="9" spans="1:21" x14ac:dyDescent="0.25">
      <c r="A9" t="s">
        <v>358</v>
      </c>
      <c r="B9" s="1">
        <v>3160000</v>
      </c>
      <c r="C9" s="1">
        <v>821000</v>
      </c>
      <c r="D9" s="1">
        <v>618000</v>
      </c>
      <c r="E9">
        <v>356179</v>
      </c>
      <c r="F9">
        <v>335350</v>
      </c>
      <c r="G9">
        <v>97554</v>
      </c>
      <c r="H9">
        <v>34619</v>
      </c>
      <c r="I9" s="27">
        <v>253212</v>
      </c>
      <c r="J9">
        <v>25852</v>
      </c>
      <c r="K9">
        <v>8338</v>
      </c>
      <c r="L9">
        <v>43030</v>
      </c>
      <c r="M9">
        <v>31541</v>
      </c>
      <c r="N9">
        <v>44768</v>
      </c>
      <c r="O9">
        <v>29591</v>
      </c>
      <c r="P9">
        <v>234097</v>
      </c>
      <c r="Q9">
        <v>42009</v>
      </c>
      <c r="R9">
        <v>1017</v>
      </c>
      <c r="S9">
        <v>319671</v>
      </c>
      <c r="T9">
        <v>81724</v>
      </c>
      <c r="U9">
        <v>8795</v>
      </c>
    </row>
    <row r="10" spans="1:21" x14ac:dyDescent="0.25">
      <c r="A10" t="s">
        <v>359</v>
      </c>
      <c r="B10" s="1">
        <v>1840000</v>
      </c>
      <c r="C10">
        <v>330082</v>
      </c>
      <c r="D10">
        <v>245138</v>
      </c>
      <c r="E10">
        <v>138332</v>
      </c>
      <c r="F10">
        <v>128958</v>
      </c>
      <c r="G10">
        <v>29588</v>
      </c>
      <c r="H10">
        <v>10017</v>
      </c>
      <c r="I10" s="27">
        <v>16685</v>
      </c>
      <c r="J10">
        <v>2008</v>
      </c>
      <c r="K10">
        <v>7778</v>
      </c>
      <c r="L10">
        <v>8448</v>
      </c>
      <c r="M10">
        <v>4738</v>
      </c>
      <c r="N10">
        <v>19983</v>
      </c>
      <c r="O10">
        <v>8678</v>
      </c>
      <c r="P10">
        <v>98257</v>
      </c>
      <c r="Q10">
        <v>6666</v>
      </c>
      <c r="R10">
        <v>1334</v>
      </c>
      <c r="S10">
        <v>127211</v>
      </c>
      <c r="T10">
        <v>25186</v>
      </c>
      <c r="U10">
        <v>1449</v>
      </c>
    </row>
    <row r="11" spans="1:21" x14ac:dyDescent="0.25">
      <c r="A11" t="s">
        <v>360</v>
      </c>
      <c r="B11" s="1">
        <v>2600000</v>
      </c>
      <c r="C11" s="1">
        <v>507000</v>
      </c>
      <c r="D11">
        <v>376753</v>
      </c>
      <c r="E11">
        <v>209492</v>
      </c>
      <c r="F11">
        <v>192999</v>
      </c>
      <c r="G11">
        <v>64153</v>
      </c>
      <c r="H11">
        <v>11650</v>
      </c>
      <c r="I11" s="28">
        <v>520000</v>
      </c>
      <c r="J11">
        <v>10089</v>
      </c>
      <c r="K11">
        <v>1448</v>
      </c>
      <c r="L11">
        <v>34283</v>
      </c>
      <c r="M11">
        <v>27100</v>
      </c>
      <c r="N11">
        <v>21679</v>
      </c>
      <c r="O11">
        <v>10751</v>
      </c>
      <c r="P11">
        <v>126116</v>
      </c>
      <c r="Q11">
        <v>12105</v>
      </c>
      <c r="R11">
        <v>948</v>
      </c>
      <c r="S11">
        <v>190844</v>
      </c>
      <c r="T11">
        <v>38763</v>
      </c>
      <c r="U11">
        <v>4866</v>
      </c>
    </row>
    <row r="12" spans="1:21" x14ac:dyDescent="0.25">
      <c r="A12" t="s">
        <v>361</v>
      </c>
      <c r="B12" s="1">
        <v>2230000</v>
      </c>
      <c r="C12" s="1">
        <v>673000</v>
      </c>
      <c r="D12" s="1">
        <v>530000</v>
      </c>
      <c r="E12">
        <v>345727</v>
      </c>
      <c r="F12">
        <v>320431</v>
      </c>
      <c r="G12">
        <v>61754</v>
      </c>
      <c r="H12">
        <v>24632</v>
      </c>
      <c r="I12" s="27">
        <v>188355</v>
      </c>
      <c r="J12">
        <v>17220</v>
      </c>
      <c r="K12">
        <v>7031</v>
      </c>
      <c r="L12">
        <v>26247</v>
      </c>
      <c r="M12">
        <v>12602</v>
      </c>
      <c r="N12">
        <v>37004</v>
      </c>
      <c r="O12">
        <v>18696</v>
      </c>
      <c r="P12">
        <v>256820</v>
      </c>
      <c r="Q12">
        <v>18131</v>
      </c>
      <c r="R12">
        <v>944</v>
      </c>
      <c r="S12">
        <v>307121</v>
      </c>
      <c r="T12">
        <v>53974</v>
      </c>
      <c r="U12">
        <v>12164</v>
      </c>
    </row>
    <row r="13" spans="1:21" x14ac:dyDescent="0.25">
      <c r="A13" t="s">
        <v>362</v>
      </c>
      <c r="B13" s="1">
        <v>4000000</v>
      </c>
      <c r="C13" s="1">
        <v>1490000</v>
      </c>
      <c r="D13" s="1">
        <v>980000</v>
      </c>
      <c r="E13" s="1">
        <v>668000</v>
      </c>
      <c r="F13" s="1">
        <v>576000</v>
      </c>
      <c r="G13">
        <v>230060</v>
      </c>
      <c r="H13">
        <v>78331</v>
      </c>
      <c r="I13" s="27">
        <v>119044</v>
      </c>
      <c r="J13">
        <v>48912</v>
      </c>
      <c r="K13">
        <v>27728</v>
      </c>
      <c r="L13">
        <v>83929</v>
      </c>
      <c r="M13">
        <v>47667</v>
      </c>
      <c r="N13">
        <v>126725</v>
      </c>
      <c r="O13">
        <v>56897</v>
      </c>
      <c r="P13">
        <v>338198</v>
      </c>
      <c r="Q13">
        <v>104956</v>
      </c>
      <c r="R13">
        <v>544</v>
      </c>
      <c r="S13" s="1">
        <v>503000</v>
      </c>
      <c r="T13">
        <v>217695</v>
      </c>
      <c r="U13">
        <v>27678</v>
      </c>
    </row>
    <row r="14" spans="1:21" x14ac:dyDescent="0.25">
      <c r="A14" t="s">
        <v>363</v>
      </c>
      <c r="B14" s="1">
        <v>4000000</v>
      </c>
      <c r="C14" s="1">
        <v>973000</v>
      </c>
      <c r="D14" s="1">
        <v>759000</v>
      </c>
      <c r="E14" s="1">
        <v>499000</v>
      </c>
      <c r="F14" s="1">
        <v>457000</v>
      </c>
      <c r="G14">
        <v>178477</v>
      </c>
      <c r="H14">
        <v>51009</v>
      </c>
      <c r="I14" s="28">
        <v>560000</v>
      </c>
      <c r="J14">
        <v>45957</v>
      </c>
      <c r="K14">
        <v>4736</v>
      </c>
      <c r="L14">
        <v>33161</v>
      </c>
      <c r="M14">
        <v>27842</v>
      </c>
      <c r="N14">
        <v>121561</v>
      </c>
      <c r="O14">
        <v>95443</v>
      </c>
      <c r="P14">
        <v>272188</v>
      </c>
      <c r="Q14">
        <v>33063</v>
      </c>
      <c r="R14">
        <v>630</v>
      </c>
      <c r="S14" s="1">
        <v>455000</v>
      </c>
      <c r="T14">
        <v>113038</v>
      </c>
      <c r="U14">
        <v>16841</v>
      </c>
    </row>
    <row r="15" spans="1:21" x14ac:dyDescent="0.25">
      <c r="A15" t="s">
        <v>364</v>
      </c>
      <c r="B15" s="1">
        <v>2340000</v>
      </c>
      <c r="C15" s="1">
        <v>402000</v>
      </c>
      <c r="D15">
        <v>284407</v>
      </c>
      <c r="E15">
        <v>142075</v>
      </c>
      <c r="F15">
        <v>121848</v>
      </c>
      <c r="G15">
        <v>43133</v>
      </c>
      <c r="H15">
        <v>13663</v>
      </c>
      <c r="I15" s="27">
        <v>37404</v>
      </c>
      <c r="J15">
        <v>5000</v>
      </c>
      <c r="K15">
        <v>8348</v>
      </c>
      <c r="L15">
        <v>21513</v>
      </c>
      <c r="M15">
        <v>17341</v>
      </c>
      <c r="N15">
        <v>19835</v>
      </c>
      <c r="O15">
        <v>11418</v>
      </c>
      <c r="P15">
        <v>78100</v>
      </c>
      <c r="Q15">
        <v>7055</v>
      </c>
      <c r="R15">
        <v>3465</v>
      </c>
      <c r="S15">
        <v>116985</v>
      </c>
      <c r="T15">
        <v>26115</v>
      </c>
      <c r="U15">
        <v>1062</v>
      </c>
    </row>
    <row r="16" spans="1:21" x14ac:dyDescent="0.25">
      <c r="A16" t="s">
        <v>365</v>
      </c>
      <c r="B16" s="1">
        <v>2170000</v>
      </c>
      <c r="C16" s="1">
        <v>418000</v>
      </c>
      <c r="D16">
        <v>303107</v>
      </c>
      <c r="E16">
        <v>166310</v>
      </c>
      <c r="F16">
        <v>136827</v>
      </c>
      <c r="G16">
        <v>39786</v>
      </c>
      <c r="H16">
        <v>11738</v>
      </c>
      <c r="I16" s="27">
        <v>70567</v>
      </c>
      <c r="J16">
        <v>5815</v>
      </c>
      <c r="K16">
        <v>5724</v>
      </c>
      <c r="L16">
        <v>14631</v>
      </c>
      <c r="M16">
        <v>9865</v>
      </c>
      <c r="N16">
        <v>23105</v>
      </c>
      <c r="O16">
        <v>16989</v>
      </c>
      <c r="P16">
        <v>96308</v>
      </c>
      <c r="Q16">
        <v>6411</v>
      </c>
      <c r="R16">
        <v>1088</v>
      </c>
      <c r="S16">
        <v>134045</v>
      </c>
      <c r="T16">
        <v>22054</v>
      </c>
      <c r="U16">
        <v>734</v>
      </c>
    </row>
    <row r="17" spans="1:23" x14ac:dyDescent="0.25">
      <c r="A17" t="s">
        <v>366</v>
      </c>
      <c r="B17" s="1">
        <v>4000000</v>
      </c>
      <c r="C17" s="1">
        <v>1240000</v>
      </c>
      <c r="D17" s="1">
        <v>802000</v>
      </c>
      <c r="E17" s="1">
        <v>609000</v>
      </c>
      <c r="F17" s="1">
        <v>518000</v>
      </c>
      <c r="G17">
        <v>193182</v>
      </c>
      <c r="H17">
        <v>103008</v>
      </c>
      <c r="I17" s="27">
        <v>276986</v>
      </c>
      <c r="J17">
        <v>88639</v>
      </c>
      <c r="K17">
        <v>13043</v>
      </c>
      <c r="L17">
        <v>39737</v>
      </c>
      <c r="M17">
        <v>27721</v>
      </c>
      <c r="N17">
        <v>159331</v>
      </c>
      <c r="O17">
        <v>65091</v>
      </c>
      <c r="P17">
        <v>317127</v>
      </c>
      <c r="Q17">
        <v>74983</v>
      </c>
      <c r="R17">
        <v>351</v>
      </c>
      <c r="S17" s="1">
        <v>439000</v>
      </c>
      <c r="T17">
        <v>168879</v>
      </c>
      <c r="U17">
        <v>21842</v>
      </c>
    </row>
    <row r="18" spans="1:23" x14ac:dyDescent="0.25">
      <c r="B18" s="1" t="s">
        <v>70</v>
      </c>
      <c r="C18" s="1"/>
      <c r="D18" s="1" t="s">
        <v>324</v>
      </c>
      <c r="E18" t="s">
        <v>325</v>
      </c>
      <c r="F18" s="1" t="s">
        <v>326</v>
      </c>
      <c r="G18" s="1" t="s">
        <v>327</v>
      </c>
      <c r="H18" s="3" t="s">
        <v>328</v>
      </c>
      <c r="I18" s="28" t="s">
        <v>329</v>
      </c>
      <c r="J18" s="3" t="s">
        <v>330</v>
      </c>
      <c r="K18" s="3" t="s">
        <v>331</v>
      </c>
      <c r="M18" s="3" t="s">
        <v>17</v>
      </c>
      <c r="O18" s="3" t="s">
        <v>332</v>
      </c>
      <c r="R18" s="4" t="s">
        <v>333</v>
      </c>
      <c r="U18" s="4" t="s">
        <v>334</v>
      </c>
    </row>
    <row r="19" spans="1:23" x14ac:dyDescent="0.25">
      <c r="B19" s="1"/>
    </row>
    <row r="20" spans="1:23" s="7" customFormat="1" x14ac:dyDescent="0.25">
      <c r="A20" s="7" t="s">
        <v>85</v>
      </c>
    </row>
    <row r="21" spans="1:23" x14ac:dyDescent="0.25">
      <c r="B21" s="1" t="s">
        <v>70</v>
      </c>
      <c r="C21" s="1"/>
      <c r="D21" s="1" t="s">
        <v>324</v>
      </c>
      <c r="E21" t="s">
        <v>325</v>
      </c>
      <c r="F21" s="1" t="s">
        <v>326</v>
      </c>
      <c r="G21" s="1" t="s">
        <v>327</v>
      </c>
      <c r="H21" s="3" t="s">
        <v>328</v>
      </c>
      <c r="I21" s="24" t="s">
        <v>329</v>
      </c>
      <c r="J21" s="3" t="s">
        <v>330</v>
      </c>
      <c r="K21" s="3" t="s">
        <v>331</v>
      </c>
      <c r="M21" s="3" t="s">
        <v>17</v>
      </c>
      <c r="O21" s="3" t="s">
        <v>332</v>
      </c>
      <c r="R21" s="4" t="s">
        <v>333</v>
      </c>
      <c r="U21" s="4" t="s">
        <v>334</v>
      </c>
    </row>
    <row r="23" spans="1:23" x14ac:dyDescent="0.25">
      <c r="A23" s="7">
        <v>62</v>
      </c>
      <c r="F23">
        <f>100*F4/$E4</f>
        <v>93.632271491166833</v>
      </c>
      <c r="G23">
        <f t="shared" ref="F23:K36" si="0">100*G4/$E4</f>
        <v>41.772551679199992</v>
      </c>
      <c r="H23">
        <f t="shared" si="0"/>
        <v>21.275074967253772</v>
      </c>
      <c r="I23" s="4"/>
      <c r="J23">
        <f t="shared" si="0"/>
        <v>21.147414543979682</v>
      </c>
      <c r="K23">
        <f>100*K4/$E4</f>
        <v>0.11070552330800072</v>
      </c>
      <c r="L23">
        <f t="shared" ref="L23:T36" si="1">100*L4/$E4</f>
        <v>13.205207481432723</v>
      </c>
      <c r="M23">
        <f t="shared" si="1"/>
        <v>8.3584332342635257</v>
      </c>
      <c r="N23">
        <f t="shared" si="1"/>
        <v>6.4501758655310208</v>
      </c>
      <c r="O23">
        <f t="shared" si="1"/>
        <v>4.212461519026057</v>
      </c>
      <c r="P23">
        <f t="shared" si="1"/>
        <v>50.660576200639632</v>
      </c>
      <c r="Q23">
        <f t="shared" si="1"/>
        <v>7.1769094209402988</v>
      </c>
      <c r="R23">
        <f t="shared" si="1"/>
        <v>1.3962858795603694E-2</v>
      </c>
      <c r="S23">
        <f t="shared" si="1"/>
        <v>90.181118225520123</v>
      </c>
      <c r="T23">
        <f t="shared" si="1"/>
        <v>19.790690097673522</v>
      </c>
      <c r="U23">
        <f t="shared" ref="U23" si="2">100*U4/$E4</f>
        <v>1.0758050252993703</v>
      </c>
      <c r="W23" s="4"/>
    </row>
    <row r="24" spans="1:23" x14ac:dyDescent="0.25">
      <c r="A24" s="7">
        <v>63</v>
      </c>
      <c r="F24">
        <f t="shared" si="0"/>
        <v>96.359743040685231</v>
      </c>
      <c r="G24">
        <f t="shared" si="0"/>
        <v>27.223340471092076</v>
      </c>
      <c r="H24">
        <f t="shared" si="0"/>
        <v>8.9205567451820134</v>
      </c>
      <c r="I24" s="4"/>
      <c r="J24">
        <f t="shared" si="0"/>
        <v>7.3047109207708782</v>
      </c>
      <c r="K24">
        <f t="shared" si="0"/>
        <v>1.5117773019271949</v>
      </c>
      <c r="L24">
        <f t="shared" si="1"/>
        <v>8.5280513918629559</v>
      </c>
      <c r="M24">
        <f t="shared" si="1"/>
        <v>6.155460385438972</v>
      </c>
      <c r="N24">
        <f t="shared" si="1"/>
        <v>14.027408993576017</v>
      </c>
      <c r="O24">
        <f t="shared" si="1"/>
        <v>10.979443254817987</v>
      </c>
      <c r="P24">
        <f t="shared" si="1"/>
        <v>67.488650963597436</v>
      </c>
      <c r="Q24">
        <f t="shared" si="1"/>
        <v>4.9342612419700211</v>
      </c>
      <c r="R24">
        <f t="shared" si="1"/>
        <v>0.24582441113490364</v>
      </c>
      <c r="S24">
        <f t="shared" si="1"/>
        <v>93.361884368308353</v>
      </c>
      <c r="T24">
        <f t="shared" si="1"/>
        <v>14.177087794432548</v>
      </c>
      <c r="U24">
        <f t="shared" ref="U24" si="3">100*U5/$E5</f>
        <v>0.14732334047109208</v>
      </c>
      <c r="W24" s="4"/>
    </row>
    <row r="25" spans="1:23" x14ac:dyDescent="0.25">
      <c r="A25" s="7">
        <v>64</v>
      </c>
      <c r="F25">
        <f t="shared" si="0"/>
        <v>94.019422758262508</v>
      </c>
      <c r="G25">
        <f t="shared" si="0"/>
        <v>19.315999043701208</v>
      </c>
      <c r="H25">
        <f t="shared" si="0"/>
        <v>6.6227813455783551</v>
      </c>
      <c r="I25" s="4"/>
      <c r="J25">
        <f t="shared" si="0"/>
        <v>5.157830520770645</v>
      </c>
      <c r="K25">
        <f t="shared" si="0"/>
        <v>1.4286774222801131</v>
      </c>
      <c r="L25">
        <f t="shared" si="1"/>
        <v>6.4517192768402571</v>
      </c>
      <c r="M25">
        <f t="shared" si="1"/>
        <v>4.4711090592822815</v>
      </c>
      <c r="N25">
        <f t="shared" si="1"/>
        <v>11.509385742904016</v>
      </c>
      <c r="O25">
        <f t="shared" si="1"/>
        <v>4.9129850537093676</v>
      </c>
      <c r="P25">
        <f t="shared" si="1"/>
        <v>74.15684949011137</v>
      </c>
      <c r="Q25">
        <f t="shared" si="1"/>
        <v>4.4278282949027625</v>
      </c>
      <c r="R25">
        <f t="shared" si="1"/>
        <v>0.80584661297103899</v>
      </c>
      <c r="S25">
        <f t="shared" si="1"/>
        <v>92.265521306502009</v>
      </c>
      <c r="T25">
        <f t="shared" si="1"/>
        <v>14.896414703918351</v>
      </c>
      <c r="U25">
        <f t="shared" ref="U25" si="4">100*U6/$E6</f>
        <v>1.857363088515346</v>
      </c>
      <c r="W25" s="4"/>
    </row>
    <row r="26" spans="1:23" x14ac:dyDescent="0.25">
      <c r="A26" s="7">
        <v>65</v>
      </c>
      <c r="F26">
        <f t="shared" si="0"/>
        <v>87.776839014390788</v>
      </c>
      <c r="G26">
        <f t="shared" si="0"/>
        <v>31.625553447185325</v>
      </c>
      <c r="H26">
        <f t="shared" si="0"/>
        <v>11.129886378851046</v>
      </c>
      <c r="I26" s="4"/>
      <c r="J26">
        <f t="shared" si="0"/>
        <v>6.1067327802324129</v>
      </c>
      <c r="K26">
        <f t="shared" si="0"/>
        <v>4.8707969177781782</v>
      </c>
      <c r="L26">
        <f t="shared" si="1"/>
        <v>10.133566023536799</v>
      </c>
      <c r="M26">
        <f t="shared" si="1"/>
        <v>6.6958452794821719</v>
      </c>
      <c r="N26">
        <f t="shared" si="1"/>
        <v>13.404156105578563</v>
      </c>
      <c r="O26">
        <f t="shared" si="1"/>
        <v>7.1626107471479292</v>
      </c>
      <c r="P26">
        <f t="shared" si="1"/>
        <v>54.756991094059472</v>
      </c>
      <c r="Q26">
        <f t="shared" si="1"/>
        <v>4.0517643365328233</v>
      </c>
      <c r="R26">
        <f t="shared" si="1"/>
        <v>0.98477818252330362</v>
      </c>
      <c r="S26">
        <f t="shared" si="1"/>
        <v>86.541364838848182</v>
      </c>
      <c r="T26">
        <f t="shared" si="1"/>
        <v>17.35527269537436</v>
      </c>
      <c r="U26">
        <f t="shared" ref="U26" si="5">100*U7/$E7</f>
        <v>1.1186673868982489</v>
      </c>
      <c r="W26" s="4"/>
    </row>
    <row r="27" spans="1:23" x14ac:dyDescent="0.25">
      <c r="A27" s="7">
        <v>66</v>
      </c>
      <c r="F27">
        <f t="shared" si="0"/>
        <v>95.335820895522389</v>
      </c>
      <c r="G27">
        <f t="shared" si="0"/>
        <v>31.045149253731342</v>
      </c>
      <c r="H27">
        <f t="shared" si="0"/>
        <v>9.6873134328358201</v>
      </c>
      <c r="I27" s="4"/>
      <c r="J27">
        <f t="shared" si="0"/>
        <v>7.8089552238805968</v>
      </c>
      <c r="K27">
        <f t="shared" si="0"/>
        <v>1.7725746268656717</v>
      </c>
      <c r="L27">
        <f t="shared" si="1"/>
        <v>17.071828358208954</v>
      </c>
      <c r="M27">
        <f t="shared" si="1"/>
        <v>12.642537313432836</v>
      </c>
      <c r="N27">
        <f t="shared" si="1"/>
        <v>14.058395522388059</v>
      </c>
      <c r="O27">
        <f t="shared" si="1"/>
        <v>6.5652985074626864</v>
      </c>
      <c r="P27">
        <f t="shared" si="1"/>
        <v>63.469589552238808</v>
      </c>
      <c r="Q27">
        <f t="shared" si="1"/>
        <v>13.058582089552239</v>
      </c>
      <c r="R27">
        <f t="shared" si="1"/>
        <v>8.9552238805970144E-2</v>
      </c>
      <c r="S27">
        <f t="shared" si="1"/>
        <v>87.873134328358205</v>
      </c>
      <c r="T27">
        <f t="shared" si="1"/>
        <v>26.331156716417912</v>
      </c>
      <c r="U27">
        <f t="shared" ref="U27" si="6">100*U8/$E8</f>
        <v>6.9294776119402988</v>
      </c>
      <c r="W27" s="4"/>
    </row>
    <row r="28" spans="1:23" x14ac:dyDescent="0.25">
      <c r="A28" s="7">
        <v>67</v>
      </c>
      <c r="F28">
        <f t="shared" si="0"/>
        <v>94.152097681222088</v>
      </c>
      <c r="G28">
        <f t="shared" si="0"/>
        <v>27.389037534498105</v>
      </c>
      <c r="H28">
        <f t="shared" si="0"/>
        <v>9.7195511245750037</v>
      </c>
      <c r="I28" s="4"/>
      <c r="J28">
        <f t="shared" si="0"/>
        <v>7.2581482906066892</v>
      </c>
      <c r="K28">
        <f t="shared" si="0"/>
        <v>2.3409577768481578</v>
      </c>
      <c r="L28">
        <f t="shared" si="1"/>
        <v>12.081004214173211</v>
      </c>
      <c r="M28">
        <f t="shared" si="1"/>
        <v>8.8553788965660516</v>
      </c>
      <c r="N28">
        <f t="shared" si="1"/>
        <v>12.56896111224974</v>
      </c>
      <c r="O28">
        <f t="shared" si="1"/>
        <v>8.3079013642017081</v>
      </c>
      <c r="P28">
        <f t="shared" si="1"/>
        <v>65.724537381485149</v>
      </c>
      <c r="Q28">
        <f t="shared" si="1"/>
        <v>11.794350593381418</v>
      </c>
      <c r="R28">
        <f t="shared" si="1"/>
        <v>0.2855305899561737</v>
      </c>
      <c r="S28">
        <f t="shared" si="1"/>
        <v>89.750097563303839</v>
      </c>
      <c r="T28">
        <f t="shared" si="1"/>
        <v>22.944643002535241</v>
      </c>
      <c r="U28">
        <f t="shared" ref="U28" si="7">100*U9/$E9</f>
        <v>2.4692640498176477</v>
      </c>
      <c r="W28" s="4"/>
    </row>
    <row r="29" spans="1:23" x14ac:dyDescent="0.25">
      <c r="A29" s="7">
        <v>68</v>
      </c>
      <c r="F29">
        <f t="shared" si="0"/>
        <v>93.223549142642341</v>
      </c>
      <c r="G29">
        <f t="shared" si="0"/>
        <v>21.389121822860943</v>
      </c>
      <c r="H29">
        <f t="shared" si="0"/>
        <v>7.2412746146950813</v>
      </c>
      <c r="I29" s="4"/>
      <c r="J29">
        <f t="shared" si="0"/>
        <v>1.4515802561952404</v>
      </c>
      <c r="K29">
        <f t="shared" si="0"/>
        <v>5.6227047971546718</v>
      </c>
      <c r="L29">
        <f t="shared" si="1"/>
        <v>6.1070468149090598</v>
      </c>
      <c r="M29">
        <f t="shared" si="1"/>
        <v>3.4250932539108812</v>
      </c>
      <c r="N29">
        <f t="shared" si="1"/>
        <v>14.445681404158112</v>
      </c>
      <c r="O29">
        <f t="shared" si="1"/>
        <v>6.2733134777202668</v>
      </c>
      <c r="P29">
        <f t="shared" si="1"/>
        <v>71.02984125148194</v>
      </c>
      <c r="Q29">
        <f t="shared" si="1"/>
        <v>4.8188416273891796</v>
      </c>
      <c r="R29">
        <f t="shared" si="1"/>
        <v>0.96434664430500538</v>
      </c>
      <c r="S29">
        <f t="shared" si="1"/>
        <v>91.960645403811128</v>
      </c>
      <c r="T29">
        <f t="shared" si="1"/>
        <v>18.206922476361218</v>
      </c>
      <c r="U29">
        <f t="shared" ref="U29" si="8">100*U10/$E10</f>
        <v>1.0474799757106092</v>
      </c>
      <c r="W29" s="4"/>
    </row>
    <row r="30" spans="1:23" x14ac:dyDescent="0.25">
      <c r="A30" s="7">
        <v>69</v>
      </c>
      <c r="F30">
        <f t="shared" si="0"/>
        <v>92.127145666660297</v>
      </c>
      <c r="G30">
        <f t="shared" si="0"/>
        <v>30.623126420101961</v>
      </c>
      <c r="H30">
        <f t="shared" si="0"/>
        <v>5.5610715444981196</v>
      </c>
      <c r="I30" s="4"/>
      <c r="J30">
        <f t="shared" si="0"/>
        <v>4.8159356920550662</v>
      </c>
      <c r="K30">
        <f t="shared" si="0"/>
        <v>0.69119584518740573</v>
      </c>
      <c r="L30">
        <f t="shared" si="1"/>
        <v>16.364825387126956</v>
      </c>
      <c r="M30">
        <f t="shared" si="1"/>
        <v>12.936054837416226</v>
      </c>
      <c r="N30">
        <f t="shared" si="1"/>
        <v>10.348366524736027</v>
      </c>
      <c r="O30">
        <f t="shared" si="1"/>
        <v>5.1319382124377064</v>
      </c>
      <c r="P30">
        <f t="shared" si="1"/>
        <v>60.200866858877667</v>
      </c>
      <c r="Q30">
        <f t="shared" si="1"/>
        <v>5.7782636091115656</v>
      </c>
      <c r="R30">
        <f t="shared" si="1"/>
        <v>0.45252324671109162</v>
      </c>
      <c r="S30">
        <f t="shared" si="1"/>
        <v>91.098466767227393</v>
      </c>
      <c r="T30">
        <f t="shared" si="1"/>
        <v>18.503331869474728</v>
      </c>
      <c r="U30">
        <f t="shared" ref="U30" si="9">100*U11/$E11</f>
        <v>2.3227617283714892</v>
      </c>
      <c r="W30" s="4"/>
    </row>
    <row r="31" spans="1:23" x14ac:dyDescent="0.25">
      <c r="A31" s="7">
        <v>70</v>
      </c>
      <c r="F31">
        <f t="shared" si="0"/>
        <v>92.683244293908203</v>
      </c>
      <c r="G31">
        <f t="shared" si="0"/>
        <v>17.862070361875123</v>
      </c>
      <c r="H31">
        <f t="shared" si="0"/>
        <v>7.1246966537181073</v>
      </c>
      <c r="I31" s="4"/>
      <c r="J31">
        <f t="shared" si="0"/>
        <v>4.980808557040671</v>
      </c>
      <c r="K31">
        <f t="shared" si="0"/>
        <v>2.0336855380112056</v>
      </c>
      <c r="L31">
        <f t="shared" si="1"/>
        <v>7.5918282344161723</v>
      </c>
      <c r="M31">
        <f t="shared" si="1"/>
        <v>3.6450725572489278</v>
      </c>
      <c r="N31">
        <f t="shared" si="1"/>
        <v>10.70324273198217</v>
      </c>
      <c r="O31">
        <f t="shared" si="1"/>
        <v>5.4077350047870141</v>
      </c>
      <c r="P31">
        <f t="shared" si="1"/>
        <v>74.284044925620506</v>
      </c>
      <c r="Q31">
        <f t="shared" si="1"/>
        <v>5.2443112629328921</v>
      </c>
      <c r="R31">
        <f t="shared" si="1"/>
        <v>0.27304780939874523</v>
      </c>
      <c r="S31">
        <f t="shared" si="1"/>
        <v>88.833385879610219</v>
      </c>
      <c r="T31">
        <f t="shared" si="1"/>
        <v>15.611739898821902</v>
      </c>
      <c r="U31">
        <f t="shared" ref="U31" si="10">100*U12/$E12</f>
        <v>3.5183830016168827</v>
      </c>
      <c r="W31" s="4"/>
    </row>
    <row r="32" spans="1:23" x14ac:dyDescent="0.25">
      <c r="A32" s="7">
        <v>71</v>
      </c>
      <c r="F32">
        <f t="shared" si="0"/>
        <v>86.227544910179645</v>
      </c>
      <c r="G32">
        <f t="shared" si="0"/>
        <v>34.440119760479043</v>
      </c>
      <c r="H32">
        <f t="shared" si="0"/>
        <v>11.72619760479042</v>
      </c>
      <c r="I32" s="4"/>
      <c r="J32">
        <f t="shared" si="0"/>
        <v>7.3221556886227548</v>
      </c>
      <c r="K32">
        <f t="shared" si="0"/>
        <v>4.1508982035928144</v>
      </c>
      <c r="L32">
        <f t="shared" si="1"/>
        <v>12.564221556886228</v>
      </c>
      <c r="M32">
        <f t="shared" si="1"/>
        <v>7.1357784431137725</v>
      </c>
      <c r="N32">
        <f t="shared" si="1"/>
        <v>18.970808383233532</v>
      </c>
      <c r="O32">
        <f t="shared" si="1"/>
        <v>8.5175149700598798</v>
      </c>
      <c r="P32">
        <f t="shared" si="1"/>
        <v>50.628443113772455</v>
      </c>
      <c r="Q32">
        <f t="shared" si="1"/>
        <v>15.711976047904191</v>
      </c>
      <c r="R32">
        <f t="shared" si="1"/>
        <v>8.1437125748502995E-2</v>
      </c>
      <c r="S32">
        <f t="shared" si="1"/>
        <v>75.299401197604794</v>
      </c>
      <c r="T32">
        <f t="shared" si="1"/>
        <v>32.589071856287426</v>
      </c>
      <c r="U32">
        <f t="shared" ref="U32" si="11">100*U13/$E13</f>
        <v>4.1434131736526947</v>
      </c>
      <c r="W32" s="4"/>
    </row>
    <row r="33" spans="1:23" x14ac:dyDescent="0.25">
      <c r="A33" s="7">
        <v>72</v>
      </c>
      <c r="F33">
        <f t="shared" si="0"/>
        <v>91.583166332665328</v>
      </c>
      <c r="G33">
        <f t="shared" si="0"/>
        <v>35.766933867735474</v>
      </c>
      <c r="H33">
        <f t="shared" si="0"/>
        <v>10.222244488977957</v>
      </c>
      <c r="I33" s="4"/>
      <c r="J33">
        <f t="shared" si="0"/>
        <v>9.2098196392785567</v>
      </c>
      <c r="K33">
        <f t="shared" si="0"/>
        <v>0.94909819639278559</v>
      </c>
      <c r="L33">
        <f t="shared" si="1"/>
        <v>6.6454909819639276</v>
      </c>
      <c r="M33">
        <f t="shared" si="1"/>
        <v>5.5795591182364728</v>
      </c>
      <c r="N33">
        <f t="shared" si="1"/>
        <v>24.360921843687375</v>
      </c>
      <c r="O33">
        <f t="shared" si="1"/>
        <v>19.126853707414831</v>
      </c>
      <c r="P33">
        <f t="shared" si="1"/>
        <v>54.546693386773548</v>
      </c>
      <c r="Q33">
        <f t="shared" si="1"/>
        <v>6.6258517034068136</v>
      </c>
      <c r="R33">
        <f t="shared" si="1"/>
        <v>0.12625250501002003</v>
      </c>
      <c r="S33">
        <f t="shared" si="1"/>
        <v>91.182364729458911</v>
      </c>
      <c r="T33">
        <f t="shared" si="1"/>
        <v>22.652905811623246</v>
      </c>
      <c r="U33">
        <f t="shared" ref="U33" si="12">100*U14/$E14</f>
        <v>3.3749498997995993</v>
      </c>
      <c r="W33" s="4"/>
    </row>
    <row r="34" spans="1:23" x14ac:dyDescent="0.25">
      <c r="A34" s="7">
        <v>73</v>
      </c>
      <c r="F34">
        <f t="shared" si="0"/>
        <v>85.763153264121058</v>
      </c>
      <c r="G34">
        <f t="shared" si="0"/>
        <v>30.359317262009501</v>
      </c>
      <c r="H34">
        <f t="shared" si="0"/>
        <v>9.6167517156431455</v>
      </c>
      <c r="I34" s="4"/>
      <c r="J34">
        <f t="shared" si="0"/>
        <v>3.5192679922576104</v>
      </c>
      <c r="K34">
        <f t="shared" si="0"/>
        <v>5.875769839873306</v>
      </c>
      <c r="L34">
        <f t="shared" si="1"/>
        <v>15.142002463487595</v>
      </c>
      <c r="M34">
        <f t="shared" si="1"/>
        <v>12.205525250747845</v>
      </c>
      <c r="N34">
        <f t="shared" si="1"/>
        <v>13.96093612528594</v>
      </c>
      <c r="O34">
        <f t="shared" si="1"/>
        <v>8.0366003871194795</v>
      </c>
      <c r="P34">
        <f t="shared" si="1"/>
        <v>54.970966039063875</v>
      </c>
      <c r="Q34">
        <f t="shared" si="1"/>
        <v>4.9656871370754887</v>
      </c>
      <c r="R34">
        <f t="shared" si="1"/>
        <v>2.4388527186345241</v>
      </c>
      <c r="S34">
        <f t="shared" si="1"/>
        <v>82.340313214851307</v>
      </c>
      <c r="T34">
        <f t="shared" si="1"/>
        <v>18.3811367235615</v>
      </c>
      <c r="U34">
        <f t="shared" ref="U34" si="13">100*U15/$E15</f>
        <v>0.74749252155551649</v>
      </c>
      <c r="W34" s="4"/>
    </row>
    <row r="35" spans="1:23" x14ac:dyDescent="0.25">
      <c r="A35" s="7">
        <v>74</v>
      </c>
      <c r="F35">
        <f t="shared" si="0"/>
        <v>82.272262642054002</v>
      </c>
      <c r="G35">
        <f t="shared" si="0"/>
        <v>23.92279478083098</v>
      </c>
      <c r="H35">
        <f t="shared" si="0"/>
        <v>7.0579039143767659</v>
      </c>
      <c r="I35" s="4"/>
      <c r="J35">
        <f t="shared" si="0"/>
        <v>3.496482472491131</v>
      </c>
      <c r="K35">
        <f t="shared" si="0"/>
        <v>3.4417653779087245</v>
      </c>
      <c r="L35">
        <f t="shared" si="1"/>
        <v>8.7974264926943668</v>
      </c>
      <c r="M35">
        <f t="shared" si="1"/>
        <v>5.9316938247850404</v>
      </c>
      <c r="N35">
        <f t="shared" si="1"/>
        <v>13.892730443148338</v>
      </c>
      <c r="O35">
        <f t="shared" si="1"/>
        <v>10.215260657807708</v>
      </c>
      <c r="P35">
        <f t="shared" si="1"/>
        <v>57.9087246707955</v>
      </c>
      <c r="Q35">
        <f t="shared" si="1"/>
        <v>3.8548493776682098</v>
      </c>
      <c r="R35">
        <f t="shared" si="1"/>
        <v>0.65419998797426493</v>
      </c>
      <c r="S35">
        <f t="shared" si="1"/>
        <v>80.599482893391865</v>
      </c>
      <c r="T35">
        <f t="shared" si="1"/>
        <v>13.260778065059228</v>
      </c>
      <c r="U35">
        <f t="shared" ref="U35" si="14">100*U16/$E16</f>
        <v>0.4413444771811677</v>
      </c>
      <c r="W35" s="4"/>
    </row>
    <row r="36" spans="1:23" x14ac:dyDescent="0.25">
      <c r="A36" s="7">
        <v>75</v>
      </c>
      <c r="F36" s="1">
        <f>100*F17/$E17</f>
        <v>85.05747126436782</v>
      </c>
      <c r="G36">
        <f t="shared" si="0"/>
        <v>31.721182266009851</v>
      </c>
      <c r="H36">
        <f t="shared" si="0"/>
        <v>16.914285714285715</v>
      </c>
      <c r="I36" s="4"/>
      <c r="J36">
        <f>100*J17/$E17</f>
        <v>14.554844006568144</v>
      </c>
      <c r="K36">
        <f t="shared" si="0"/>
        <v>2.1417077175697865</v>
      </c>
      <c r="L36">
        <f t="shared" si="1"/>
        <v>6.52495894909688</v>
      </c>
      <c r="M36">
        <f t="shared" si="1"/>
        <v>4.5518883415435143</v>
      </c>
      <c r="N36">
        <f t="shared" si="1"/>
        <v>26.162725779967158</v>
      </c>
      <c r="O36">
        <f t="shared" si="1"/>
        <v>10.688177339901477</v>
      </c>
      <c r="P36">
        <f t="shared" si="1"/>
        <v>52.073399014778325</v>
      </c>
      <c r="Q36">
        <f t="shared" si="1"/>
        <v>12.312479474548439</v>
      </c>
      <c r="R36">
        <f t="shared" si="1"/>
        <v>5.763546798029557E-2</v>
      </c>
      <c r="S36">
        <f t="shared" si="1"/>
        <v>72.085385878489333</v>
      </c>
      <c r="T36">
        <f t="shared" si="1"/>
        <v>27.730541871921183</v>
      </c>
      <c r="U36" s="1">
        <f>100*U17/$E17</f>
        <v>3.5865353037766829</v>
      </c>
      <c r="W36" s="4"/>
    </row>
    <row r="38" spans="1:23" s="8" customFormat="1" x14ac:dyDescent="0.25">
      <c r="A38" s="8" t="s">
        <v>86</v>
      </c>
      <c r="B38" s="9" t="s">
        <v>70</v>
      </c>
      <c r="C38" s="9"/>
      <c r="D38" s="9" t="s">
        <v>324</v>
      </c>
      <c r="E38" s="8" t="s">
        <v>325</v>
      </c>
      <c r="F38" s="9" t="s">
        <v>326</v>
      </c>
      <c r="G38" s="9" t="s">
        <v>327</v>
      </c>
      <c r="H38" s="3" t="s">
        <v>328</v>
      </c>
      <c r="I38" s="24" t="s">
        <v>329</v>
      </c>
      <c r="J38" s="3" t="s">
        <v>330</v>
      </c>
      <c r="K38" s="3" t="s">
        <v>331</v>
      </c>
      <c r="M38" s="3" t="s">
        <v>17</v>
      </c>
      <c r="O38" s="3" t="s">
        <v>332</v>
      </c>
      <c r="R38" s="4" t="s">
        <v>333</v>
      </c>
      <c r="U38" s="4" t="s">
        <v>334</v>
      </c>
    </row>
    <row r="40" spans="1:23" x14ac:dyDescent="0.25">
      <c r="A40" s="8">
        <v>62</v>
      </c>
      <c r="G40">
        <f t="shared" ref="G40:U53" si="15">100*(G4/$F4)</f>
        <v>44.613412676996496</v>
      </c>
      <c r="H40">
        <f t="shared" si="15"/>
        <v>22.721946854894831</v>
      </c>
      <c r="I40" s="4"/>
      <c r="J40">
        <f t="shared" si="15"/>
        <v>22.585604522020709</v>
      </c>
      <c r="K40">
        <f>100*(K4/$F4)</f>
        <v>0.11823436678928009</v>
      </c>
      <c r="L40">
        <f t="shared" ref="L40:U40" si="16">100*(L4/$F4)</f>
        <v>14.103265114825808</v>
      </c>
      <c r="M40">
        <f t="shared" si="16"/>
        <v>8.9268722216699103</v>
      </c>
      <c r="N40">
        <f t="shared" si="16"/>
        <v>6.8888383917285649</v>
      </c>
      <c r="O40">
        <f t="shared" si="16"/>
        <v>4.498941926687591</v>
      </c>
      <c r="P40">
        <f t="shared" si="16"/>
        <v>54.105892545198905</v>
      </c>
      <c r="Q40">
        <f t="shared" si="16"/>
        <v>7.6649955262672025</v>
      </c>
      <c r="R40">
        <f t="shared" si="16"/>
        <v>1.4912442658107398E-2</v>
      </c>
      <c r="S40">
        <f t="shared" si="16"/>
        <v>96.314141256337791</v>
      </c>
      <c r="T40">
        <f t="shared" si="16"/>
        <v>21.136612177074603</v>
      </c>
      <c r="U40">
        <f t="shared" si="16"/>
        <v>1.1489682009913225</v>
      </c>
      <c r="W40" s="4"/>
    </row>
    <row r="41" spans="1:23" x14ac:dyDescent="0.25">
      <c r="A41" s="8">
        <v>63</v>
      </c>
      <c r="G41">
        <f t="shared" si="15"/>
        <v>28.251777777777775</v>
      </c>
      <c r="H41">
        <f t="shared" si="15"/>
        <v>9.2575555555555553</v>
      </c>
      <c r="I41" s="4"/>
      <c r="J41">
        <f t="shared" si="15"/>
        <v>7.5806666666666658</v>
      </c>
      <c r="K41">
        <f t="shared" si="15"/>
        <v>1.5688888888888888</v>
      </c>
      <c r="L41">
        <f t="shared" si="15"/>
        <v>8.8502222222222215</v>
      </c>
      <c r="M41">
        <f t="shared" si="15"/>
        <v>6.3880000000000008</v>
      </c>
      <c r="N41">
        <f t="shared" si="15"/>
        <v>14.557333333333332</v>
      </c>
      <c r="O41">
        <f t="shared" si="15"/>
        <v>11.394222222222222</v>
      </c>
      <c r="P41">
        <f t="shared" si="15"/>
        <v>70.038222222222231</v>
      </c>
      <c r="Q41">
        <f t="shared" si="15"/>
        <v>5.1206666666666667</v>
      </c>
      <c r="R41">
        <f t="shared" si="15"/>
        <v>0.25511111111111112</v>
      </c>
      <c r="S41">
        <f t="shared" si="15"/>
        <v>96.888888888888886</v>
      </c>
      <c r="T41">
        <f t="shared" si="15"/>
        <v>14.712666666666665</v>
      </c>
      <c r="U41">
        <f t="shared" si="15"/>
        <v>0.15288888888888888</v>
      </c>
      <c r="W41" s="4"/>
    </row>
    <row r="42" spans="1:23" x14ac:dyDescent="0.25">
      <c r="A42" s="8">
        <v>64</v>
      </c>
      <c r="G42">
        <f t="shared" si="15"/>
        <v>20.544690104474931</v>
      </c>
      <c r="H42">
        <f t="shared" si="15"/>
        <v>7.0440565909519357</v>
      </c>
      <c r="I42" s="4"/>
      <c r="J42">
        <f t="shared" si="15"/>
        <v>5.4859202167536925</v>
      </c>
      <c r="K42">
        <f t="shared" si="15"/>
        <v>1.5195556198568128</v>
      </c>
      <c r="L42">
        <f t="shared" si="15"/>
        <v>6.8621132608190516</v>
      </c>
      <c r="M42">
        <f t="shared" si="15"/>
        <v>4.7555163902443303</v>
      </c>
      <c r="N42">
        <f t="shared" si="15"/>
        <v>12.241497985470838</v>
      </c>
      <c r="O42">
        <f t="shared" si="15"/>
        <v>5.2255001249490345</v>
      </c>
      <c r="P42">
        <f t="shared" si="15"/>
        <v>78.873968074425775</v>
      </c>
      <c r="Q42">
        <f t="shared" si="15"/>
        <v>4.7094825356323957</v>
      </c>
      <c r="R42">
        <f t="shared" si="15"/>
        <v>0.85710653110792534</v>
      </c>
      <c r="S42">
        <f t="shared" si="15"/>
        <v>98.134532844059223</v>
      </c>
      <c r="T42">
        <f t="shared" si="15"/>
        <v>15.843975922101949</v>
      </c>
      <c r="U42">
        <f t="shared" si="15"/>
        <v>1.9755099893464509</v>
      </c>
      <c r="W42" s="4"/>
    </row>
    <row r="43" spans="1:23" x14ac:dyDescent="0.25">
      <c r="A43" s="8">
        <v>65</v>
      </c>
      <c r="G43">
        <f t="shared" si="15"/>
        <v>36.029496849391442</v>
      </c>
      <c r="H43">
        <f t="shared" si="15"/>
        <v>12.67975300070481</v>
      </c>
      <c r="I43" s="4"/>
      <c r="J43">
        <f t="shared" si="15"/>
        <v>6.9571117492978187</v>
      </c>
      <c r="K43">
        <f t="shared" si="15"/>
        <v>5.5490684928624781</v>
      </c>
      <c r="L43">
        <f t="shared" si="15"/>
        <v>11.544692355434931</v>
      </c>
      <c r="M43">
        <f t="shared" si="15"/>
        <v>7.6282597490032718</v>
      </c>
      <c r="N43">
        <f t="shared" si="15"/>
        <v>15.270720905523822</v>
      </c>
      <c r="O43">
        <f t="shared" si="15"/>
        <v>8.1600235638169174</v>
      </c>
      <c r="P43">
        <f t="shared" si="15"/>
        <v>62.382049420898156</v>
      </c>
      <c r="Q43">
        <f t="shared" si="15"/>
        <v>4.615983421171669</v>
      </c>
      <c r="R43">
        <f t="shared" si="15"/>
        <v>1.1219111938649919</v>
      </c>
      <c r="S43">
        <f t="shared" si="15"/>
        <v>98.592482721620854</v>
      </c>
      <c r="T43">
        <f t="shared" si="15"/>
        <v>19.772041110444871</v>
      </c>
      <c r="U43">
        <f t="shared" si="15"/>
        <v>1.2744448301616857</v>
      </c>
      <c r="W43" s="4"/>
    </row>
    <row r="44" spans="1:23" x14ac:dyDescent="0.25">
      <c r="A44" s="8">
        <v>66</v>
      </c>
      <c r="G44">
        <f t="shared" si="15"/>
        <v>32.56399217221135</v>
      </c>
      <c r="H44">
        <f t="shared" si="15"/>
        <v>10.161252446183953</v>
      </c>
      <c r="I44" s="4"/>
      <c r="J44">
        <f t="shared" si="15"/>
        <v>8.1909980430528364</v>
      </c>
      <c r="K44">
        <f t="shared" si="15"/>
        <v>1.8592954990215267</v>
      </c>
      <c r="L44">
        <f t="shared" si="15"/>
        <v>17.907045009784735</v>
      </c>
      <c r="M44">
        <f t="shared" si="15"/>
        <v>13.261056751467709</v>
      </c>
      <c r="N44">
        <f t="shared" si="15"/>
        <v>14.746183953033269</v>
      </c>
      <c r="O44">
        <f t="shared" si="15"/>
        <v>6.8864970645792569</v>
      </c>
      <c r="P44">
        <f t="shared" si="15"/>
        <v>66.574755381604703</v>
      </c>
      <c r="Q44">
        <f t="shared" si="15"/>
        <v>13.697455968688846</v>
      </c>
      <c r="R44">
        <f t="shared" si="15"/>
        <v>9.3933463796477504E-2</v>
      </c>
      <c r="S44">
        <f t="shared" si="15"/>
        <v>92.172211350293537</v>
      </c>
      <c r="T44">
        <f t="shared" si="15"/>
        <v>27.619373776908024</v>
      </c>
      <c r="U44">
        <f t="shared" si="15"/>
        <v>7.2684931506849324</v>
      </c>
      <c r="W44" s="4"/>
    </row>
    <row r="45" spans="1:23" x14ac:dyDescent="0.25">
      <c r="A45" s="8">
        <v>67</v>
      </c>
      <c r="G45">
        <f t="shared" si="15"/>
        <v>29.090204264201581</v>
      </c>
      <c r="H45">
        <f t="shared" si="15"/>
        <v>10.323244371552109</v>
      </c>
      <c r="I45" s="4"/>
      <c r="J45">
        <f t="shared" si="15"/>
        <v>7.7089607872372152</v>
      </c>
      <c r="K45">
        <f t="shared" si="15"/>
        <v>2.4863575369017443</v>
      </c>
      <c r="L45">
        <f t="shared" si="15"/>
        <v>12.831370210228119</v>
      </c>
      <c r="M45">
        <f t="shared" si="15"/>
        <v>9.4053973460563594</v>
      </c>
      <c r="N45">
        <f t="shared" si="15"/>
        <v>13.349634710004473</v>
      </c>
      <c r="O45">
        <f t="shared" si="15"/>
        <v>8.8239153123602208</v>
      </c>
      <c r="P45">
        <f t="shared" si="15"/>
        <v>69.806769047264055</v>
      </c>
      <c r="Q45">
        <f t="shared" si="15"/>
        <v>12.526912181303116</v>
      </c>
      <c r="R45">
        <f t="shared" si="15"/>
        <v>0.30326524526613985</v>
      </c>
      <c r="S45">
        <f t="shared" si="15"/>
        <v>95.324586253168334</v>
      </c>
      <c r="T45">
        <f t="shared" si="15"/>
        <v>24.369762934247802</v>
      </c>
      <c r="U45">
        <f t="shared" si="15"/>
        <v>2.622633069926942</v>
      </c>
      <c r="W45" s="4"/>
    </row>
    <row r="46" spans="1:23" x14ac:dyDescent="0.25">
      <c r="A46" s="8">
        <v>68</v>
      </c>
      <c r="G46">
        <f t="shared" si="15"/>
        <v>22.943904216876813</v>
      </c>
      <c r="H46">
        <f t="shared" si="15"/>
        <v>7.7676452798585576</v>
      </c>
      <c r="I46" s="4"/>
      <c r="J46">
        <f t="shared" si="15"/>
        <v>1.5570961088106205</v>
      </c>
      <c r="K46">
        <f t="shared" si="15"/>
        <v>6.0314210828331705</v>
      </c>
      <c r="L46">
        <f t="shared" si="15"/>
        <v>6.5509700832829294</v>
      </c>
      <c r="M46">
        <f t="shared" si="15"/>
        <v>3.674064424076056</v>
      </c>
      <c r="N46">
        <f t="shared" si="15"/>
        <v>15.495742799981388</v>
      </c>
      <c r="O46">
        <f t="shared" si="15"/>
        <v>6.7293227252283687</v>
      </c>
      <c r="P46">
        <f t="shared" si="15"/>
        <v>76.193024085361131</v>
      </c>
      <c r="Q46">
        <f t="shared" si="15"/>
        <v>5.1691248313404365</v>
      </c>
      <c r="R46">
        <f t="shared" si="15"/>
        <v>1.0344453232835498</v>
      </c>
      <c r="S46">
        <f t="shared" si="15"/>
        <v>98.645295367483982</v>
      </c>
      <c r="T46">
        <f t="shared" si="15"/>
        <v>19.530389739294964</v>
      </c>
      <c r="U46">
        <f t="shared" si="15"/>
        <v>1.1236216442562694</v>
      </c>
      <c r="W46" s="4"/>
    </row>
    <row r="47" spans="1:23" x14ac:dyDescent="0.25">
      <c r="A47" s="8">
        <v>69</v>
      </c>
      <c r="G47">
        <f t="shared" si="15"/>
        <v>33.240068601391712</v>
      </c>
      <c r="H47">
        <f t="shared" si="15"/>
        <v>6.0363007062212759</v>
      </c>
      <c r="I47" s="4"/>
      <c r="J47">
        <f t="shared" si="15"/>
        <v>5.2274882253275923</v>
      </c>
      <c r="K47">
        <f t="shared" si="15"/>
        <v>0.75026295473033544</v>
      </c>
      <c r="L47">
        <f t="shared" si="15"/>
        <v>17.763304473080172</v>
      </c>
      <c r="M47">
        <f t="shared" si="15"/>
        <v>14.041523531210007</v>
      </c>
      <c r="N47">
        <f t="shared" si="15"/>
        <v>11.232700687568329</v>
      </c>
      <c r="O47">
        <f t="shared" si="15"/>
        <v>5.57049518391287</v>
      </c>
      <c r="P47">
        <f t="shared" si="15"/>
        <v>65.34541629749377</v>
      </c>
      <c r="Q47">
        <f t="shared" si="15"/>
        <v>6.2720532230736952</v>
      </c>
      <c r="R47">
        <f t="shared" si="15"/>
        <v>0.49119425489251239</v>
      </c>
      <c r="S47">
        <f t="shared" si="15"/>
        <v>98.88341390369898</v>
      </c>
      <c r="T47">
        <f t="shared" si="15"/>
        <v>20.084560023627066</v>
      </c>
      <c r="U47">
        <f t="shared" si="15"/>
        <v>2.5212565868216936</v>
      </c>
      <c r="W47" s="4"/>
    </row>
    <row r="48" spans="1:23" x14ac:dyDescent="0.25">
      <c r="A48" s="8">
        <v>70</v>
      </c>
      <c r="G48">
        <f t="shared" si="15"/>
        <v>19.272167798995728</v>
      </c>
      <c r="H48">
        <f t="shared" si="15"/>
        <v>7.6871463747265407</v>
      </c>
      <c r="I48" s="4"/>
      <c r="J48">
        <f t="shared" si="15"/>
        <v>5.3740118777521522</v>
      </c>
      <c r="K48">
        <f t="shared" si="15"/>
        <v>2.1942321435816132</v>
      </c>
      <c r="L48">
        <f t="shared" si="15"/>
        <v>8.1911550380581151</v>
      </c>
      <c r="M48">
        <f t="shared" si="15"/>
        <v>3.9328279723247754</v>
      </c>
      <c r="N48">
        <f t="shared" si="15"/>
        <v>11.548196023480873</v>
      </c>
      <c r="O48">
        <f t="shared" si="15"/>
        <v>5.8346414672737659</v>
      </c>
      <c r="P48">
        <f t="shared" si="15"/>
        <v>80.14830025808989</v>
      </c>
      <c r="Q48">
        <f t="shared" si="15"/>
        <v>5.6583164550246385</v>
      </c>
      <c r="R48">
        <f t="shared" si="15"/>
        <v>0.29460320630650594</v>
      </c>
      <c r="S48">
        <f t="shared" si="15"/>
        <v>95.846219622945355</v>
      </c>
      <c r="T48">
        <f t="shared" si="15"/>
        <v>16.844187984308633</v>
      </c>
      <c r="U48">
        <f t="shared" si="15"/>
        <v>3.7961370778732393</v>
      </c>
      <c r="W48" s="4"/>
    </row>
    <row r="49" spans="1:23" x14ac:dyDescent="0.25">
      <c r="A49" s="8">
        <v>71</v>
      </c>
      <c r="G49">
        <f t="shared" si="15"/>
        <v>39.940972222222221</v>
      </c>
      <c r="H49">
        <f t="shared" si="15"/>
        <v>13.599131944444446</v>
      </c>
      <c r="I49" s="4"/>
      <c r="J49">
        <f t="shared" si="15"/>
        <v>8.4916666666666671</v>
      </c>
      <c r="K49">
        <f t="shared" si="15"/>
        <v>4.8138888888888891</v>
      </c>
      <c r="L49">
        <f t="shared" si="15"/>
        <v>14.571006944444445</v>
      </c>
      <c r="M49">
        <f t="shared" si="15"/>
        <v>8.2755208333333332</v>
      </c>
      <c r="N49">
        <f t="shared" si="15"/>
        <v>22.000868055555557</v>
      </c>
      <c r="O49">
        <f t="shared" si="15"/>
        <v>9.8779513888888886</v>
      </c>
      <c r="P49">
        <f t="shared" si="15"/>
        <v>58.714930555555554</v>
      </c>
      <c r="Q49">
        <f t="shared" si="15"/>
        <v>18.221527777777776</v>
      </c>
      <c r="R49">
        <f t="shared" si="15"/>
        <v>9.4444444444444442E-2</v>
      </c>
      <c r="S49">
        <f t="shared" si="15"/>
        <v>87.326388888888886</v>
      </c>
      <c r="T49">
        <f t="shared" si="15"/>
        <v>37.794270833333329</v>
      </c>
      <c r="U49">
        <f t="shared" si="15"/>
        <v>4.8052083333333337</v>
      </c>
      <c r="W49" s="4"/>
    </row>
    <row r="50" spans="1:23" x14ac:dyDescent="0.25">
      <c r="A50" s="8">
        <v>72</v>
      </c>
      <c r="G50">
        <f t="shared" si="15"/>
        <v>39.054048140043761</v>
      </c>
      <c r="H50">
        <f t="shared" si="15"/>
        <v>11.161706783369803</v>
      </c>
      <c r="I50" s="4"/>
      <c r="J50">
        <f t="shared" si="15"/>
        <v>10.056236323851204</v>
      </c>
      <c r="K50">
        <f t="shared" si="15"/>
        <v>1.0363238512035011</v>
      </c>
      <c r="L50">
        <f t="shared" si="15"/>
        <v>7.2562363238512031</v>
      </c>
      <c r="M50">
        <f t="shared" si="15"/>
        <v>6.0923413566739608</v>
      </c>
      <c r="N50">
        <f t="shared" si="15"/>
        <v>26.59978118161926</v>
      </c>
      <c r="O50">
        <f t="shared" si="15"/>
        <v>20.884682713347921</v>
      </c>
      <c r="P50">
        <f t="shared" si="15"/>
        <v>59.559737417943104</v>
      </c>
      <c r="Q50">
        <f t="shared" si="15"/>
        <v>7.234792122538293</v>
      </c>
      <c r="R50">
        <f t="shared" si="15"/>
        <v>0.13785557986870897</v>
      </c>
      <c r="S50">
        <f t="shared" si="15"/>
        <v>99.562363238512035</v>
      </c>
      <c r="T50">
        <f t="shared" si="15"/>
        <v>24.734792122538295</v>
      </c>
      <c r="U50">
        <f t="shared" si="15"/>
        <v>3.685120350109409</v>
      </c>
      <c r="W50" s="4"/>
    </row>
    <row r="51" spans="1:23" x14ac:dyDescent="0.25">
      <c r="A51" s="8">
        <v>73</v>
      </c>
      <c r="G51">
        <f t="shared" si="15"/>
        <v>35.399021731993955</v>
      </c>
      <c r="H51">
        <f t="shared" si="15"/>
        <v>11.213150810846301</v>
      </c>
      <c r="I51" s="4"/>
      <c r="J51">
        <f t="shared" si="15"/>
        <v>4.1034731796992974</v>
      </c>
      <c r="K51">
        <f t="shared" si="15"/>
        <v>6.8511588208259475</v>
      </c>
      <c r="L51">
        <f t="shared" si="15"/>
        <v>17.655603702974197</v>
      </c>
      <c r="M51">
        <f t="shared" si="15"/>
        <v>14.231665681833103</v>
      </c>
      <c r="N51">
        <f t="shared" si="15"/>
        <v>16.278478103867116</v>
      </c>
      <c r="O51">
        <f t="shared" si="15"/>
        <v>9.3706913531613161</v>
      </c>
      <c r="P51">
        <f t="shared" si="15"/>
        <v>64.096251066903037</v>
      </c>
      <c r="Q51">
        <f t="shared" si="15"/>
        <v>5.7900006565557085</v>
      </c>
      <c r="R51">
        <f t="shared" si="15"/>
        <v>2.8437069135316131</v>
      </c>
      <c r="S51">
        <f t="shared" si="15"/>
        <v>96.008961985424463</v>
      </c>
      <c r="T51">
        <f t="shared" si="15"/>
        <v>21.432440417569431</v>
      </c>
      <c r="U51">
        <f t="shared" si="15"/>
        <v>0.8715777033681309</v>
      </c>
      <c r="W51" s="4"/>
    </row>
    <row r="52" spans="1:23" x14ac:dyDescent="0.25">
      <c r="A52" s="8">
        <v>74</v>
      </c>
      <c r="G52">
        <f t="shared" si="15"/>
        <v>29.077594334451533</v>
      </c>
      <c r="H52">
        <f t="shared" si="15"/>
        <v>8.5787161890562533</v>
      </c>
      <c r="I52" s="4"/>
      <c r="J52">
        <f t="shared" si="15"/>
        <v>4.2498921996389605</v>
      </c>
      <c r="K52">
        <f t="shared" si="15"/>
        <v>4.1833848582516611</v>
      </c>
      <c r="L52">
        <f t="shared" si="15"/>
        <v>10.693064965248086</v>
      </c>
      <c r="M52">
        <f t="shared" si="15"/>
        <v>7.2098343163264564</v>
      </c>
      <c r="N52">
        <f t="shared" si="15"/>
        <v>16.886287063225826</v>
      </c>
      <c r="O52">
        <f t="shared" si="15"/>
        <v>12.416409042075029</v>
      </c>
      <c r="P52">
        <f t="shared" si="15"/>
        <v>70.386692684923304</v>
      </c>
      <c r="Q52">
        <f t="shared" si="15"/>
        <v>4.6854787432305027</v>
      </c>
      <c r="R52">
        <f t="shared" si="15"/>
        <v>0.79516469702617176</v>
      </c>
      <c r="S52">
        <f t="shared" si="15"/>
        <v>97.966775563302562</v>
      </c>
      <c r="T52">
        <f t="shared" si="15"/>
        <v>16.118163812697787</v>
      </c>
      <c r="U52">
        <f t="shared" si="15"/>
        <v>0.53644383053052391</v>
      </c>
      <c r="W52" s="4"/>
    </row>
    <row r="53" spans="1:23" x14ac:dyDescent="0.25">
      <c r="A53" s="8">
        <v>75</v>
      </c>
      <c r="G53">
        <f>100*(G17/$F17)</f>
        <v>37.293822393822396</v>
      </c>
      <c r="H53" s="1">
        <f>100*(H17/$F17)</f>
        <v>19.885714285714286</v>
      </c>
      <c r="I53" s="3"/>
      <c r="J53">
        <f>100*(J17/$F17)</f>
        <v>17.111776061776062</v>
      </c>
      <c r="K53">
        <f t="shared" si="15"/>
        <v>2.5179536679536678</v>
      </c>
      <c r="L53">
        <f t="shared" si="15"/>
        <v>7.6712355212355217</v>
      </c>
      <c r="M53">
        <f t="shared" si="15"/>
        <v>5.3515444015444018</v>
      </c>
      <c r="N53">
        <f t="shared" si="15"/>
        <v>30.758880308880311</v>
      </c>
      <c r="O53">
        <f t="shared" si="15"/>
        <v>12.565830115830115</v>
      </c>
      <c r="P53">
        <f t="shared" si="15"/>
        <v>61.221428571428568</v>
      </c>
      <c r="Q53">
        <f t="shared" si="15"/>
        <v>14.475482625482625</v>
      </c>
      <c r="R53">
        <f t="shared" si="15"/>
        <v>6.7760617760617758E-2</v>
      </c>
      <c r="S53">
        <f t="shared" si="15"/>
        <v>84.749034749034749</v>
      </c>
      <c r="T53">
        <f t="shared" si="15"/>
        <v>32.602123552123551</v>
      </c>
      <c r="U53" s="1">
        <f>100*(U17/$F17)</f>
        <v>4.2166023166023168</v>
      </c>
      <c r="W53" s="4"/>
    </row>
    <row r="54" spans="1:23" x14ac:dyDescent="0.25">
      <c r="A54" s="10" t="s">
        <v>87</v>
      </c>
      <c r="B54" s="10"/>
      <c r="C54" s="10"/>
      <c r="D54" s="10"/>
      <c r="E54" s="10"/>
    </row>
    <row r="55" spans="1:23" s="10" customFormat="1" ht="27" customHeight="1" x14ac:dyDescent="0.25">
      <c r="A55" s="10" t="s">
        <v>87</v>
      </c>
      <c r="B55" s="22" t="s">
        <v>70</v>
      </c>
      <c r="C55" s="22" t="s">
        <v>335</v>
      </c>
      <c r="D55" s="22" t="s">
        <v>89</v>
      </c>
      <c r="E55" s="21" t="s">
        <v>336</v>
      </c>
      <c r="F55" s="22" t="s">
        <v>326</v>
      </c>
      <c r="G55" s="22" t="s">
        <v>327</v>
      </c>
      <c r="H55" s="17" t="s">
        <v>328</v>
      </c>
      <c r="I55" s="25" t="s">
        <v>329</v>
      </c>
      <c r="J55" s="17" t="s">
        <v>330</v>
      </c>
      <c r="K55" s="17" t="s">
        <v>331</v>
      </c>
      <c r="L55" s="21"/>
      <c r="M55" s="17" t="s">
        <v>17</v>
      </c>
      <c r="N55" s="21"/>
      <c r="O55" s="17" t="s">
        <v>332</v>
      </c>
      <c r="P55" s="21"/>
      <c r="Q55" s="21"/>
      <c r="R55" s="18" t="s">
        <v>333</v>
      </c>
      <c r="S55" s="21"/>
      <c r="U55" s="18" t="s">
        <v>334</v>
      </c>
      <c r="V55" s="21"/>
      <c r="W55" s="21"/>
    </row>
    <row r="56" spans="1:23" s="6" customFormat="1" x14ac:dyDescent="0.25">
      <c r="A56" s="12">
        <v>62</v>
      </c>
      <c r="B56" s="1">
        <v>3220000</v>
      </c>
      <c r="C56">
        <v>300798</v>
      </c>
      <c r="D56" s="6">
        <v>825000</v>
      </c>
      <c r="E56" s="6">
        <f>(C56/B56)*D56</f>
        <v>77067.810559006219</v>
      </c>
      <c r="H56" s="6">
        <f t="shared" ref="H56" si="17">H23*$E56</f>
        <v>1639623.4472049691</v>
      </c>
      <c r="J56" s="6">
        <f t="shared" ref="J56" si="18">J23*$E56</f>
        <v>1629784.937888199</v>
      </c>
      <c r="K56" s="6">
        <f t="shared" ref="K56" si="19">K23*$E56</f>
        <v>8531.8322981366473</v>
      </c>
      <c r="M56" s="6">
        <f t="shared" ref="M56" si="20">M23*$E56</f>
        <v>644166.14906832308</v>
      </c>
      <c r="O56" s="6">
        <f t="shared" ref="O56" si="21">O23*$E56</f>
        <v>324645.18633540371</v>
      </c>
      <c r="R56" s="6">
        <f t="shared" ref="R56:U69" si="22">R23*$E56</f>
        <v>1076.0869565217392</v>
      </c>
      <c r="U56" s="6">
        <f t="shared" si="22"/>
        <v>82909.937888198765</v>
      </c>
    </row>
    <row r="57" spans="1:23" s="6" customFormat="1" x14ac:dyDescent="0.25">
      <c r="A57" s="12">
        <v>63</v>
      </c>
      <c r="B57" s="1">
        <v>3110000</v>
      </c>
      <c r="C57" s="1">
        <v>467000</v>
      </c>
      <c r="D57" s="6">
        <v>550000</v>
      </c>
      <c r="E57" s="6">
        <f t="shared" ref="E57:E69" si="23">(C57/B57)*D57</f>
        <v>82588.424437299036</v>
      </c>
      <c r="H57" s="6">
        <f t="shared" ref="H57" si="24">H24*$E57</f>
        <v>736734.72668810294</v>
      </c>
      <c r="J57" s="6">
        <f t="shared" ref="J57" si="25">J24*$E57</f>
        <v>603284.56591639877</v>
      </c>
      <c r="K57" s="6">
        <f t="shared" ref="K57:M69" si="26">K24*$E57</f>
        <v>124855.30546623794</v>
      </c>
      <c r="M57" s="6">
        <f t="shared" si="26"/>
        <v>508369.77491961414</v>
      </c>
      <c r="O57" s="6">
        <f t="shared" ref="O57" si="27">O24*$E57</f>
        <v>906774.91961414786</v>
      </c>
      <c r="R57" s="6">
        <f t="shared" si="22"/>
        <v>20302.250803858522</v>
      </c>
      <c r="U57" s="6">
        <f t="shared" si="22"/>
        <v>12167.202572347267</v>
      </c>
    </row>
    <row r="58" spans="1:23" s="6" customFormat="1" x14ac:dyDescent="0.25">
      <c r="A58" s="12">
        <v>64</v>
      </c>
      <c r="B58" s="1">
        <v>2700000</v>
      </c>
      <c r="C58">
        <v>242602</v>
      </c>
      <c r="D58" s="6">
        <v>662500</v>
      </c>
      <c r="E58" s="6">
        <f t="shared" si="23"/>
        <v>59527.342592592591</v>
      </c>
      <c r="H58" s="6">
        <f t="shared" ref="H58" si="28">H25*$E58</f>
        <v>394236.5740740741</v>
      </c>
      <c r="J58" s="6">
        <f t="shared" ref="J58" si="29">J25*$E58</f>
        <v>307031.94444444444</v>
      </c>
      <c r="K58" s="6">
        <f t="shared" si="26"/>
        <v>85045.370370370365</v>
      </c>
      <c r="M58" s="6">
        <f t="shared" si="26"/>
        <v>266153.24074074073</v>
      </c>
      <c r="O58" s="6">
        <f t="shared" ref="O58" si="30">O25*$E58</f>
        <v>292456.94444444444</v>
      </c>
      <c r="R58" s="6">
        <f t="shared" si="22"/>
        <v>47969.907407407409</v>
      </c>
      <c r="U58" s="6">
        <f t="shared" si="22"/>
        <v>110563.88888888888</v>
      </c>
    </row>
    <row r="59" spans="1:23" s="6" customFormat="1" x14ac:dyDescent="0.25">
      <c r="A59" s="12">
        <v>65</v>
      </c>
      <c r="B59" s="1">
        <v>2890000</v>
      </c>
      <c r="C59">
        <v>216597</v>
      </c>
      <c r="D59" s="6">
        <v>450000</v>
      </c>
      <c r="E59" s="6">
        <f t="shared" si="23"/>
        <v>33726.176470588231</v>
      </c>
      <c r="H59" s="6">
        <f t="shared" ref="H59" si="31">H26*$E59</f>
        <v>375368.51211072656</v>
      </c>
      <c r="J59" s="6">
        <f t="shared" ref="J59" si="32">J26*$E59</f>
        <v>205956.74740484427</v>
      </c>
      <c r="K59" s="6">
        <f t="shared" si="26"/>
        <v>164273.35640138408</v>
      </c>
      <c r="M59" s="6">
        <f t="shared" si="26"/>
        <v>225825.25951557091</v>
      </c>
      <c r="O59" s="6">
        <f t="shared" ref="O59" si="33">O26*$E59</f>
        <v>241567.47404844288</v>
      </c>
      <c r="R59" s="6">
        <f t="shared" si="22"/>
        <v>33212.802768166082</v>
      </c>
      <c r="U59" s="6">
        <f t="shared" si="22"/>
        <v>37728.373702422141</v>
      </c>
    </row>
    <row r="60" spans="1:23" s="6" customFormat="1" x14ac:dyDescent="0.25">
      <c r="A60" s="12">
        <v>66</v>
      </c>
      <c r="B60" s="1">
        <v>3360000</v>
      </c>
      <c r="C60" s="1">
        <v>536000</v>
      </c>
      <c r="D60" s="6">
        <v>850000</v>
      </c>
      <c r="E60" s="6">
        <f t="shared" si="23"/>
        <v>135595.23809523808</v>
      </c>
      <c r="H60" s="6">
        <f t="shared" ref="H60" si="34">H27*$E60</f>
        <v>1313553.5714285711</v>
      </c>
      <c r="J60" s="6">
        <f t="shared" ref="J60" si="35">J27*$E60</f>
        <v>1058857.1428571427</v>
      </c>
      <c r="K60" s="6">
        <f t="shared" si="26"/>
        <v>240352.67857142855</v>
      </c>
      <c r="M60" s="6">
        <f t="shared" si="26"/>
        <v>1714267.857142857</v>
      </c>
      <c r="O60" s="6">
        <f t="shared" ref="O60" si="36">O27*$E60</f>
        <v>890223.21428571409</v>
      </c>
      <c r="R60" s="6">
        <f t="shared" si="22"/>
        <v>12142.857142857141</v>
      </c>
      <c r="U60" s="6">
        <f t="shared" si="22"/>
        <v>939604.16666666663</v>
      </c>
    </row>
    <row r="61" spans="1:23" s="6" customFormat="1" x14ac:dyDescent="0.25">
      <c r="A61" s="12">
        <v>67</v>
      </c>
      <c r="B61" s="1">
        <v>3160000</v>
      </c>
      <c r="C61">
        <v>356179</v>
      </c>
      <c r="D61" s="6">
        <v>362500</v>
      </c>
      <c r="E61" s="6">
        <f t="shared" si="23"/>
        <v>40859.141613924046</v>
      </c>
      <c r="H61" s="6">
        <f t="shared" ref="H61" si="37">H28*$E61</f>
        <v>397132.5158227848</v>
      </c>
      <c r="J61" s="6">
        <f t="shared" ref="J61" si="38">J28*$E61</f>
        <v>296561.70886075945</v>
      </c>
      <c r="K61" s="6">
        <f t="shared" si="26"/>
        <v>95649.525316455678</v>
      </c>
      <c r="M61" s="6">
        <f t="shared" si="26"/>
        <v>361823.18037974677</v>
      </c>
      <c r="O61" s="6">
        <f t="shared" ref="O61" si="39">O28*$E61</f>
        <v>339453.71835443034</v>
      </c>
      <c r="R61" s="6">
        <f t="shared" si="22"/>
        <v>11666.534810126581</v>
      </c>
      <c r="U61" s="6">
        <f t="shared" si="22"/>
        <v>100892.00949367086</v>
      </c>
    </row>
    <row r="62" spans="1:23" s="6" customFormat="1" x14ac:dyDescent="0.25">
      <c r="A62" s="12">
        <v>68</v>
      </c>
      <c r="B62" s="1">
        <v>1840000</v>
      </c>
      <c r="C62">
        <v>138332</v>
      </c>
      <c r="D62" s="6">
        <v>387500</v>
      </c>
      <c r="E62" s="6">
        <f t="shared" si="23"/>
        <v>29132.418478260868</v>
      </c>
      <c r="H62" s="6">
        <f t="shared" ref="H62" si="40">H29*$E62</f>
        <v>210955.84239130432</v>
      </c>
      <c r="J62" s="6">
        <f t="shared" ref="J62" si="41">J29*$E62</f>
        <v>42288.043478260865</v>
      </c>
      <c r="K62" s="6">
        <f t="shared" si="26"/>
        <v>163802.98913043478</v>
      </c>
      <c r="M62" s="6">
        <f t="shared" si="26"/>
        <v>99781.25</v>
      </c>
      <c r="O62" s="6">
        <f t="shared" ref="O62" si="42">O29*$E62</f>
        <v>182756.79347826086</v>
      </c>
      <c r="R62" s="6">
        <f t="shared" si="22"/>
        <v>28093.75</v>
      </c>
      <c r="U62" s="6">
        <f t="shared" si="22"/>
        <v>30515.624999999996</v>
      </c>
    </row>
    <row r="63" spans="1:23" s="6" customFormat="1" x14ac:dyDescent="0.25">
      <c r="A63" s="12">
        <v>69</v>
      </c>
      <c r="B63" s="1">
        <v>2600000</v>
      </c>
      <c r="C63">
        <v>209492</v>
      </c>
      <c r="D63" s="6">
        <v>525000</v>
      </c>
      <c r="E63" s="6">
        <f t="shared" si="23"/>
        <v>42301.269230769227</v>
      </c>
      <c r="H63" s="6">
        <f t="shared" ref="H63" si="43">H30*$E63</f>
        <v>235240.3846153846</v>
      </c>
      <c r="J63" s="6">
        <f t="shared" ref="J63" si="44">J30*$E63</f>
        <v>203720.19230769228</v>
      </c>
      <c r="K63" s="6">
        <f t="shared" si="26"/>
        <v>29238.461538461535</v>
      </c>
      <c r="M63" s="6">
        <f t="shared" si="26"/>
        <v>547211.53846153838</v>
      </c>
      <c r="O63" s="6">
        <f t="shared" ref="O63" si="45">O30*$E63</f>
        <v>217087.49999999997</v>
      </c>
      <c r="R63" s="6">
        <f t="shared" si="22"/>
        <v>19142.307692307691</v>
      </c>
      <c r="U63" s="6">
        <f t="shared" si="22"/>
        <v>98255.76923076922</v>
      </c>
    </row>
    <row r="64" spans="1:23" s="6" customFormat="1" x14ac:dyDescent="0.25">
      <c r="A64" s="12">
        <v>70</v>
      </c>
      <c r="B64" s="1">
        <v>2230000</v>
      </c>
      <c r="C64">
        <v>345727</v>
      </c>
      <c r="D64" s="6">
        <v>550000</v>
      </c>
      <c r="E64" s="6">
        <f t="shared" si="23"/>
        <v>85268.991031390135</v>
      </c>
      <c r="H64" s="6">
        <f t="shared" ref="H64" si="46">H31*$E64</f>
        <v>607515.69506726461</v>
      </c>
      <c r="J64" s="6">
        <f t="shared" ref="J64" si="47">J31*$E64</f>
        <v>424708.52017937222</v>
      </c>
      <c r="K64" s="6">
        <f t="shared" si="26"/>
        <v>173410.3139013453</v>
      </c>
      <c r="M64" s="6">
        <f t="shared" si="26"/>
        <v>310811.65919282514</v>
      </c>
      <c r="O64" s="6">
        <f t="shared" ref="O64" si="48">O31*$E64</f>
        <v>461112.10762331838</v>
      </c>
      <c r="R64" s="6">
        <f t="shared" si="22"/>
        <v>23282.511210762332</v>
      </c>
      <c r="U64" s="6">
        <f t="shared" si="22"/>
        <v>300008.96860986546</v>
      </c>
    </row>
    <row r="65" spans="1:21" s="6" customFormat="1" x14ac:dyDescent="0.25">
      <c r="A65" s="12">
        <v>71</v>
      </c>
      <c r="B65" s="1">
        <v>4000000</v>
      </c>
      <c r="C65" s="1">
        <v>668000</v>
      </c>
      <c r="D65" s="6">
        <v>925000</v>
      </c>
      <c r="E65" s="6">
        <f t="shared" si="23"/>
        <v>154475</v>
      </c>
      <c r="H65" s="6">
        <f t="shared" ref="H65" si="49">H32*$E65</f>
        <v>1811404.375</v>
      </c>
      <c r="J65" s="6">
        <f t="shared" ref="J65" si="50">J32*$E65</f>
        <v>1131090</v>
      </c>
      <c r="K65" s="6">
        <f t="shared" si="26"/>
        <v>641210</v>
      </c>
      <c r="M65" s="6">
        <f t="shared" si="26"/>
        <v>1102299.375</v>
      </c>
      <c r="O65" s="6">
        <f t="shared" ref="O65" si="51">O32*$E65</f>
        <v>1315743.125</v>
      </c>
      <c r="R65" s="6">
        <f t="shared" si="22"/>
        <v>12580</v>
      </c>
      <c r="U65" s="6">
        <f t="shared" si="22"/>
        <v>640053.75</v>
      </c>
    </row>
    <row r="66" spans="1:21" s="6" customFormat="1" x14ac:dyDescent="0.25">
      <c r="A66" s="12">
        <v>72</v>
      </c>
      <c r="B66" s="1">
        <v>4000000</v>
      </c>
      <c r="C66" s="1">
        <v>499000</v>
      </c>
      <c r="D66" s="6">
        <v>875000</v>
      </c>
      <c r="E66" s="6">
        <f t="shared" si="23"/>
        <v>109156.25</v>
      </c>
      <c r="H66" s="6">
        <f t="shared" ref="H66" si="52">H33*$E66</f>
        <v>1115821.875</v>
      </c>
      <c r="J66" s="6">
        <f t="shared" ref="J66" si="53">J33*$E66</f>
        <v>1005309.375</v>
      </c>
      <c r="K66" s="6">
        <f t="shared" si="26"/>
        <v>103600</v>
      </c>
      <c r="M66" s="6">
        <f t="shared" si="26"/>
        <v>609043.75</v>
      </c>
      <c r="O66" s="6">
        <f t="shared" ref="O66" si="54">O33*$E66</f>
        <v>2087815.6250000002</v>
      </c>
      <c r="R66" s="6">
        <f t="shared" si="22"/>
        <v>13781.249999999998</v>
      </c>
      <c r="U66" s="6">
        <f t="shared" si="22"/>
        <v>368396.875</v>
      </c>
    </row>
    <row r="67" spans="1:21" s="6" customFormat="1" x14ac:dyDescent="0.25">
      <c r="A67" s="12">
        <v>73</v>
      </c>
      <c r="B67" s="1">
        <v>2340000</v>
      </c>
      <c r="C67">
        <v>142075</v>
      </c>
      <c r="D67" s="6">
        <v>325000</v>
      </c>
      <c r="E67" s="6">
        <f t="shared" si="23"/>
        <v>19732.638888888891</v>
      </c>
      <c r="H67" s="6">
        <f t="shared" ref="H67" si="55">H34*$E67</f>
        <v>189763.88888888888</v>
      </c>
      <c r="J67" s="6">
        <f t="shared" ref="J67" si="56">J34*$E67</f>
        <v>69444.444444444453</v>
      </c>
      <c r="K67" s="6">
        <f t="shared" si="26"/>
        <v>115944.44444444445</v>
      </c>
      <c r="M67" s="6">
        <f t="shared" si="26"/>
        <v>240847.22222222225</v>
      </c>
      <c r="O67" s="6">
        <f t="shared" ref="O67" si="57">O34*$E67</f>
        <v>158583.33333333334</v>
      </c>
      <c r="R67" s="6">
        <f t="shared" si="22"/>
        <v>48125.000000000007</v>
      </c>
      <c r="U67" s="6">
        <f t="shared" si="22"/>
        <v>14750.000000000002</v>
      </c>
    </row>
    <row r="68" spans="1:21" s="6" customFormat="1" x14ac:dyDescent="0.25">
      <c r="A68" s="12">
        <v>74</v>
      </c>
      <c r="B68" s="1">
        <v>2170000</v>
      </c>
      <c r="C68">
        <v>166310</v>
      </c>
      <c r="D68" s="6">
        <v>375000</v>
      </c>
      <c r="E68" s="6">
        <f t="shared" si="23"/>
        <v>28740.207373271889</v>
      </c>
      <c r="H68" s="6">
        <f t="shared" ref="H68" si="58">H35*$E68</f>
        <v>202845.62211981564</v>
      </c>
      <c r="J68" s="6">
        <f t="shared" ref="J68" si="59">J35*$E68</f>
        <v>100489.63133640552</v>
      </c>
      <c r="K68" s="6">
        <f t="shared" si="26"/>
        <v>98917.050691244236</v>
      </c>
      <c r="M68" s="6">
        <f t="shared" si="26"/>
        <v>170478.11059907835</v>
      </c>
      <c r="O68" s="6">
        <f t="shared" ref="O68" si="60">O35*$E68</f>
        <v>293588.70967741933</v>
      </c>
      <c r="R68" s="6">
        <f t="shared" si="22"/>
        <v>18801.843317972351</v>
      </c>
      <c r="U68" s="6">
        <f t="shared" si="22"/>
        <v>12684.331797235023</v>
      </c>
    </row>
    <row r="69" spans="1:21" s="6" customFormat="1" x14ac:dyDescent="0.25">
      <c r="A69" s="12">
        <v>75</v>
      </c>
      <c r="B69" s="1">
        <v>4000000</v>
      </c>
      <c r="C69" s="1">
        <v>609000</v>
      </c>
      <c r="D69" s="6">
        <v>2487500</v>
      </c>
      <c r="E69" s="6">
        <f t="shared" si="23"/>
        <v>378721.875</v>
      </c>
      <c r="H69" s="6">
        <f t="shared" ref="H69" si="61">H36*$E69</f>
        <v>6405810</v>
      </c>
      <c r="J69" s="6">
        <f t="shared" ref="J69" si="62">J36*$E69</f>
        <v>5512237.8125</v>
      </c>
      <c r="K69" s="6">
        <f t="shared" si="26"/>
        <v>811111.5625</v>
      </c>
      <c r="M69" s="6">
        <f t="shared" ref="M69" si="63">M36*$E69</f>
        <v>1723899.6875000002</v>
      </c>
      <c r="O69" s="6">
        <f t="shared" ref="O69" si="64">O36*$E69</f>
        <v>4047846.5625</v>
      </c>
      <c r="R69" s="6">
        <f t="shared" si="22"/>
        <v>21827.8125</v>
      </c>
      <c r="U69" s="6">
        <f t="shared" si="22"/>
        <v>1358299.375</v>
      </c>
    </row>
    <row r="70" spans="1:21" s="12" customForma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3188-FBBA-D640-83EC-E004202B78BD}">
  <dimension ref="A1:W71"/>
  <sheetViews>
    <sheetView topLeftCell="A34" workbookViewId="0">
      <selection activeCell="A55" sqref="A55"/>
    </sheetView>
  </sheetViews>
  <sheetFormatPr defaultColWidth="11" defaultRowHeight="15.75" x14ac:dyDescent="0.25"/>
  <sheetData>
    <row r="1" spans="1:21" x14ac:dyDescent="0.25">
      <c r="A1" t="s">
        <v>31</v>
      </c>
      <c r="B1" t="s">
        <v>32</v>
      </c>
      <c r="C1" t="s">
        <v>33</v>
      </c>
      <c r="D1" t="s">
        <v>34</v>
      </c>
      <c r="E1" t="s">
        <v>367</v>
      </c>
      <c r="F1" t="s">
        <v>368</v>
      </c>
      <c r="G1" t="s">
        <v>369</v>
      </c>
      <c r="H1" t="s">
        <v>370</v>
      </c>
      <c r="I1" s="29" t="s">
        <v>371</v>
      </c>
      <c r="J1" t="s">
        <v>372</v>
      </c>
      <c r="K1" t="s">
        <v>373</v>
      </c>
      <c r="L1" t="s">
        <v>374</v>
      </c>
      <c r="M1" t="s">
        <v>375</v>
      </c>
      <c r="N1" t="s">
        <v>376</v>
      </c>
      <c r="O1" t="s">
        <v>377</v>
      </c>
      <c r="P1" t="s">
        <v>378</v>
      </c>
      <c r="Q1" t="s">
        <v>379</v>
      </c>
      <c r="R1" t="s">
        <v>380</v>
      </c>
      <c r="S1" t="s">
        <v>381</v>
      </c>
      <c r="T1" t="s">
        <v>382</v>
      </c>
      <c r="U1" t="s">
        <v>383</v>
      </c>
    </row>
    <row r="2" spans="1:21" x14ac:dyDescent="0.25">
      <c r="A2" t="s">
        <v>384</v>
      </c>
      <c r="B2" s="1">
        <v>1720000</v>
      </c>
      <c r="C2" s="1">
        <v>497000</v>
      </c>
      <c r="D2">
        <v>398900</v>
      </c>
      <c r="E2">
        <v>291006</v>
      </c>
      <c r="F2">
        <v>273547</v>
      </c>
      <c r="G2">
        <v>66671</v>
      </c>
      <c r="H2">
        <v>39729</v>
      </c>
      <c r="I2" s="29">
        <v>78184</v>
      </c>
      <c r="J2">
        <v>20153</v>
      </c>
      <c r="K2">
        <v>19151</v>
      </c>
      <c r="L2">
        <v>22856</v>
      </c>
      <c r="M2">
        <v>18520</v>
      </c>
      <c r="N2">
        <v>41419</v>
      </c>
      <c r="O2">
        <v>36685</v>
      </c>
      <c r="P2">
        <v>205981</v>
      </c>
      <c r="Q2">
        <v>4929</v>
      </c>
      <c r="R2">
        <v>685</v>
      </c>
      <c r="S2">
        <v>271813</v>
      </c>
      <c r="T2">
        <v>24700</v>
      </c>
      <c r="U2">
        <v>2697</v>
      </c>
    </row>
    <row r="3" spans="1:21" x14ac:dyDescent="0.25">
      <c r="A3" t="s">
        <v>385</v>
      </c>
      <c r="B3" s="1">
        <v>1600000</v>
      </c>
      <c r="C3" s="1">
        <v>447000</v>
      </c>
      <c r="D3">
        <v>345190</v>
      </c>
      <c r="E3">
        <v>227568</v>
      </c>
      <c r="F3">
        <v>206444</v>
      </c>
      <c r="G3">
        <v>45850</v>
      </c>
      <c r="H3">
        <v>18059</v>
      </c>
      <c r="I3" s="29">
        <v>261735</v>
      </c>
      <c r="J3">
        <v>12580</v>
      </c>
      <c r="K3">
        <v>5360</v>
      </c>
      <c r="L3">
        <v>27500</v>
      </c>
      <c r="M3">
        <v>19414</v>
      </c>
      <c r="N3">
        <v>17419</v>
      </c>
      <c r="O3">
        <v>13704</v>
      </c>
      <c r="P3">
        <v>160142</v>
      </c>
      <c r="Q3">
        <v>3666</v>
      </c>
      <c r="R3">
        <v>708</v>
      </c>
      <c r="S3">
        <v>205352</v>
      </c>
      <c r="T3">
        <v>17057</v>
      </c>
      <c r="U3">
        <v>653</v>
      </c>
    </row>
    <row r="4" spans="1:21" x14ac:dyDescent="0.25">
      <c r="A4" t="s">
        <v>386</v>
      </c>
      <c r="B4" s="1">
        <v>3460000</v>
      </c>
      <c r="C4" s="1">
        <v>626000</v>
      </c>
      <c r="D4" s="1">
        <v>454000</v>
      </c>
      <c r="E4">
        <v>250124</v>
      </c>
      <c r="F4">
        <v>195402</v>
      </c>
      <c r="G4">
        <v>53200</v>
      </c>
      <c r="H4">
        <v>16258</v>
      </c>
      <c r="I4" s="29">
        <v>233674</v>
      </c>
      <c r="J4">
        <v>11261</v>
      </c>
      <c r="K4">
        <v>4885</v>
      </c>
      <c r="L4">
        <v>29513</v>
      </c>
      <c r="M4">
        <v>20329</v>
      </c>
      <c r="N4">
        <v>17850</v>
      </c>
      <c r="O4">
        <v>12087</v>
      </c>
      <c r="P4">
        <v>140836</v>
      </c>
      <c r="Q4">
        <v>5003</v>
      </c>
      <c r="R4">
        <v>1158</v>
      </c>
      <c r="S4">
        <v>194470</v>
      </c>
      <c r="T4">
        <v>23126</v>
      </c>
      <c r="U4">
        <v>1573</v>
      </c>
    </row>
    <row r="5" spans="1:21" x14ac:dyDescent="0.25">
      <c r="A5" t="s">
        <v>387</v>
      </c>
      <c r="B5" s="1">
        <v>623000</v>
      </c>
      <c r="C5">
        <v>99045</v>
      </c>
      <c r="D5">
        <v>71486</v>
      </c>
      <c r="E5">
        <v>41549</v>
      </c>
      <c r="F5">
        <v>34386</v>
      </c>
      <c r="G5">
        <v>11564</v>
      </c>
      <c r="H5">
        <v>2540</v>
      </c>
      <c r="I5" s="29">
        <v>130809</v>
      </c>
      <c r="J5">
        <v>1462</v>
      </c>
      <c r="K5">
        <v>1049</v>
      </c>
      <c r="L5">
        <v>8718</v>
      </c>
      <c r="M5">
        <v>6712</v>
      </c>
      <c r="N5">
        <v>2152</v>
      </c>
      <c r="O5">
        <v>1914</v>
      </c>
      <c r="P5">
        <v>22734</v>
      </c>
      <c r="Q5">
        <v>790</v>
      </c>
      <c r="R5">
        <v>338</v>
      </c>
      <c r="S5">
        <v>34204</v>
      </c>
      <c r="T5">
        <v>1723</v>
      </c>
      <c r="U5">
        <v>248</v>
      </c>
    </row>
    <row r="6" spans="1:21" x14ac:dyDescent="0.25">
      <c r="A6" t="s">
        <v>388</v>
      </c>
      <c r="B6" s="1">
        <v>2040000</v>
      </c>
      <c r="C6" s="1">
        <v>490000</v>
      </c>
      <c r="D6">
        <v>371259</v>
      </c>
      <c r="E6">
        <v>249703</v>
      </c>
      <c r="F6">
        <v>219151</v>
      </c>
      <c r="G6">
        <v>63441</v>
      </c>
      <c r="H6">
        <v>19387</v>
      </c>
      <c r="I6" s="29">
        <v>61403</v>
      </c>
      <c r="J6">
        <v>9372</v>
      </c>
      <c r="K6">
        <v>9822</v>
      </c>
      <c r="L6">
        <v>33077</v>
      </c>
      <c r="M6">
        <v>15851</v>
      </c>
      <c r="N6">
        <v>27438</v>
      </c>
      <c r="O6">
        <v>16533</v>
      </c>
      <c r="P6">
        <v>153922</v>
      </c>
      <c r="Q6">
        <v>4900</v>
      </c>
      <c r="R6">
        <v>562</v>
      </c>
      <c r="S6">
        <v>217955</v>
      </c>
      <c r="T6">
        <v>30028</v>
      </c>
      <c r="U6">
        <v>1682</v>
      </c>
    </row>
    <row r="7" spans="1:21" x14ac:dyDescent="0.25">
      <c r="A7" t="s">
        <v>389</v>
      </c>
      <c r="B7" s="1">
        <v>3300000</v>
      </c>
      <c r="C7" s="1">
        <v>862000</v>
      </c>
      <c r="D7" s="1">
        <v>616000</v>
      </c>
      <c r="E7">
        <v>374498</v>
      </c>
      <c r="F7">
        <v>347649</v>
      </c>
      <c r="G7">
        <v>109991</v>
      </c>
      <c r="H7">
        <v>41707</v>
      </c>
      <c r="I7" s="29">
        <v>97225</v>
      </c>
      <c r="J7">
        <v>22735</v>
      </c>
      <c r="K7">
        <v>18470</v>
      </c>
      <c r="L7">
        <v>70524</v>
      </c>
      <c r="M7">
        <v>31763</v>
      </c>
      <c r="N7">
        <v>38651</v>
      </c>
      <c r="O7">
        <v>33702</v>
      </c>
      <c r="P7">
        <v>236497</v>
      </c>
      <c r="Q7">
        <v>7641</v>
      </c>
      <c r="R7">
        <v>1389</v>
      </c>
      <c r="S7">
        <v>346548</v>
      </c>
      <c r="T7">
        <v>22739</v>
      </c>
      <c r="U7">
        <v>1600</v>
      </c>
    </row>
    <row r="8" spans="1:21" x14ac:dyDescent="0.25">
      <c r="A8" t="s">
        <v>390</v>
      </c>
      <c r="B8" s="1">
        <v>3260000</v>
      </c>
      <c r="C8" s="1">
        <v>590000</v>
      </c>
      <c r="D8" s="1">
        <v>419000</v>
      </c>
      <c r="E8">
        <v>254107</v>
      </c>
      <c r="F8">
        <v>229876</v>
      </c>
      <c r="G8">
        <v>76484</v>
      </c>
      <c r="H8">
        <v>16752</v>
      </c>
      <c r="I8" s="29">
        <v>28291</v>
      </c>
      <c r="J8">
        <v>6808</v>
      </c>
      <c r="K8">
        <v>9761</v>
      </c>
      <c r="L8">
        <v>48877</v>
      </c>
      <c r="M8">
        <v>15229</v>
      </c>
      <c r="N8">
        <v>24114</v>
      </c>
      <c r="O8">
        <v>17840</v>
      </c>
      <c r="P8">
        <v>152259</v>
      </c>
      <c r="Q8">
        <v>4866</v>
      </c>
      <c r="R8">
        <v>874</v>
      </c>
      <c r="S8">
        <v>228485</v>
      </c>
      <c r="T8">
        <v>27405</v>
      </c>
      <c r="U8">
        <v>2986</v>
      </c>
    </row>
    <row r="9" spans="1:21" x14ac:dyDescent="0.25">
      <c r="A9" t="s">
        <v>391</v>
      </c>
      <c r="B9" s="1">
        <v>1680000</v>
      </c>
      <c r="C9">
        <v>287895</v>
      </c>
      <c r="D9">
        <v>220856</v>
      </c>
      <c r="E9">
        <v>125777</v>
      </c>
      <c r="F9">
        <v>113132</v>
      </c>
      <c r="G9">
        <v>27861</v>
      </c>
      <c r="H9">
        <v>6465</v>
      </c>
      <c r="I9" s="29">
        <v>10373</v>
      </c>
      <c r="J9">
        <v>1239</v>
      </c>
      <c r="K9">
        <v>5099</v>
      </c>
      <c r="L9">
        <v>19845</v>
      </c>
      <c r="M9">
        <v>14048</v>
      </c>
      <c r="N9">
        <v>7379</v>
      </c>
      <c r="O9">
        <v>5066</v>
      </c>
      <c r="P9">
        <v>84799</v>
      </c>
      <c r="Q9">
        <v>2863</v>
      </c>
      <c r="R9">
        <v>559</v>
      </c>
      <c r="S9">
        <v>111967</v>
      </c>
      <c r="T9">
        <v>10139</v>
      </c>
      <c r="U9">
        <v>1253</v>
      </c>
    </row>
    <row r="10" spans="1:21" x14ac:dyDescent="0.25">
      <c r="A10" t="s">
        <v>392</v>
      </c>
      <c r="B10" s="1">
        <v>1530000</v>
      </c>
      <c r="C10">
        <v>397718</v>
      </c>
      <c r="D10">
        <v>306890</v>
      </c>
      <c r="E10">
        <v>196403</v>
      </c>
      <c r="F10">
        <v>187156</v>
      </c>
      <c r="G10">
        <v>44904</v>
      </c>
      <c r="H10">
        <v>21133</v>
      </c>
      <c r="I10" s="30">
        <v>524000</v>
      </c>
      <c r="J10">
        <v>16593</v>
      </c>
      <c r="K10">
        <v>4424</v>
      </c>
      <c r="L10">
        <v>21510</v>
      </c>
      <c r="M10">
        <v>10993</v>
      </c>
      <c r="N10">
        <v>22313</v>
      </c>
      <c r="O10">
        <v>19797</v>
      </c>
      <c r="P10">
        <v>141820</v>
      </c>
      <c r="Q10">
        <v>3623</v>
      </c>
      <c r="R10">
        <v>671</v>
      </c>
      <c r="S10">
        <v>185356</v>
      </c>
      <c r="T10">
        <v>10889</v>
      </c>
      <c r="U10">
        <v>63</v>
      </c>
    </row>
    <row r="11" spans="1:21" x14ac:dyDescent="0.25">
      <c r="A11" t="s">
        <v>393</v>
      </c>
      <c r="B11" s="1">
        <v>2760000</v>
      </c>
      <c r="C11" s="1">
        <v>547000</v>
      </c>
      <c r="D11" s="1">
        <v>404000</v>
      </c>
      <c r="E11">
        <v>225370</v>
      </c>
      <c r="F11">
        <v>205176</v>
      </c>
      <c r="G11">
        <v>51989</v>
      </c>
      <c r="H11">
        <v>21548</v>
      </c>
      <c r="I11" s="30">
        <v>514000</v>
      </c>
      <c r="J11">
        <v>17469</v>
      </c>
      <c r="K11">
        <v>3966</v>
      </c>
      <c r="L11">
        <v>27253</v>
      </c>
      <c r="M11">
        <v>16946</v>
      </c>
      <c r="N11">
        <v>23177</v>
      </c>
      <c r="O11">
        <v>18082</v>
      </c>
      <c r="P11">
        <v>152583</v>
      </c>
      <c r="Q11">
        <v>2999</v>
      </c>
      <c r="R11">
        <v>678</v>
      </c>
      <c r="S11">
        <v>203720</v>
      </c>
      <c r="T11">
        <v>14228</v>
      </c>
      <c r="U11">
        <v>1039</v>
      </c>
    </row>
    <row r="12" spans="1:21" x14ac:dyDescent="0.25">
      <c r="A12" t="s">
        <v>394</v>
      </c>
      <c r="B12" s="1">
        <v>2710000</v>
      </c>
      <c r="C12" s="1">
        <v>549000</v>
      </c>
      <c r="D12" s="1">
        <v>422000</v>
      </c>
      <c r="E12">
        <v>287384</v>
      </c>
      <c r="F12">
        <v>245275</v>
      </c>
      <c r="G12">
        <v>83441</v>
      </c>
      <c r="H12">
        <v>22798</v>
      </c>
      <c r="I12" s="29">
        <v>126330</v>
      </c>
      <c r="J12">
        <v>14295</v>
      </c>
      <c r="K12">
        <v>8206</v>
      </c>
      <c r="L12">
        <v>46435</v>
      </c>
      <c r="M12">
        <v>24932</v>
      </c>
      <c r="N12">
        <v>34390</v>
      </c>
      <c r="O12">
        <v>24931</v>
      </c>
      <c r="P12">
        <v>160918</v>
      </c>
      <c r="Q12">
        <v>4097</v>
      </c>
      <c r="R12">
        <v>788</v>
      </c>
      <c r="S12">
        <v>239936</v>
      </c>
      <c r="T12">
        <v>25711</v>
      </c>
      <c r="U12">
        <v>2150</v>
      </c>
    </row>
    <row r="13" spans="1:21" x14ac:dyDescent="0.25">
      <c r="A13" t="s">
        <v>395</v>
      </c>
      <c r="B13" s="1">
        <v>2000000</v>
      </c>
      <c r="C13">
        <v>361842</v>
      </c>
      <c r="D13">
        <v>266169</v>
      </c>
      <c r="E13">
        <v>145021</v>
      </c>
      <c r="F13">
        <v>119263</v>
      </c>
      <c r="G13">
        <v>27184</v>
      </c>
      <c r="H13">
        <v>7320</v>
      </c>
      <c r="I13" s="29">
        <v>158151</v>
      </c>
      <c r="J13">
        <v>4467</v>
      </c>
      <c r="K13">
        <v>2778</v>
      </c>
      <c r="L13">
        <v>17077</v>
      </c>
      <c r="M13">
        <v>5208</v>
      </c>
      <c r="N13">
        <v>9222</v>
      </c>
      <c r="O13">
        <v>7043</v>
      </c>
      <c r="P13">
        <v>91765</v>
      </c>
      <c r="Q13">
        <v>1643</v>
      </c>
      <c r="R13">
        <v>259</v>
      </c>
      <c r="S13">
        <v>118566</v>
      </c>
      <c r="T13">
        <v>6167</v>
      </c>
      <c r="U13">
        <v>42</v>
      </c>
    </row>
    <row r="14" spans="1:21" x14ac:dyDescent="0.25">
      <c r="A14" t="s">
        <v>396</v>
      </c>
      <c r="B14" s="1">
        <v>1850000</v>
      </c>
      <c r="C14" s="1">
        <v>404000</v>
      </c>
      <c r="D14">
        <v>269132</v>
      </c>
      <c r="E14">
        <v>154480</v>
      </c>
      <c r="F14">
        <v>140480</v>
      </c>
      <c r="G14">
        <v>54071</v>
      </c>
      <c r="H14">
        <v>21535</v>
      </c>
      <c r="I14" s="29">
        <v>89780</v>
      </c>
      <c r="J14">
        <v>11611</v>
      </c>
      <c r="K14">
        <v>9612</v>
      </c>
      <c r="L14">
        <v>25088</v>
      </c>
      <c r="M14">
        <v>16250</v>
      </c>
      <c r="N14">
        <v>26042</v>
      </c>
      <c r="O14">
        <v>19164</v>
      </c>
      <c r="P14">
        <v>85944</v>
      </c>
      <c r="Q14">
        <v>2624</v>
      </c>
      <c r="R14">
        <v>309</v>
      </c>
      <c r="S14">
        <v>139806</v>
      </c>
      <c r="T14">
        <v>15481</v>
      </c>
      <c r="U14">
        <v>1710</v>
      </c>
    </row>
    <row r="15" spans="1:21" x14ac:dyDescent="0.25">
      <c r="A15" t="s">
        <v>397</v>
      </c>
      <c r="B15" s="1">
        <v>1700000</v>
      </c>
      <c r="C15">
        <v>389811</v>
      </c>
      <c r="D15">
        <v>296527</v>
      </c>
      <c r="E15">
        <v>166392</v>
      </c>
      <c r="F15">
        <v>135846</v>
      </c>
      <c r="G15">
        <v>38754</v>
      </c>
      <c r="H15">
        <v>5447</v>
      </c>
      <c r="I15" s="29">
        <v>11387</v>
      </c>
      <c r="J15">
        <v>1115</v>
      </c>
      <c r="K15">
        <v>4238</v>
      </c>
      <c r="L15">
        <v>29018</v>
      </c>
      <c r="M15">
        <v>16819</v>
      </c>
      <c r="N15">
        <v>9150</v>
      </c>
      <c r="O15">
        <v>4755</v>
      </c>
      <c r="P15">
        <v>96703</v>
      </c>
      <c r="Q15">
        <v>2087</v>
      </c>
      <c r="R15">
        <v>529</v>
      </c>
      <c r="S15">
        <v>135145</v>
      </c>
      <c r="T15">
        <v>11856</v>
      </c>
      <c r="U15">
        <v>389</v>
      </c>
    </row>
    <row r="16" spans="1:21" x14ac:dyDescent="0.25">
      <c r="A16" t="s">
        <v>398</v>
      </c>
      <c r="B16" s="1">
        <v>1950000</v>
      </c>
      <c r="C16" s="1">
        <v>407000</v>
      </c>
      <c r="D16">
        <v>284150</v>
      </c>
      <c r="E16">
        <v>159492</v>
      </c>
      <c r="F16">
        <v>139724</v>
      </c>
      <c r="G16">
        <v>33111</v>
      </c>
      <c r="H16">
        <v>11286</v>
      </c>
      <c r="I16" s="29">
        <v>265677</v>
      </c>
      <c r="J16">
        <v>7826</v>
      </c>
      <c r="K16">
        <v>3360</v>
      </c>
      <c r="L16">
        <v>19554</v>
      </c>
      <c r="M16">
        <v>13784</v>
      </c>
      <c r="N16">
        <v>12306</v>
      </c>
      <c r="O16">
        <v>8590</v>
      </c>
      <c r="P16">
        <v>106271</v>
      </c>
      <c r="Q16">
        <v>2439</v>
      </c>
      <c r="R16">
        <v>729</v>
      </c>
      <c r="S16">
        <v>138527</v>
      </c>
      <c r="T16">
        <v>11319</v>
      </c>
      <c r="U16">
        <v>948</v>
      </c>
    </row>
    <row r="17" spans="1:23" x14ac:dyDescent="0.25">
      <c r="I17" s="29"/>
    </row>
    <row r="18" spans="1:23" x14ac:dyDescent="0.25">
      <c r="B18" s="1" t="s">
        <v>70</v>
      </c>
      <c r="C18" s="1"/>
      <c r="D18" s="1" t="s">
        <v>324</v>
      </c>
      <c r="E18" t="s">
        <v>325</v>
      </c>
      <c r="F18" s="1" t="s">
        <v>326</v>
      </c>
      <c r="G18" s="1" t="s">
        <v>327</v>
      </c>
      <c r="H18" s="3" t="s">
        <v>328</v>
      </c>
      <c r="I18" s="30" t="s">
        <v>329</v>
      </c>
      <c r="J18" s="3" t="s">
        <v>330</v>
      </c>
      <c r="K18" s="3" t="s">
        <v>331</v>
      </c>
      <c r="M18" s="3" t="s">
        <v>17</v>
      </c>
      <c r="O18" s="3" t="s">
        <v>332</v>
      </c>
      <c r="R18" s="4" t="s">
        <v>333</v>
      </c>
      <c r="U18" s="4" t="s">
        <v>334</v>
      </c>
    </row>
    <row r="19" spans="1:23" x14ac:dyDescent="0.25">
      <c r="B19" s="1"/>
    </row>
    <row r="20" spans="1:23" s="7" customFormat="1" x14ac:dyDescent="0.25">
      <c r="A20" s="7" t="s">
        <v>85</v>
      </c>
    </row>
    <row r="21" spans="1:23" x14ac:dyDescent="0.25">
      <c r="B21" s="1" t="s">
        <v>70</v>
      </c>
      <c r="C21" s="1"/>
      <c r="D21" s="1" t="s">
        <v>324</v>
      </c>
      <c r="E21" t="s">
        <v>325</v>
      </c>
      <c r="F21" s="1" t="s">
        <v>326</v>
      </c>
      <c r="G21" s="1" t="s">
        <v>327</v>
      </c>
      <c r="H21" s="3" t="s">
        <v>328</v>
      </c>
      <c r="I21" s="24" t="s">
        <v>329</v>
      </c>
      <c r="J21" s="3" t="s">
        <v>330</v>
      </c>
      <c r="K21" s="3" t="s">
        <v>331</v>
      </c>
      <c r="M21" s="3" t="s">
        <v>17</v>
      </c>
      <c r="O21" s="3" t="s">
        <v>332</v>
      </c>
      <c r="R21" s="4" t="s">
        <v>333</v>
      </c>
      <c r="U21" s="4" t="s">
        <v>334</v>
      </c>
    </row>
    <row r="22" spans="1:23" x14ac:dyDescent="0.25">
      <c r="A22" s="7">
        <v>1</v>
      </c>
      <c r="F22" s="1">
        <f t="shared" ref="F22:H36" si="0">100*F2/$E2</f>
        <v>94.000467344315922</v>
      </c>
      <c r="G22" s="1">
        <f t="shared" si="0"/>
        <v>22.910524181631995</v>
      </c>
      <c r="H22" s="1">
        <f t="shared" si="0"/>
        <v>13.65229582895198</v>
      </c>
      <c r="I22" s="1"/>
      <c r="J22" s="1">
        <f t="shared" ref="J22:U22" si="1">100*J2/$E2</f>
        <v>6.9252867638467936</v>
      </c>
      <c r="K22" s="1">
        <f t="shared" si="1"/>
        <v>6.5809639663787003</v>
      </c>
      <c r="L22" s="1">
        <f t="shared" si="1"/>
        <v>7.8541335917472495</v>
      </c>
      <c r="M22" s="1">
        <f t="shared" si="1"/>
        <v>6.3641299492106693</v>
      </c>
      <c r="N22" s="1">
        <f t="shared" si="1"/>
        <v>14.233039868593774</v>
      </c>
      <c r="O22" s="1">
        <f t="shared" si="1"/>
        <v>12.60626928654392</v>
      </c>
      <c r="P22" s="1">
        <f t="shared" si="1"/>
        <v>70.782389366542276</v>
      </c>
      <c r="Q22" s="1">
        <f t="shared" si="1"/>
        <v>1.693779509700831</v>
      </c>
      <c r="R22" s="1">
        <f t="shared" si="1"/>
        <v>0.2353903355944551</v>
      </c>
      <c r="S22" s="1">
        <f t="shared" si="1"/>
        <v>93.404603341511859</v>
      </c>
      <c r="T22" s="1">
        <f t="shared" si="1"/>
        <v>8.4877975024569938</v>
      </c>
      <c r="U22" s="1">
        <f t="shared" si="1"/>
        <v>0.92678501474196406</v>
      </c>
      <c r="V22" s="1"/>
      <c r="W22" s="1"/>
    </row>
    <row r="23" spans="1:23" x14ac:dyDescent="0.25">
      <c r="A23" s="7">
        <v>2</v>
      </c>
      <c r="F23" s="1">
        <f t="shared" si="0"/>
        <v>90.717499824228369</v>
      </c>
      <c r="G23" s="1">
        <f t="shared" si="0"/>
        <v>20.14782394712789</v>
      </c>
      <c r="H23" s="1">
        <f t="shared" si="0"/>
        <v>7.9356500035154331</v>
      </c>
      <c r="I23" s="1"/>
      <c r="J23" s="1">
        <f t="shared" ref="J23:U23" si="2">100*J3/$E3</f>
        <v>5.5280179990156793</v>
      </c>
      <c r="K23" s="1">
        <f t="shared" si="2"/>
        <v>2.355339942346903</v>
      </c>
      <c r="L23" s="1">
        <f t="shared" si="2"/>
        <v>12.08430007733952</v>
      </c>
      <c r="M23" s="1">
        <f t="shared" si="2"/>
        <v>8.5310764255079796</v>
      </c>
      <c r="N23" s="1">
        <f t="shared" si="2"/>
        <v>7.6544153835337134</v>
      </c>
      <c r="O23" s="1">
        <f t="shared" si="2"/>
        <v>6.0219363003585737</v>
      </c>
      <c r="P23" s="1">
        <f t="shared" si="2"/>
        <v>70.371053926738384</v>
      </c>
      <c r="Q23" s="1">
        <f t="shared" si="2"/>
        <v>1.6109470575827884</v>
      </c>
      <c r="R23" s="1">
        <f t="shared" si="2"/>
        <v>0.31111579835477748</v>
      </c>
      <c r="S23" s="1">
        <f t="shared" si="2"/>
        <v>90.237643253884556</v>
      </c>
      <c r="T23" s="1">
        <f t="shared" si="2"/>
        <v>7.4953420516065528</v>
      </c>
      <c r="U23" s="1">
        <f t="shared" si="2"/>
        <v>0.28694719820009845</v>
      </c>
      <c r="V23" s="1"/>
      <c r="W23" s="1"/>
    </row>
    <row r="24" spans="1:23" x14ac:dyDescent="0.25">
      <c r="A24" s="7">
        <v>3</v>
      </c>
      <c r="F24" s="1">
        <f t="shared" si="0"/>
        <v>78.122051462474616</v>
      </c>
      <c r="G24" s="1">
        <f t="shared" si="0"/>
        <v>21.269450352625096</v>
      </c>
      <c r="H24" s="1">
        <f t="shared" si="0"/>
        <v>6.4999760118980987</v>
      </c>
      <c r="I24" s="1"/>
      <c r="J24" s="1">
        <f t="shared" ref="J24:U24" si="3">100*J4/$E4</f>
        <v>4.5021669252050982</v>
      </c>
      <c r="K24" s="1">
        <f t="shared" si="3"/>
        <v>1.9530312964769474</v>
      </c>
      <c r="L24" s="1">
        <f t="shared" si="3"/>
        <v>11.799347523628281</v>
      </c>
      <c r="M24" s="1">
        <f t="shared" si="3"/>
        <v>8.1275687259119476</v>
      </c>
      <c r="N24" s="1">
        <f t="shared" si="3"/>
        <v>7.1364603156834212</v>
      </c>
      <c r="O24" s="1">
        <f t="shared" si="3"/>
        <v>4.8324031280484876</v>
      </c>
      <c r="P24" s="1">
        <f t="shared" si="3"/>
        <v>56.306471989893012</v>
      </c>
      <c r="Q24" s="1">
        <f t="shared" si="3"/>
        <v>2.000207896883146</v>
      </c>
      <c r="R24" s="1">
        <f t="shared" si="3"/>
        <v>0.46297036669811775</v>
      </c>
      <c r="S24" s="1">
        <f t="shared" si="3"/>
        <v>77.74943627960532</v>
      </c>
      <c r="T24" s="1">
        <f t="shared" si="3"/>
        <v>9.2458140762181955</v>
      </c>
      <c r="U24" s="1">
        <f t="shared" si="3"/>
        <v>0.62888807151652781</v>
      </c>
      <c r="V24" s="1"/>
      <c r="W24" s="1"/>
    </row>
    <row r="25" spans="1:23" x14ac:dyDescent="0.25">
      <c r="A25" s="7">
        <v>4</v>
      </c>
      <c r="F25" s="1">
        <f t="shared" si="0"/>
        <v>82.760114563527395</v>
      </c>
      <c r="G25" s="1">
        <f t="shared" si="0"/>
        <v>27.832198127512093</v>
      </c>
      <c r="H25" s="1">
        <f t="shared" si="0"/>
        <v>6.1132638571325426</v>
      </c>
      <c r="I25" s="1"/>
      <c r="J25" s="1">
        <f t="shared" ref="J25:U25" si="4">100*J5/$E5</f>
        <v>3.518736913042432</v>
      </c>
      <c r="K25" s="1">
        <f t="shared" si="4"/>
        <v>2.5247298370598572</v>
      </c>
      <c r="L25" s="1">
        <f t="shared" si="4"/>
        <v>20.982454451370671</v>
      </c>
      <c r="M25" s="1">
        <f t="shared" si="4"/>
        <v>16.154420082312452</v>
      </c>
      <c r="N25" s="1">
        <f t="shared" si="4"/>
        <v>5.1794267010036341</v>
      </c>
      <c r="O25" s="1">
        <f t="shared" si="4"/>
        <v>4.6066090639967268</v>
      </c>
      <c r="P25" s="1">
        <f t="shared" si="4"/>
        <v>54.716118318130398</v>
      </c>
      <c r="Q25" s="1">
        <f t="shared" si="4"/>
        <v>1.9013694673758694</v>
      </c>
      <c r="R25" s="1">
        <f t="shared" si="4"/>
        <v>0.81349731642157452</v>
      </c>
      <c r="S25" s="1">
        <f t="shared" si="4"/>
        <v>82.322077546992702</v>
      </c>
      <c r="T25" s="1">
        <f t="shared" si="4"/>
        <v>4.1469108763147124</v>
      </c>
      <c r="U25" s="1">
        <f t="shared" si="4"/>
        <v>0.59688560494837417</v>
      </c>
      <c r="V25" s="1"/>
      <c r="W25" s="1"/>
    </row>
    <row r="26" spans="1:23" x14ac:dyDescent="0.25">
      <c r="A26" s="7">
        <v>5</v>
      </c>
      <c r="F26" s="1">
        <f t="shared" si="0"/>
        <v>87.76466442133254</v>
      </c>
      <c r="G26" s="1">
        <f t="shared" si="0"/>
        <v>25.406583020628506</v>
      </c>
      <c r="H26" s="1">
        <f t="shared" si="0"/>
        <v>7.7640236601082089</v>
      </c>
      <c r="I26" s="1"/>
      <c r="J26" s="1">
        <f t="shared" ref="J26:U26" si="5">100*J6/$E6</f>
        <v>3.7532588715393889</v>
      </c>
      <c r="K26" s="1">
        <f t="shared" si="5"/>
        <v>3.9334729658834697</v>
      </c>
      <c r="L26" s="1">
        <f t="shared" si="5"/>
        <v>13.246536885820355</v>
      </c>
      <c r="M26" s="1">
        <f t="shared" si="5"/>
        <v>6.3479413543289427</v>
      </c>
      <c r="N26" s="1">
        <f t="shared" si="5"/>
        <v>10.988254045806418</v>
      </c>
      <c r="O26" s="1">
        <f t="shared" si="5"/>
        <v>6.6210658262015274</v>
      </c>
      <c r="P26" s="1">
        <f t="shared" si="5"/>
        <v>61.642030732510221</v>
      </c>
      <c r="Q26" s="1">
        <f t="shared" si="5"/>
        <v>1.9623312495244349</v>
      </c>
      <c r="R26" s="1">
        <f t="shared" si="5"/>
        <v>0.22506738004749643</v>
      </c>
      <c r="S26" s="1">
        <f t="shared" si="5"/>
        <v>87.285695406142494</v>
      </c>
      <c r="T26" s="1">
        <f t="shared" si="5"/>
        <v>12.025486277697905</v>
      </c>
      <c r="U26" s="1">
        <f t="shared" si="5"/>
        <v>0.67360023708165295</v>
      </c>
      <c r="V26" s="1"/>
      <c r="W26" s="1"/>
    </row>
    <row r="27" spans="1:23" x14ac:dyDescent="0.25">
      <c r="A27" s="7">
        <v>6</v>
      </c>
      <c r="F27" s="1">
        <f t="shared" si="0"/>
        <v>92.830669322666608</v>
      </c>
      <c r="G27" s="1">
        <f t="shared" si="0"/>
        <v>29.370250308412864</v>
      </c>
      <c r="H27" s="1">
        <f t="shared" si="0"/>
        <v>11.136775096262197</v>
      </c>
      <c r="I27" s="1"/>
      <c r="J27" s="1">
        <f t="shared" ref="J27:U27" si="6">100*J7/$E7</f>
        <v>6.0707934354789614</v>
      </c>
      <c r="K27" s="1">
        <f t="shared" si="6"/>
        <v>4.9319355510576823</v>
      </c>
      <c r="L27" s="1">
        <f t="shared" si="6"/>
        <v>18.831609247579426</v>
      </c>
      <c r="M27" s="1">
        <f t="shared" si="6"/>
        <v>8.4814872175552338</v>
      </c>
      <c r="N27" s="1">
        <f t="shared" si="6"/>
        <v>10.320749376498673</v>
      </c>
      <c r="O27" s="1">
        <f t="shared" si="6"/>
        <v>8.9992469919732549</v>
      </c>
      <c r="P27" s="1">
        <f t="shared" si="6"/>
        <v>63.15040400749804</v>
      </c>
      <c r="Q27" s="1">
        <f t="shared" si="6"/>
        <v>2.0403313235317677</v>
      </c>
      <c r="R27" s="1">
        <f t="shared" si="6"/>
        <v>0.37089650679042346</v>
      </c>
      <c r="S27" s="1">
        <f t="shared" si="6"/>
        <v>92.536675763288457</v>
      </c>
      <c r="T27" s="1">
        <f t="shared" si="6"/>
        <v>6.0718615319707983</v>
      </c>
      <c r="U27" s="1">
        <f t="shared" si="6"/>
        <v>0.427238596734829</v>
      </c>
      <c r="V27" s="1"/>
      <c r="W27" s="1"/>
    </row>
    <row r="28" spans="1:23" x14ac:dyDescent="0.25">
      <c r="A28" s="7">
        <v>7</v>
      </c>
      <c r="F28" s="1">
        <f t="shared" si="0"/>
        <v>90.464253247647648</v>
      </c>
      <c r="G28" s="1">
        <f t="shared" si="0"/>
        <v>30.099131468239758</v>
      </c>
      <c r="H28" s="1">
        <f t="shared" si="0"/>
        <v>6.5924984356983476</v>
      </c>
      <c r="I28" s="1"/>
      <c r="J28" s="1">
        <f t="shared" ref="J28:U28" si="7">100*J8/$E8</f>
        <v>2.6791863270197203</v>
      </c>
      <c r="K28" s="1">
        <f t="shared" si="7"/>
        <v>3.8412952024147309</v>
      </c>
      <c r="L28" s="1">
        <f t="shared" si="7"/>
        <v>19.234810532570926</v>
      </c>
      <c r="M28" s="1">
        <f t="shared" si="7"/>
        <v>5.9931446201796881</v>
      </c>
      <c r="N28" s="1">
        <f t="shared" si="7"/>
        <v>9.4897031565442909</v>
      </c>
      <c r="O28" s="1">
        <f t="shared" si="7"/>
        <v>7.0206645232126625</v>
      </c>
      <c r="P28" s="1">
        <f t="shared" si="7"/>
        <v>59.919246616582775</v>
      </c>
      <c r="Q28" s="1">
        <f t="shared" si="7"/>
        <v>1.9149413436072207</v>
      </c>
      <c r="R28" s="1">
        <f t="shared" si="7"/>
        <v>0.34394959603631542</v>
      </c>
      <c r="S28" s="1">
        <f t="shared" si="7"/>
        <v>89.916846053040643</v>
      </c>
      <c r="T28" s="1">
        <f t="shared" si="7"/>
        <v>10.784826864273711</v>
      </c>
      <c r="U28" s="1">
        <f t="shared" si="7"/>
        <v>1.1750955306229265</v>
      </c>
      <c r="V28" s="1"/>
      <c r="W28" s="1"/>
    </row>
    <row r="29" spans="1:23" x14ac:dyDescent="0.25">
      <c r="A29" s="7">
        <v>8</v>
      </c>
      <c r="F29" s="1">
        <f t="shared" si="0"/>
        <v>89.946492601986051</v>
      </c>
      <c r="G29" s="1">
        <f t="shared" si="0"/>
        <v>22.151108708269398</v>
      </c>
      <c r="H29" s="1">
        <f t="shared" si="0"/>
        <v>5.1400494526026224</v>
      </c>
      <c r="I29" s="1"/>
      <c r="J29" s="1">
        <f t="shared" ref="J29:U29" si="8">100*J9/$E9</f>
        <v>0.98507676284217305</v>
      </c>
      <c r="K29" s="1">
        <f t="shared" si="8"/>
        <v>4.0540003339243267</v>
      </c>
      <c r="L29" s="1">
        <f t="shared" si="8"/>
        <v>15.777924421794127</v>
      </c>
      <c r="M29" s="1">
        <f t="shared" si="8"/>
        <v>11.168973659731112</v>
      </c>
      <c r="N29" s="1">
        <f t="shared" si="8"/>
        <v>5.8667323914547174</v>
      </c>
      <c r="O29" s="1">
        <f t="shared" si="8"/>
        <v>4.027763422565334</v>
      </c>
      <c r="P29" s="1">
        <f t="shared" si="8"/>
        <v>67.420116555491063</v>
      </c>
      <c r="Q29" s="1">
        <f t="shared" si="8"/>
        <v>2.2762508248725921</v>
      </c>
      <c r="R29" s="1">
        <f t="shared" si="8"/>
        <v>0.44443737726293359</v>
      </c>
      <c r="S29" s="1">
        <f t="shared" si="8"/>
        <v>89.020250125221622</v>
      </c>
      <c r="T29" s="1">
        <f t="shared" si="8"/>
        <v>8.0610922505704536</v>
      </c>
      <c r="U29" s="1">
        <f t="shared" si="8"/>
        <v>0.99620757372174562</v>
      </c>
      <c r="V29" s="1"/>
      <c r="W29" s="1"/>
    </row>
    <row r="30" spans="1:23" x14ac:dyDescent="0.25">
      <c r="A30" s="7">
        <v>9</v>
      </c>
      <c r="F30" s="1">
        <f t="shared" si="0"/>
        <v>95.291823444652067</v>
      </c>
      <c r="G30" s="1">
        <f t="shared" si="0"/>
        <v>22.863194554054672</v>
      </c>
      <c r="H30" s="1">
        <f t="shared" si="0"/>
        <v>10.760018940647546</v>
      </c>
      <c r="I30" s="1"/>
      <c r="J30" s="1">
        <f t="shared" ref="J30:U30" si="9">100*J10/$E10</f>
        <v>8.4484452885139234</v>
      </c>
      <c r="K30" s="1">
        <f t="shared" si="9"/>
        <v>2.2525114178500329</v>
      </c>
      <c r="L30" s="1">
        <f t="shared" si="9"/>
        <v>10.951971202069215</v>
      </c>
      <c r="M30" s="1">
        <f t="shared" si="9"/>
        <v>5.5971650127543873</v>
      </c>
      <c r="N30" s="1">
        <f t="shared" si="9"/>
        <v>11.360824427325449</v>
      </c>
      <c r="O30" s="1">
        <f t="shared" si="9"/>
        <v>10.079784932002058</v>
      </c>
      <c r="P30" s="1">
        <f t="shared" si="9"/>
        <v>72.208672983610228</v>
      </c>
      <c r="Q30" s="1">
        <f t="shared" si="9"/>
        <v>1.8446765069779993</v>
      </c>
      <c r="R30" s="1">
        <f t="shared" si="9"/>
        <v>0.34164447589904429</v>
      </c>
      <c r="S30" s="1">
        <f t="shared" si="9"/>
        <v>94.37534049887222</v>
      </c>
      <c r="T30" s="1">
        <f t="shared" si="9"/>
        <v>5.5442126647759959</v>
      </c>
      <c r="U30" s="1">
        <f t="shared" si="9"/>
        <v>3.2076903102294774E-2</v>
      </c>
      <c r="V30" s="1"/>
      <c r="W30" s="1"/>
    </row>
    <row r="31" spans="1:23" x14ac:dyDescent="0.25">
      <c r="A31" s="7">
        <v>10</v>
      </c>
      <c r="F31" s="1">
        <f t="shared" si="0"/>
        <v>91.039623729866449</v>
      </c>
      <c r="G31" s="1">
        <f t="shared" si="0"/>
        <v>23.068287704663444</v>
      </c>
      <c r="H31" s="1">
        <f t="shared" si="0"/>
        <v>9.561166082442206</v>
      </c>
      <c r="I31" s="1"/>
      <c r="J31" s="1">
        <f t="shared" ref="J31:U31" si="10">100*J11/$E11</f>
        <v>7.751253494253894</v>
      </c>
      <c r="K31" s="1">
        <f t="shared" si="10"/>
        <v>1.7597728180325687</v>
      </c>
      <c r="L31" s="1">
        <f t="shared" si="10"/>
        <v>12.092558903137064</v>
      </c>
      <c r="M31" s="1">
        <f t="shared" si="10"/>
        <v>7.5191906642410258</v>
      </c>
      <c r="N31" s="1">
        <f t="shared" si="10"/>
        <v>10.283977459289169</v>
      </c>
      <c r="O31" s="1">
        <f t="shared" si="10"/>
        <v>8.0232506544793001</v>
      </c>
      <c r="P31" s="1">
        <f t="shared" si="10"/>
        <v>67.703332297998841</v>
      </c>
      <c r="Q31" s="1">
        <f t="shared" si="10"/>
        <v>1.33070062563784</v>
      </c>
      <c r="R31" s="1">
        <f t="shared" si="10"/>
        <v>0.30083862093446334</v>
      </c>
      <c r="S31" s="1">
        <f t="shared" si="10"/>
        <v>90.393575009983579</v>
      </c>
      <c r="T31" s="1">
        <f t="shared" si="10"/>
        <v>6.3131738918223368</v>
      </c>
      <c r="U31" s="1">
        <f t="shared" si="10"/>
        <v>0.46101965656476018</v>
      </c>
      <c r="V31" s="1"/>
      <c r="W31" s="1"/>
    </row>
    <row r="32" spans="1:23" x14ac:dyDescent="0.25">
      <c r="A32" s="7">
        <v>11</v>
      </c>
      <c r="F32" s="1">
        <f t="shared" si="0"/>
        <v>85.347479330790861</v>
      </c>
      <c r="G32" s="1">
        <f t="shared" si="0"/>
        <v>29.034671380452636</v>
      </c>
      <c r="H32" s="1">
        <f t="shared" si="0"/>
        <v>7.9329398992289066</v>
      </c>
      <c r="I32" s="1"/>
      <c r="J32" s="1">
        <f t="shared" ref="J32:U32" si="11">100*J12/$E12</f>
        <v>4.9741808868969741</v>
      </c>
      <c r="K32" s="1">
        <f t="shared" si="11"/>
        <v>2.8554129666230548</v>
      </c>
      <c r="L32" s="1">
        <f t="shared" si="11"/>
        <v>16.157823678423295</v>
      </c>
      <c r="M32" s="1">
        <f t="shared" si="11"/>
        <v>8.6755003758038018</v>
      </c>
      <c r="N32" s="1">
        <f t="shared" si="11"/>
        <v>11.966567380229936</v>
      </c>
      <c r="O32" s="1">
        <f t="shared" si="11"/>
        <v>8.675152409319935</v>
      </c>
      <c r="P32" s="1">
        <f t="shared" si="11"/>
        <v>55.994070651114882</v>
      </c>
      <c r="Q32" s="1">
        <f t="shared" si="11"/>
        <v>1.4256186844083178</v>
      </c>
      <c r="R32" s="1">
        <f t="shared" si="11"/>
        <v>0.27419758928819976</v>
      </c>
      <c r="S32" s="1">
        <f t="shared" si="11"/>
        <v>83.489686273418144</v>
      </c>
      <c r="T32" s="1">
        <f t="shared" si="11"/>
        <v>8.9465662667371877</v>
      </c>
      <c r="U32" s="1">
        <f t="shared" si="11"/>
        <v>0.74812794031678864</v>
      </c>
      <c r="V32" s="1"/>
      <c r="W32" s="1"/>
    </row>
    <row r="33" spans="1:23" x14ac:dyDescent="0.25">
      <c r="A33" s="7">
        <v>12</v>
      </c>
      <c r="F33" s="1">
        <f t="shared" si="0"/>
        <v>82.238434433633756</v>
      </c>
      <c r="G33" s="1">
        <f t="shared" si="0"/>
        <v>18.744871432413237</v>
      </c>
      <c r="H33" s="1">
        <f t="shared" si="0"/>
        <v>5.0475448383337582</v>
      </c>
      <c r="I33" s="1"/>
      <c r="J33" s="1">
        <f t="shared" ref="J33:U33" si="12">100*J13/$E13</f>
        <v>3.0802435509340027</v>
      </c>
      <c r="K33" s="1">
        <f t="shared" si="12"/>
        <v>1.9155846394660083</v>
      </c>
      <c r="L33" s="1">
        <f t="shared" si="12"/>
        <v>11.77553595686142</v>
      </c>
      <c r="M33" s="1">
        <f t="shared" si="12"/>
        <v>3.5912040325194283</v>
      </c>
      <c r="N33" s="1">
        <f t="shared" si="12"/>
        <v>6.3590790299335955</v>
      </c>
      <c r="O33" s="1">
        <f t="shared" si="12"/>
        <v>4.8565380186317846</v>
      </c>
      <c r="P33" s="1">
        <f t="shared" si="12"/>
        <v>63.277042635204559</v>
      </c>
      <c r="Q33" s="1">
        <f t="shared" si="12"/>
        <v>1.1329393674019625</v>
      </c>
      <c r="R33" s="1">
        <f t="shared" si="12"/>
        <v>0.17859482419787479</v>
      </c>
      <c r="S33" s="1">
        <f t="shared" si="12"/>
        <v>81.757814385502783</v>
      </c>
      <c r="T33" s="1">
        <f t="shared" si="12"/>
        <v>4.2524875707656129</v>
      </c>
      <c r="U33" s="1">
        <f t="shared" si="12"/>
        <v>2.8961322842898613E-2</v>
      </c>
      <c r="V33" s="1"/>
      <c r="W33" s="1"/>
    </row>
    <row r="34" spans="1:23" x14ac:dyDescent="0.25">
      <c r="A34" s="7">
        <v>13</v>
      </c>
      <c r="F34" s="1">
        <f t="shared" si="0"/>
        <v>90.93733816675298</v>
      </c>
      <c r="G34" s="1">
        <f t="shared" si="0"/>
        <v>35.00194199896427</v>
      </c>
      <c r="H34" s="1">
        <f t="shared" si="0"/>
        <v>13.940315898498188</v>
      </c>
      <c r="I34" s="1"/>
      <c r="J34" s="1">
        <f t="shared" ref="J34:U34" si="13">100*J14/$E14</f>
        <v>7.5161833247022267</v>
      </c>
      <c r="K34" s="1">
        <f t="shared" si="13"/>
        <v>6.2221646815121696</v>
      </c>
      <c r="L34" s="1">
        <f t="shared" si="13"/>
        <v>16.240290005178665</v>
      </c>
      <c r="M34" s="1">
        <f t="shared" si="13"/>
        <v>10.519161056447437</v>
      </c>
      <c r="N34" s="1">
        <f t="shared" si="13"/>
        <v>16.857845675815639</v>
      </c>
      <c r="O34" s="1">
        <f t="shared" si="13"/>
        <v>12.405489383738995</v>
      </c>
      <c r="P34" s="1">
        <f t="shared" si="13"/>
        <v>55.634386328327288</v>
      </c>
      <c r="Q34" s="1">
        <f t="shared" si="13"/>
        <v>1.6986017607457276</v>
      </c>
      <c r="R34" s="1">
        <f t="shared" si="13"/>
        <v>0.20002589331952356</v>
      </c>
      <c r="S34" s="1">
        <f t="shared" si="13"/>
        <v>90.501035732780949</v>
      </c>
      <c r="T34" s="1">
        <f t="shared" si="13"/>
        <v>10.021361988606939</v>
      </c>
      <c r="U34" s="1">
        <f t="shared" si="13"/>
        <v>1.1069394096323149</v>
      </c>
      <c r="V34" s="1"/>
      <c r="W34" s="1"/>
    </row>
    <row r="35" spans="1:23" x14ac:dyDescent="0.25">
      <c r="A35" s="7">
        <v>14</v>
      </c>
      <c r="F35" s="1">
        <f t="shared" si="0"/>
        <v>81.642146257031584</v>
      </c>
      <c r="G35" s="1">
        <f t="shared" si="0"/>
        <v>23.290783210731284</v>
      </c>
      <c r="H35" s="1">
        <f t="shared" si="0"/>
        <v>3.2735948843694409</v>
      </c>
      <c r="I35" s="1"/>
      <c r="J35" s="1">
        <f t="shared" ref="J35:U35" si="14">100*J15/$E15</f>
        <v>0.67010433193903551</v>
      </c>
      <c r="K35" s="1">
        <f t="shared" si="14"/>
        <v>2.5469974518005674</v>
      </c>
      <c r="L35" s="1">
        <f t="shared" si="14"/>
        <v>17.43954036251743</v>
      </c>
      <c r="M35" s="1">
        <f t="shared" si="14"/>
        <v>10.10805807971537</v>
      </c>
      <c r="N35" s="1">
        <f t="shared" si="14"/>
        <v>5.4990624549257179</v>
      </c>
      <c r="O35" s="1">
        <f t="shared" si="14"/>
        <v>2.8577095052646762</v>
      </c>
      <c r="P35" s="1">
        <f t="shared" si="14"/>
        <v>58.117577768161929</v>
      </c>
      <c r="Q35" s="1">
        <f t="shared" si="14"/>
        <v>1.2542670320688494</v>
      </c>
      <c r="R35" s="1">
        <f t="shared" si="14"/>
        <v>0.31792393865089669</v>
      </c>
      <c r="S35" s="1">
        <f t="shared" si="14"/>
        <v>81.220851964036726</v>
      </c>
      <c r="T35" s="1">
        <f t="shared" si="14"/>
        <v>7.1253425645463722</v>
      </c>
      <c r="U35" s="1">
        <f t="shared" si="14"/>
        <v>0.23378527813837205</v>
      </c>
      <c r="V35" s="1"/>
      <c r="W35" s="1"/>
    </row>
    <row r="36" spans="1:23" x14ac:dyDescent="0.25">
      <c r="A36" s="7">
        <v>15</v>
      </c>
      <c r="F36" s="1">
        <f t="shared" si="0"/>
        <v>87.605647932184681</v>
      </c>
      <c r="G36" s="1">
        <f t="shared" si="0"/>
        <v>20.760288917312469</v>
      </c>
      <c r="H36" s="1">
        <f t="shared" si="0"/>
        <v>7.0762169889398843</v>
      </c>
      <c r="I36" s="1"/>
      <c r="J36" s="1">
        <f t="shared" ref="J36:U36" si="15">100*J16/$E16</f>
        <v>4.9068291826549295</v>
      </c>
      <c r="K36" s="1">
        <f t="shared" si="15"/>
        <v>2.1066887367391467</v>
      </c>
      <c r="L36" s="1">
        <f t="shared" si="15"/>
        <v>12.260176058987284</v>
      </c>
      <c r="M36" s="1">
        <f t="shared" si="15"/>
        <v>8.6424397461941673</v>
      </c>
      <c r="N36" s="1">
        <f t="shared" si="15"/>
        <v>7.7157474983071248</v>
      </c>
      <c r="O36" s="1">
        <f t="shared" si="15"/>
        <v>5.3858500739849022</v>
      </c>
      <c r="P36" s="1">
        <f t="shared" si="15"/>
        <v>66.630928197025554</v>
      </c>
      <c r="Q36" s="1">
        <f t="shared" si="15"/>
        <v>1.5292303062222556</v>
      </c>
      <c r="R36" s="1">
        <f t="shared" si="15"/>
        <v>0.45707621698893991</v>
      </c>
      <c r="S36" s="1">
        <f t="shared" si="15"/>
        <v>86.855140069721372</v>
      </c>
      <c r="T36" s="1">
        <f t="shared" si="15"/>
        <v>7.0969076818900003</v>
      </c>
      <c r="U36" s="1">
        <f t="shared" si="15"/>
        <v>0.59438717929425933</v>
      </c>
      <c r="V36" s="1"/>
      <c r="W36" s="1"/>
    </row>
    <row r="37" spans="1:23" s="8" customFormat="1" x14ac:dyDescent="0.25">
      <c r="A37" s="8" t="s">
        <v>86</v>
      </c>
      <c r="B37" s="9" t="s">
        <v>70</v>
      </c>
      <c r="C37" s="9"/>
      <c r="D37" s="9" t="s">
        <v>324</v>
      </c>
      <c r="E37" s="8" t="s">
        <v>325</v>
      </c>
      <c r="F37" s="9" t="s">
        <v>326</v>
      </c>
      <c r="G37" s="9" t="s">
        <v>327</v>
      </c>
      <c r="H37" s="3" t="s">
        <v>328</v>
      </c>
      <c r="I37" s="24" t="s">
        <v>329</v>
      </c>
      <c r="J37" s="3" t="s">
        <v>330</v>
      </c>
      <c r="K37" s="3" t="s">
        <v>331</v>
      </c>
      <c r="M37" s="3" t="s">
        <v>17</v>
      </c>
      <c r="O37" s="3" t="s">
        <v>332</v>
      </c>
      <c r="R37" s="4" t="s">
        <v>333</v>
      </c>
      <c r="U37" s="4" t="s">
        <v>334</v>
      </c>
    </row>
    <row r="38" spans="1:23" x14ac:dyDescent="0.25">
      <c r="A38" s="8">
        <v>1</v>
      </c>
      <c r="G38" s="1">
        <f t="shared" ref="G38:H52" si="16">100*(G2/$F2)</f>
        <v>24.372776890260177</v>
      </c>
      <c r="H38" s="1">
        <f t="shared" si="16"/>
        <v>14.52364675905786</v>
      </c>
      <c r="I38" s="1"/>
      <c r="J38" s="1">
        <f t="shared" ref="J38:U38" si="17">100*(J2/$F2)</f>
        <v>7.3672897162096458</v>
      </c>
      <c r="K38" s="1">
        <f t="shared" si="17"/>
        <v>7.0009906889858042</v>
      </c>
      <c r="L38" s="1">
        <f t="shared" si="17"/>
        <v>8.3554197267745565</v>
      </c>
      <c r="M38" s="1">
        <f t="shared" si="17"/>
        <v>6.7703173494865601</v>
      </c>
      <c r="N38" s="1">
        <f t="shared" si="17"/>
        <v>15.141456495593077</v>
      </c>
      <c r="O38" s="1">
        <f t="shared" si="17"/>
        <v>13.41085809751158</v>
      </c>
      <c r="P38" s="1">
        <f t="shared" si="17"/>
        <v>75.300039846900162</v>
      </c>
      <c r="Q38" s="1">
        <f t="shared" si="17"/>
        <v>1.8018841369124867</v>
      </c>
      <c r="R38" s="1">
        <f t="shared" si="17"/>
        <v>0.2504140056370569</v>
      </c>
      <c r="S38" s="1">
        <f t="shared" si="17"/>
        <v>99.366105276241385</v>
      </c>
      <c r="T38" s="1">
        <f t="shared" si="17"/>
        <v>9.0295269185916869</v>
      </c>
      <c r="U38" s="1">
        <f t="shared" si="17"/>
        <v>0.98593660321626631</v>
      </c>
      <c r="V38" s="1"/>
      <c r="W38" s="1"/>
    </row>
    <row r="39" spans="1:23" x14ac:dyDescent="0.25">
      <c r="A39" s="8">
        <v>2</v>
      </c>
      <c r="G39" s="1">
        <f t="shared" si="16"/>
        <v>22.209412722094125</v>
      </c>
      <c r="H39" s="1">
        <f t="shared" si="16"/>
        <v>8.7476506946193648</v>
      </c>
      <c r="I39" s="1"/>
      <c r="J39" s="1">
        <f t="shared" ref="J39:U39" si="18">100*(J3/$F3)</f>
        <v>6.0936622037937651</v>
      </c>
      <c r="K39" s="1">
        <f t="shared" si="18"/>
        <v>2.5963457402491716</v>
      </c>
      <c r="L39" s="1">
        <f t="shared" si="18"/>
        <v>13.320803704636608</v>
      </c>
      <c r="M39" s="1">
        <f t="shared" si="18"/>
        <v>9.4040030226114588</v>
      </c>
      <c r="N39" s="1">
        <f t="shared" si="18"/>
        <v>8.4376392629478207</v>
      </c>
      <c r="O39" s="1">
        <f t="shared" si="18"/>
        <v>6.6381197806669121</v>
      </c>
      <c r="P39" s="1">
        <f t="shared" si="18"/>
        <v>77.571641704287842</v>
      </c>
      <c r="Q39" s="1">
        <f t="shared" si="18"/>
        <v>1.7757842320435566</v>
      </c>
      <c r="R39" s="1">
        <f t="shared" si="18"/>
        <v>0.34295014628664433</v>
      </c>
      <c r="S39" s="1">
        <f t="shared" si="18"/>
        <v>99.47104299471043</v>
      </c>
      <c r="T39" s="1">
        <f t="shared" si="18"/>
        <v>8.2622890469086059</v>
      </c>
      <c r="U39" s="1">
        <f t="shared" si="18"/>
        <v>0.31630853887737109</v>
      </c>
      <c r="V39" s="1"/>
      <c r="W39" s="1"/>
    </row>
    <row r="40" spans="1:23" x14ac:dyDescent="0.25">
      <c r="A40" s="8">
        <v>3</v>
      </c>
      <c r="G40" s="1">
        <f t="shared" si="16"/>
        <v>27.225923992589635</v>
      </c>
      <c r="H40" s="1">
        <f t="shared" si="16"/>
        <v>8.32028331337448</v>
      </c>
      <c r="I40" s="1"/>
      <c r="J40" s="1">
        <f t="shared" ref="J40:U40" si="19">100*(J4/$F4)</f>
        <v>5.7629911669276668</v>
      </c>
      <c r="K40" s="1">
        <f t="shared" si="19"/>
        <v>2.4999744117255709</v>
      </c>
      <c r="L40" s="1">
        <f t="shared" si="19"/>
        <v>15.103734864535676</v>
      </c>
      <c r="M40" s="1">
        <f t="shared" si="19"/>
        <v>10.403680617393887</v>
      </c>
      <c r="N40" s="1">
        <f t="shared" si="19"/>
        <v>9.1350139711978393</v>
      </c>
      <c r="O40" s="1">
        <f t="shared" si="19"/>
        <v>6.1857094604968221</v>
      </c>
      <c r="P40" s="1">
        <f t="shared" si="19"/>
        <v>72.075004350006651</v>
      </c>
      <c r="Q40" s="1">
        <f t="shared" si="19"/>
        <v>2.5603627393783071</v>
      </c>
      <c r="R40" s="1">
        <f t="shared" si="19"/>
        <v>0.59262443577854884</v>
      </c>
      <c r="S40" s="1">
        <f t="shared" si="19"/>
        <v>99.523034564641094</v>
      </c>
      <c r="T40" s="1">
        <f t="shared" si="19"/>
        <v>11.835088688959171</v>
      </c>
      <c r="U40" s="1">
        <f t="shared" si="19"/>
        <v>0.80500711354029131</v>
      </c>
      <c r="V40" s="1"/>
      <c r="W40" s="1"/>
    </row>
    <row r="41" spans="1:23" x14ac:dyDescent="0.25">
      <c r="A41" s="8">
        <v>4</v>
      </c>
      <c r="G41" s="1">
        <f t="shared" si="16"/>
        <v>33.629965683708484</v>
      </c>
      <c r="H41" s="1">
        <f t="shared" si="16"/>
        <v>7.3867271564008599</v>
      </c>
      <c r="I41" s="1"/>
      <c r="J41" s="1">
        <f t="shared" ref="J41:U41" si="20">100*(J5/$F5)</f>
        <v>4.2517303553771884</v>
      </c>
      <c r="K41" s="1">
        <f t="shared" si="20"/>
        <v>3.0506601523875996</v>
      </c>
      <c r="L41" s="1">
        <f t="shared" si="20"/>
        <v>25.353341476182166</v>
      </c>
      <c r="M41" s="1">
        <f t="shared" si="20"/>
        <v>19.519571918804164</v>
      </c>
      <c r="N41" s="1">
        <f t="shared" si="20"/>
        <v>6.2583609608561632</v>
      </c>
      <c r="O41" s="1">
        <f t="shared" si="20"/>
        <v>5.5662188099808061</v>
      </c>
      <c r="P41" s="1">
        <f t="shared" si="20"/>
        <v>66.114116210085498</v>
      </c>
      <c r="Q41" s="1">
        <f t="shared" si="20"/>
        <v>2.2974466352585354</v>
      </c>
      <c r="R41" s="1">
        <f t="shared" si="20"/>
        <v>0.98295818065491769</v>
      </c>
      <c r="S41" s="1">
        <f t="shared" si="20"/>
        <v>99.470714825801196</v>
      </c>
      <c r="T41" s="1">
        <f t="shared" si="20"/>
        <v>5.0107601931018442</v>
      </c>
      <c r="U41" s="1">
        <f t="shared" si="20"/>
        <v>0.72122375385331239</v>
      </c>
      <c r="V41" s="1"/>
      <c r="W41" s="1"/>
    </row>
    <row r="42" spans="1:23" x14ac:dyDescent="0.25">
      <c r="A42" s="8">
        <v>5</v>
      </c>
      <c r="G42" s="1">
        <f t="shared" si="16"/>
        <v>28.948533203133913</v>
      </c>
      <c r="H42" s="1">
        <f t="shared" si="16"/>
        <v>8.8464118347623319</v>
      </c>
      <c r="I42" s="1"/>
      <c r="J42" s="1">
        <f t="shared" ref="J42:U42" si="21">100*(J6/$F6)</f>
        <v>4.2765034154532717</v>
      </c>
      <c r="K42" s="1">
        <f t="shared" si="21"/>
        <v>4.4818412875140883</v>
      </c>
      <c r="L42" s="1">
        <f t="shared" si="21"/>
        <v>15.093246209234728</v>
      </c>
      <c r="M42" s="1">
        <f t="shared" si="21"/>
        <v>7.2329124667466731</v>
      </c>
      <c r="N42" s="1">
        <f t="shared" si="21"/>
        <v>12.52013451912152</v>
      </c>
      <c r="O42" s="1">
        <f t="shared" si="21"/>
        <v>7.5441134195143995</v>
      </c>
      <c r="P42" s="1">
        <f t="shared" si="21"/>
        <v>70.235590985211104</v>
      </c>
      <c r="Q42" s="1">
        <f t="shared" si="21"/>
        <v>2.235901273551113</v>
      </c>
      <c r="R42" s="1">
        <f t="shared" si="21"/>
        <v>0.25644418688484194</v>
      </c>
      <c r="S42" s="1">
        <f t="shared" si="21"/>
        <v>99.454257566700591</v>
      </c>
      <c r="T42" s="1">
        <f t="shared" si="21"/>
        <v>13.701968049427107</v>
      </c>
      <c r="U42" s="1">
        <f t="shared" si="21"/>
        <v>0.76750733512509639</v>
      </c>
      <c r="V42" s="1"/>
      <c r="W42" s="1"/>
    </row>
    <row r="43" spans="1:23" x14ac:dyDescent="0.25">
      <c r="A43" s="8">
        <v>6</v>
      </c>
      <c r="G43" s="1">
        <f t="shared" si="16"/>
        <v>31.638520461730081</v>
      </c>
      <c r="H43" s="1">
        <f t="shared" si="16"/>
        <v>11.996870406645783</v>
      </c>
      <c r="I43" s="1"/>
      <c r="J43" s="1">
        <f t="shared" ref="J43:U43" si="22">100*(J7/$F7)</f>
        <v>6.5396419952308218</v>
      </c>
      <c r="K43" s="1">
        <f t="shared" si="22"/>
        <v>5.3128298945200481</v>
      </c>
      <c r="L43" s="1">
        <f t="shared" si="22"/>
        <v>20.28597809859945</v>
      </c>
      <c r="M43" s="1">
        <f t="shared" si="22"/>
        <v>9.1365141277552944</v>
      </c>
      <c r="N43" s="1">
        <f t="shared" si="22"/>
        <v>11.117822861564393</v>
      </c>
      <c r="O43" s="1">
        <f t="shared" si="22"/>
        <v>9.6942605904231005</v>
      </c>
      <c r="P43" s="1">
        <f t="shared" si="22"/>
        <v>68.027522012144431</v>
      </c>
      <c r="Q43" s="1">
        <f t="shared" si="22"/>
        <v>2.1979065091514718</v>
      </c>
      <c r="R43" s="1">
        <f t="shared" si="22"/>
        <v>0.39954091626899546</v>
      </c>
      <c r="S43" s="1">
        <f t="shared" si="22"/>
        <v>99.683301260754391</v>
      </c>
      <c r="T43" s="1">
        <f t="shared" si="22"/>
        <v>6.5407925810228127</v>
      </c>
      <c r="U43" s="1">
        <f t="shared" si="22"/>
        <v>0.46023431679653909</v>
      </c>
      <c r="V43" s="1"/>
      <c r="W43" s="1"/>
    </row>
    <row r="44" spans="1:23" x14ac:dyDescent="0.25">
      <c r="A44" s="8">
        <v>7</v>
      </c>
      <c r="G44" s="1">
        <f t="shared" si="16"/>
        <v>33.271850910925892</v>
      </c>
      <c r="H44" s="1">
        <f t="shared" si="16"/>
        <v>7.287407123840679</v>
      </c>
      <c r="I44" s="1"/>
      <c r="J44" s="1">
        <f t="shared" ref="J44:U44" si="23">100*(J8/$F8)</f>
        <v>2.9615966869094645</v>
      </c>
      <c r="K44" s="1">
        <f t="shared" si="23"/>
        <v>4.2462023003706353</v>
      </c>
      <c r="L44" s="1">
        <f t="shared" si="23"/>
        <v>21.262332735909794</v>
      </c>
      <c r="M44" s="1">
        <f t="shared" si="23"/>
        <v>6.6248760201151935</v>
      </c>
      <c r="N44" s="1">
        <f t="shared" si="23"/>
        <v>10.490003306130262</v>
      </c>
      <c r="O44" s="1">
        <f t="shared" si="23"/>
        <v>7.7607057718074097</v>
      </c>
      <c r="P44" s="1">
        <f t="shared" si="23"/>
        <v>66.23527466982199</v>
      </c>
      <c r="Q44" s="1">
        <f t="shared" si="23"/>
        <v>2.1167934016600256</v>
      </c>
      <c r="R44" s="1">
        <f t="shared" si="23"/>
        <v>0.380204980076215</v>
      </c>
      <c r="S44" s="1">
        <f t="shared" si="23"/>
        <v>99.394891158711658</v>
      </c>
      <c r="T44" s="1">
        <f t="shared" si="23"/>
        <v>11.921644712801685</v>
      </c>
      <c r="U44" s="1">
        <f t="shared" si="23"/>
        <v>1.2989611790704554</v>
      </c>
      <c r="V44" s="1"/>
      <c r="W44" s="1"/>
    </row>
    <row r="45" spans="1:23" x14ac:dyDescent="0.25">
      <c r="A45" s="8">
        <v>8</v>
      </c>
      <c r="G45" s="1">
        <f t="shared" si="16"/>
        <v>24.626984407594669</v>
      </c>
      <c r="H45" s="1">
        <f t="shared" si="16"/>
        <v>5.7145635187214943</v>
      </c>
      <c r="I45" s="1"/>
      <c r="J45" s="1">
        <f t="shared" ref="J45:U45" si="24">100*(J9/$F9)</f>
        <v>1.0951808506876923</v>
      </c>
      <c r="K45" s="1">
        <f t="shared" si="24"/>
        <v>4.5071244210303005</v>
      </c>
      <c r="L45" s="1">
        <f t="shared" si="24"/>
        <v>17.541455998302869</v>
      </c>
      <c r="M45" s="1">
        <f t="shared" si="24"/>
        <v>12.41735318035569</v>
      </c>
      <c r="N45" s="1">
        <f t="shared" si="24"/>
        <v>6.5224693278647949</v>
      </c>
      <c r="O45" s="1">
        <f t="shared" si="24"/>
        <v>4.4779549552734856</v>
      </c>
      <c r="P45" s="1">
        <f t="shared" si="24"/>
        <v>74.955803839762396</v>
      </c>
      <c r="Q45" s="1">
        <f t="shared" si="24"/>
        <v>2.5306721352048931</v>
      </c>
      <c r="R45" s="1">
        <f t="shared" si="24"/>
        <v>0.49411307145635186</v>
      </c>
      <c r="S45" s="1">
        <f t="shared" si="24"/>
        <v>98.970229466463948</v>
      </c>
      <c r="T45" s="1">
        <f t="shared" si="24"/>
        <v>8.9620973729802351</v>
      </c>
      <c r="U45" s="1">
        <f t="shared" si="24"/>
        <v>1.1075557755542198</v>
      </c>
      <c r="V45" s="1"/>
      <c r="W45" s="1"/>
    </row>
    <row r="46" spans="1:23" x14ac:dyDescent="0.25">
      <c r="A46" s="8">
        <v>9</v>
      </c>
      <c r="G46" s="1">
        <f t="shared" si="16"/>
        <v>23.992818824937483</v>
      </c>
      <c r="H46" s="1">
        <f t="shared" si="16"/>
        <v>11.291649746735343</v>
      </c>
      <c r="I46" s="1"/>
      <c r="J46" s="1">
        <f t="shared" ref="J46:U46" si="25">100*(J10/$F10)</f>
        <v>8.8658659086537437</v>
      </c>
      <c r="K46" s="1">
        <f t="shared" si="25"/>
        <v>2.3638034580777534</v>
      </c>
      <c r="L46" s="1">
        <f t="shared" si="25"/>
        <v>11.493085981747846</v>
      </c>
      <c r="M46" s="1">
        <f t="shared" si="25"/>
        <v>5.8737096326059541</v>
      </c>
      <c r="N46" s="1">
        <f t="shared" si="25"/>
        <v>11.922139819188271</v>
      </c>
      <c r="O46" s="1">
        <f t="shared" si="25"/>
        <v>10.577806749449657</v>
      </c>
      <c r="P46" s="1">
        <f t="shared" si="25"/>
        <v>75.77635769091026</v>
      </c>
      <c r="Q46" s="1">
        <f t="shared" si="25"/>
        <v>1.9358182478787751</v>
      </c>
      <c r="R46" s="1">
        <f t="shared" si="25"/>
        <v>0.35852443950501184</v>
      </c>
      <c r="S46" s="1">
        <f t="shared" si="25"/>
        <v>99.038235482698923</v>
      </c>
      <c r="T46" s="1">
        <f t="shared" si="25"/>
        <v>5.8181410160507809</v>
      </c>
      <c r="U46" s="1">
        <f t="shared" si="25"/>
        <v>3.3661758105537627E-2</v>
      </c>
      <c r="V46" s="1"/>
      <c r="W46" s="1"/>
    </row>
    <row r="47" spans="1:23" x14ac:dyDescent="0.25">
      <c r="A47" s="8">
        <v>10</v>
      </c>
      <c r="G47" s="1">
        <f t="shared" si="16"/>
        <v>25.338733575077004</v>
      </c>
      <c r="H47" s="1">
        <f t="shared" si="16"/>
        <v>10.502202986704098</v>
      </c>
      <c r="I47" s="1"/>
      <c r="J47" s="1">
        <f t="shared" ref="J47:U47" si="26">100*(J11/$F11)</f>
        <v>8.5141537021873912</v>
      </c>
      <c r="K47" s="1">
        <f t="shared" si="26"/>
        <v>1.932974616914259</v>
      </c>
      <c r="L47" s="1">
        <f t="shared" si="26"/>
        <v>13.282742620969316</v>
      </c>
      <c r="M47" s="1">
        <f t="shared" si="26"/>
        <v>8.2592505946114549</v>
      </c>
      <c r="N47" s="1">
        <f t="shared" si="26"/>
        <v>11.296155495769487</v>
      </c>
      <c r="O47" s="1">
        <f t="shared" si="26"/>
        <v>8.812921589269699</v>
      </c>
      <c r="P47" s="1">
        <f t="shared" si="26"/>
        <v>74.366885015791311</v>
      </c>
      <c r="Q47" s="1">
        <f t="shared" si="26"/>
        <v>1.4616719304402075</v>
      </c>
      <c r="R47" s="1">
        <f t="shared" si="26"/>
        <v>0.33044800561469179</v>
      </c>
      <c r="S47" s="1">
        <f t="shared" si="26"/>
        <v>99.290365344874644</v>
      </c>
      <c r="T47" s="1">
        <f t="shared" si="26"/>
        <v>6.9345342535189296</v>
      </c>
      <c r="U47" s="1">
        <f t="shared" si="26"/>
        <v>0.50639451007915159</v>
      </c>
      <c r="V47" s="1"/>
      <c r="W47" s="1"/>
    </row>
    <row r="48" spans="1:23" x14ac:dyDescent="0.25">
      <c r="A48" s="8">
        <v>11</v>
      </c>
      <c r="G48" s="1">
        <f t="shared" si="16"/>
        <v>34.019366017735194</v>
      </c>
      <c r="H48" s="1">
        <f t="shared" si="16"/>
        <v>9.2948731016206292</v>
      </c>
      <c r="I48" s="1"/>
      <c r="J48" s="1">
        <f t="shared" ref="J48:U48" si="27">100*(J12/$F12)</f>
        <v>5.8281520742024258</v>
      </c>
      <c r="K48" s="1">
        <f t="shared" si="27"/>
        <v>3.3456324533686681</v>
      </c>
      <c r="L48" s="1">
        <f t="shared" si="27"/>
        <v>18.931811232290286</v>
      </c>
      <c r="M48" s="1">
        <f t="shared" si="27"/>
        <v>10.164916929976558</v>
      </c>
      <c r="N48" s="1">
        <f t="shared" si="27"/>
        <v>14.020996840281317</v>
      </c>
      <c r="O48" s="1">
        <f t="shared" si="27"/>
        <v>10.164509224340026</v>
      </c>
      <c r="P48" s="1">
        <f t="shared" si="27"/>
        <v>65.607175619202934</v>
      </c>
      <c r="Q48" s="1">
        <f t="shared" si="27"/>
        <v>1.6703699928651512</v>
      </c>
      <c r="R48" s="1">
        <f t="shared" si="27"/>
        <v>0.32127204158597489</v>
      </c>
      <c r="S48" s="1">
        <f t="shared" si="27"/>
        <v>97.823259606564065</v>
      </c>
      <c r="T48" s="1">
        <f t="shared" si="27"/>
        <v>10.482519620833758</v>
      </c>
      <c r="U48" s="1">
        <f t="shared" si="27"/>
        <v>0.87656711854041369</v>
      </c>
      <c r="V48" s="1"/>
      <c r="W48" s="1"/>
    </row>
    <row r="49" spans="1:23" x14ac:dyDescent="0.25">
      <c r="A49" s="8">
        <v>12</v>
      </c>
      <c r="G49" s="1">
        <f t="shared" si="16"/>
        <v>22.793322321256383</v>
      </c>
      <c r="H49" s="1">
        <f t="shared" si="16"/>
        <v>6.137695680973982</v>
      </c>
      <c r="I49" s="1"/>
      <c r="J49" s="1">
        <f t="shared" ref="J49:U49" si="28">100*(J13/$F13)</f>
        <v>3.7455036348238768</v>
      </c>
      <c r="K49" s="1">
        <f t="shared" si="28"/>
        <v>2.3293058199106178</v>
      </c>
      <c r="L49" s="1">
        <f t="shared" si="28"/>
        <v>14.318774473223044</v>
      </c>
      <c r="M49" s="1">
        <f t="shared" si="28"/>
        <v>4.3668195500700131</v>
      </c>
      <c r="N49" s="1">
        <f t="shared" si="28"/>
        <v>7.7324903784073848</v>
      </c>
      <c r="O49" s="1">
        <f t="shared" si="28"/>
        <v>5.9054358853961411</v>
      </c>
      <c r="P49" s="1">
        <f t="shared" si="28"/>
        <v>76.943394011554304</v>
      </c>
      <c r="Q49" s="1">
        <f t="shared" si="28"/>
        <v>1.37762759615304</v>
      </c>
      <c r="R49" s="1">
        <f t="shared" si="28"/>
        <v>0.21716710128036357</v>
      </c>
      <c r="S49" s="1">
        <f t="shared" si="28"/>
        <v>99.415577337481025</v>
      </c>
      <c r="T49" s="1">
        <f t="shared" si="28"/>
        <v>5.1709247629189274</v>
      </c>
      <c r="U49" s="1">
        <f t="shared" si="28"/>
        <v>3.521628669411301E-2</v>
      </c>
      <c r="V49" s="1"/>
      <c r="W49" s="1"/>
    </row>
    <row r="50" spans="1:23" x14ac:dyDescent="0.25">
      <c r="A50" s="8">
        <v>13</v>
      </c>
      <c r="G50" s="1">
        <f t="shared" si="16"/>
        <v>38.49017653758542</v>
      </c>
      <c r="H50" s="1">
        <f t="shared" si="16"/>
        <v>15.329584282460138</v>
      </c>
      <c r="I50" s="1"/>
      <c r="J50" s="1">
        <f t="shared" ref="J50:U50" si="29">100*(J14/$F14)</f>
        <v>8.2652334851936224</v>
      </c>
      <c r="K50" s="1">
        <f t="shared" si="29"/>
        <v>6.8422551252847379</v>
      </c>
      <c r="L50" s="1">
        <f t="shared" si="29"/>
        <v>17.85876993166287</v>
      </c>
      <c r="M50" s="1">
        <f t="shared" si="29"/>
        <v>11.567482915717541</v>
      </c>
      <c r="N50" s="1">
        <f t="shared" si="29"/>
        <v>18.537870159453306</v>
      </c>
      <c r="O50" s="1">
        <f t="shared" si="29"/>
        <v>13.641799544419134</v>
      </c>
      <c r="P50" s="1">
        <f t="shared" si="29"/>
        <v>61.178815489749425</v>
      </c>
      <c r="Q50" s="1">
        <f t="shared" si="29"/>
        <v>1.867881548974943</v>
      </c>
      <c r="R50" s="1">
        <f t="shared" si="29"/>
        <v>0.21996013667425965</v>
      </c>
      <c r="S50" s="1">
        <f t="shared" si="29"/>
        <v>99.520216400911167</v>
      </c>
      <c r="T50" s="1">
        <f t="shared" si="29"/>
        <v>11.02007403189066</v>
      </c>
      <c r="U50" s="1">
        <f t="shared" si="29"/>
        <v>1.2172551252847381</v>
      </c>
      <c r="V50" s="1"/>
      <c r="W50" s="1"/>
    </row>
    <row r="51" spans="1:23" x14ac:dyDescent="0.25">
      <c r="A51" s="8">
        <v>14</v>
      </c>
      <c r="G51" s="1">
        <f t="shared" si="16"/>
        <v>28.527891877567246</v>
      </c>
      <c r="H51" s="1">
        <f t="shared" si="16"/>
        <v>4.0096874401896265</v>
      </c>
      <c r="I51" s="1"/>
      <c r="J51" s="1">
        <f t="shared" ref="J51:U51" si="30">100*(J15/$F15)</f>
        <v>0.82078235649190989</v>
      </c>
      <c r="K51" s="1">
        <f t="shared" si="30"/>
        <v>3.1197090823432418</v>
      </c>
      <c r="L51" s="1">
        <f t="shared" si="30"/>
        <v>21.360952843661206</v>
      </c>
      <c r="M51" s="1">
        <f t="shared" si="30"/>
        <v>12.380931348733125</v>
      </c>
      <c r="N51" s="1">
        <f t="shared" si="30"/>
        <v>6.7355682169515489</v>
      </c>
      <c r="O51" s="1">
        <f t="shared" si="30"/>
        <v>3.5002870897928537</v>
      </c>
      <c r="P51" s="1">
        <f t="shared" si="30"/>
        <v>71.185754457253068</v>
      </c>
      <c r="Q51" s="1">
        <f t="shared" si="30"/>
        <v>1.5362984556041399</v>
      </c>
      <c r="R51" s="1">
        <f t="shared" si="30"/>
        <v>0.38941153953741736</v>
      </c>
      <c r="S51" s="1">
        <f t="shared" si="30"/>
        <v>99.483974500537371</v>
      </c>
      <c r="T51" s="1">
        <f t="shared" si="30"/>
        <v>8.7275297027516441</v>
      </c>
      <c r="U51" s="1">
        <f t="shared" si="30"/>
        <v>0.28635366517968874</v>
      </c>
      <c r="V51" s="1"/>
      <c r="W51" s="1"/>
    </row>
    <row r="52" spans="1:23" x14ac:dyDescent="0.25">
      <c r="A52" s="8">
        <v>15</v>
      </c>
      <c r="G52" s="1">
        <f t="shared" si="16"/>
        <v>23.697432080387049</v>
      </c>
      <c r="H52" s="1">
        <f t="shared" si="16"/>
        <v>8.0773524949185536</v>
      </c>
      <c r="I52" s="1"/>
      <c r="J52" s="1">
        <f t="shared" ref="J52:U52" si="31">100*(J16/$F16)</f>
        <v>5.6010420543356902</v>
      </c>
      <c r="K52" s="1">
        <f t="shared" si="31"/>
        <v>2.404740774670064</v>
      </c>
      <c r="L52" s="1">
        <f t="shared" si="31"/>
        <v>13.994732472588817</v>
      </c>
      <c r="M52" s="1">
        <f t="shared" si="31"/>
        <v>9.8651627494202856</v>
      </c>
      <c r="N52" s="1">
        <f t="shared" si="31"/>
        <v>8.807363087229108</v>
      </c>
      <c r="O52" s="1">
        <f t="shared" si="31"/>
        <v>6.1478343019094783</v>
      </c>
      <c r="P52" s="1">
        <f t="shared" si="31"/>
        <v>76.057799662191172</v>
      </c>
      <c r="Q52" s="1">
        <f t="shared" si="31"/>
        <v>1.7455841516131803</v>
      </c>
      <c r="R52" s="1">
        <f t="shared" si="31"/>
        <v>0.52174286450430851</v>
      </c>
      <c r="S52" s="1">
        <f t="shared" si="31"/>
        <v>99.143311099023791</v>
      </c>
      <c r="T52" s="1">
        <f t="shared" si="31"/>
        <v>8.1009704846697765</v>
      </c>
      <c r="U52" s="1">
        <f t="shared" si="31"/>
        <v>0.67848043285333948</v>
      </c>
      <c r="V52" s="1"/>
      <c r="W52" s="1"/>
    </row>
    <row r="53" spans="1:23" x14ac:dyDescent="0.25">
      <c r="G53" s="1"/>
    </row>
    <row r="54" spans="1:23" x14ac:dyDescent="0.25">
      <c r="A54" s="10" t="s">
        <v>87</v>
      </c>
      <c r="B54" s="10"/>
      <c r="C54" s="10"/>
      <c r="D54" s="10"/>
      <c r="E54" s="10"/>
    </row>
    <row r="55" spans="1:23" s="10" customFormat="1" ht="27" customHeight="1" x14ac:dyDescent="0.25">
      <c r="A55" s="10" t="s">
        <v>87</v>
      </c>
      <c r="B55" s="22" t="s">
        <v>70</v>
      </c>
      <c r="C55" s="22" t="s">
        <v>335</v>
      </c>
      <c r="D55" s="22" t="s">
        <v>89</v>
      </c>
      <c r="E55" s="21" t="s">
        <v>336</v>
      </c>
      <c r="F55" s="22" t="s">
        <v>326</v>
      </c>
      <c r="G55" s="22" t="s">
        <v>327</v>
      </c>
      <c r="H55" s="17" t="s">
        <v>328</v>
      </c>
      <c r="I55" s="25" t="s">
        <v>329</v>
      </c>
      <c r="J55" s="17" t="s">
        <v>330</v>
      </c>
      <c r="K55" s="17" t="s">
        <v>331</v>
      </c>
      <c r="L55" s="21"/>
      <c r="M55" s="17" t="s">
        <v>17</v>
      </c>
      <c r="N55" s="21"/>
      <c r="O55" s="17" t="s">
        <v>332</v>
      </c>
      <c r="P55" s="21"/>
      <c r="Q55" s="21"/>
      <c r="R55" s="18" t="s">
        <v>333</v>
      </c>
      <c r="S55" s="21"/>
      <c r="U55" s="18" t="s">
        <v>334</v>
      </c>
      <c r="V55" s="21"/>
      <c r="W55" s="21"/>
    </row>
    <row r="56" spans="1:23" s="6" customFormat="1" x14ac:dyDescent="0.25">
      <c r="A56">
        <v>1</v>
      </c>
      <c r="B56" s="1">
        <v>1720000</v>
      </c>
      <c r="C56">
        <v>291006</v>
      </c>
      <c r="D56" s="6">
        <v>816666.66666666663</v>
      </c>
      <c r="E56" s="6">
        <f>(C56/B56)*D56</f>
        <v>138171.45348837209</v>
      </c>
      <c r="H56" s="6">
        <f t="shared" ref="H56" si="32">H22*$E56</f>
        <v>1886357.5581395347</v>
      </c>
      <c r="J56" s="6">
        <f t="shared" ref="J56" si="33">J22*$E56</f>
        <v>956876.93798449612</v>
      </c>
      <c r="K56" s="6">
        <f t="shared" ref="K56" si="34">K22*$E56</f>
        <v>909301.35658914736</v>
      </c>
      <c r="M56" s="6">
        <f t="shared" ref="M56" si="35">M22*$E56</f>
        <v>879341.08527131786</v>
      </c>
      <c r="O56" s="6">
        <f t="shared" ref="O56" si="36">O22*$E56</f>
        <v>1741826.5503875969</v>
      </c>
      <c r="R56" s="6">
        <f t="shared" ref="R56:U56" si="37">R22*$E56</f>
        <v>32524.22480620155</v>
      </c>
      <c r="U56" s="6">
        <f t="shared" si="37"/>
        <v>128055.23255813953</v>
      </c>
    </row>
    <row r="57" spans="1:23" s="6" customFormat="1" x14ac:dyDescent="0.25">
      <c r="A57">
        <v>2</v>
      </c>
      <c r="B57" s="1">
        <v>1600000</v>
      </c>
      <c r="C57">
        <v>227568</v>
      </c>
      <c r="D57" s="6">
        <v>266666.66666666663</v>
      </c>
      <c r="E57" s="6">
        <f t="shared" ref="E57:E69" si="38">(C57/B57)*D57</f>
        <v>37927.999999999993</v>
      </c>
      <c r="H57" s="6">
        <f t="shared" ref="H57" si="39">H23*$E57</f>
        <v>300983.33333333331</v>
      </c>
      <c r="J57" s="6">
        <f t="shared" ref="J57" si="40">J23*$E57</f>
        <v>209666.66666666666</v>
      </c>
      <c r="K57" s="6">
        <f t="shared" ref="K57" si="41">K23*$E57</f>
        <v>89333.333333333314</v>
      </c>
      <c r="M57" s="6">
        <f t="shared" ref="M57" si="42">M23*$E57</f>
        <v>323566.66666666657</v>
      </c>
      <c r="O57" s="6">
        <f t="shared" ref="O57" si="43">O23*$E57</f>
        <v>228399.99999999994</v>
      </c>
      <c r="R57" s="6">
        <f t="shared" ref="R57:U57" si="44">R23*$E57</f>
        <v>11799.999999999998</v>
      </c>
      <c r="U57" s="6">
        <f t="shared" si="44"/>
        <v>10883.333333333332</v>
      </c>
    </row>
    <row r="58" spans="1:23" s="6" customFormat="1" x14ac:dyDescent="0.25">
      <c r="A58">
        <v>3</v>
      </c>
      <c r="B58" s="1">
        <v>3460000</v>
      </c>
      <c r="C58">
        <v>250124</v>
      </c>
      <c r="D58" s="6">
        <v>366666.66666666663</v>
      </c>
      <c r="E58" s="6">
        <f t="shared" si="38"/>
        <v>26506.396917148359</v>
      </c>
      <c r="H58" s="6">
        <f t="shared" ref="H58" si="45">H24*$E58</f>
        <v>172290.94412331405</v>
      </c>
      <c r="J58" s="6">
        <f t="shared" ref="J58" si="46">J24*$E58</f>
        <v>119336.22350674371</v>
      </c>
      <c r="K58" s="6">
        <f t="shared" ref="K58" si="47">K24*$E58</f>
        <v>51767.822736030823</v>
      </c>
      <c r="M58" s="6">
        <f t="shared" ref="M58" si="48">M24*$E58</f>
        <v>215432.56262042385</v>
      </c>
      <c r="O58" s="6">
        <f t="shared" ref="O58" si="49">O24*$E58</f>
        <v>128089.59537572252</v>
      </c>
      <c r="R58" s="6">
        <f t="shared" ref="R58:U58" si="50">R24*$E58</f>
        <v>12271.676300578034</v>
      </c>
      <c r="U58" s="6">
        <f t="shared" si="50"/>
        <v>16669.556840077068</v>
      </c>
    </row>
    <row r="59" spans="1:23" s="6" customFormat="1" x14ac:dyDescent="0.25">
      <c r="A59">
        <v>4</v>
      </c>
      <c r="B59" s="1">
        <v>623000</v>
      </c>
      <c r="C59">
        <v>41549</v>
      </c>
      <c r="D59" s="6">
        <v>216666.66666666666</v>
      </c>
      <c r="E59" s="6">
        <f t="shared" si="38"/>
        <v>14449.892990904227</v>
      </c>
      <c r="H59" s="6">
        <f t="shared" ref="H59" si="51">H25*$E59</f>
        <v>88336.008560727671</v>
      </c>
      <c r="J59" s="6">
        <f t="shared" ref="J59" si="52">J25*$E59</f>
        <v>50845.371856607817</v>
      </c>
      <c r="K59" s="6">
        <f t="shared" ref="K59" si="53">K25*$E59</f>
        <v>36482.075976458</v>
      </c>
      <c r="M59" s="6">
        <f t="shared" ref="M59" si="54">M25*$E59</f>
        <v>233429.64151952919</v>
      </c>
      <c r="O59" s="6">
        <f t="shared" ref="O59" si="55">O25*$E59</f>
        <v>66565.008025682182</v>
      </c>
      <c r="R59" s="6">
        <f t="shared" ref="R59:U59" si="56">R25*$E59</f>
        <v>11754.949170679509</v>
      </c>
      <c r="U59" s="6">
        <f t="shared" si="56"/>
        <v>8624.9331193151411</v>
      </c>
    </row>
    <row r="60" spans="1:23" s="6" customFormat="1" x14ac:dyDescent="0.25">
      <c r="A60">
        <v>5</v>
      </c>
      <c r="B60" s="1">
        <v>2040000</v>
      </c>
      <c r="C60">
        <v>249703</v>
      </c>
      <c r="D60" s="6">
        <v>433333.33333333331</v>
      </c>
      <c r="E60" s="6">
        <f t="shared" si="38"/>
        <v>53041.486928104576</v>
      </c>
      <c r="H60" s="6">
        <f t="shared" ref="H60" si="57">H26*$E60</f>
        <v>411815.35947712418</v>
      </c>
      <c r="J60" s="6">
        <f t="shared" ref="J60" si="58">J26*$E60</f>
        <v>199078.43137254904</v>
      </c>
      <c r="K60" s="6">
        <f t="shared" ref="K60" si="59">K26*$E60</f>
        <v>208637.25490196078</v>
      </c>
      <c r="M60" s="6">
        <f t="shared" ref="M60" si="60">M26*$E60</f>
        <v>336704.24836601305</v>
      </c>
      <c r="O60" s="6">
        <f t="shared" ref="O60" si="61">O26*$E60</f>
        <v>351191.17647058825</v>
      </c>
      <c r="R60" s="6">
        <f t="shared" ref="R60:U60" si="62">R26*$E60</f>
        <v>11937.908496732027</v>
      </c>
      <c r="U60" s="6">
        <f t="shared" si="62"/>
        <v>35728.758169934641</v>
      </c>
    </row>
    <row r="61" spans="1:23" s="6" customFormat="1" x14ac:dyDescent="0.25">
      <c r="A61">
        <v>6</v>
      </c>
      <c r="B61" s="1">
        <v>3300000</v>
      </c>
      <c r="C61">
        <v>374498</v>
      </c>
      <c r="D61" s="6">
        <v>350000</v>
      </c>
      <c r="E61" s="6">
        <f t="shared" si="38"/>
        <v>39719.484848484848</v>
      </c>
      <c r="H61" s="6">
        <f t="shared" ref="H61" si="63">H27*$E61</f>
        <v>442346.96969696973</v>
      </c>
      <c r="J61" s="6">
        <f t="shared" ref="J61" si="64">J27*$E61</f>
        <v>241128.78787878787</v>
      </c>
      <c r="K61" s="6">
        <f t="shared" ref="K61" si="65">K27*$E61</f>
        <v>195893.93939393939</v>
      </c>
      <c r="M61" s="6">
        <f t="shared" ref="M61" si="66">M27*$E61</f>
        <v>336880.30303030304</v>
      </c>
      <c r="O61" s="6">
        <f t="shared" ref="O61" si="67">O27*$E61</f>
        <v>357445.45454545453</v>
      </c>
      <c r="R61" s="6">
        <f t="shared" ref="R61:U61" si="68">R27*$E61</f>
        <v>14731.818181818182</v>
      </c>
      <c r="U61" s="6">
        <f t="shared" si="68"/>
        <v>16969.696969696968</v>
      </c>
    </row>
    <row r="62" spans="1:23" s="6" customFormat="1" x14ac:dyDescent="0.25">
      <c r="A62">
        <v>7</v>
      </c>
      <c r="B62" s="1">
        <v>3260000</v>
      </c>
      <c r="C62">
        <v>254107</v>
      </c>
      <c r="D62" s="6">
        <v>400000</v>
      </c>
      <c r="E62" s="6">
        <f t="shared" si="38"/>
        <v>31178.773006134968</v>
      </c>
      <c r="H62" s="6">
        <f t="shared" ref="H62" si="69">H28*$E62</f>
        <v>205546.01226993866</v>
      </c>
      <c r="J62" s="6">
        <f t="shared" ref="J62" si="70">J28*$E62</f>
        <v>83533.742331288347</v>
      </c>
      <c r="K62" s="6">
        <f t="shared" ref="K62" si="71">K28*$E62</f>
        <v>119766.87116564417</v>
      </c>
      <c r="M62" s="6">
        <f t="shared" ref="M62" si="72">M28*$E62</f>
        <v>186858.89570552146</v>
      </c>
      <c r="O62" s="6">
        <f t="shared" ref="O62" si="73">O28*$E62</f>
        <v>218895.70552147238</v>
      </c>
      <c r="R62" s="6">
        <f t="shared" ref="R62:U62" si="74">R28*$E62</f>
        <v>10723.926380368099</v>
      </c>
      <c r="U62" s="6">
        <f t="shared" si="74"/>
        <v>36638.036809815945</v>
      </c>
    </row>
    <row r="63" spans="1:23" s="6" customFormat="1" x14ac:dyDescent="0.25">
      <c r="A63">
        <v>8</v>
      </c>
      <c r="B63" s="1">
        <v>1680000</v>
      </c>
      <c r="C63">
        <v>125777</v>
      </c>
      <c r="D63" s="6">
        <v>266666.66666666663</v>
      </c>
      <c r="E63" s="6">
        <f t="shared" si="38"/>
        <v>19964.603174603173</v>
      </c>
      <c r="H63" s="6">
        <f t="shared" ref="H63" si="75">H29*$E63</f>
        <v>102619.04761904762</v>
      </c>
      <c r="J63" s="6">
        <f t="shared" ref="J63" si="76">J29*$E63</f>
        <v>19666.666666666664</v>
      </c>
      <c r="K63" s="6">
        <f t="shared" ref="K63" si="77">K29*$E63</f>
        <v>80936.507936507929</v>
      </c>
      <c r="M63" s="6">
        <f t="shared" ref="M63" si="78">M29*$E63</f>
        <v>222984.12698412698</v>
      </c>
      <c r="O63" s="6">
        <f t="shared" ref="O63" si="79">O29*$E63</f>
        <v>80412.698412698403</v>
      </c>
      <c r="R63" s="6">
        <f t="shared" ref="R63:U63" si="80">R29*$E63</f>
        <v>8873.0158730158728</v>
      </c>
      <c r="U63" s="6">
        <f t="shared" si="80"/>
        <v>19888.888888888887</v>
      </c>
    </row>
    <row r="64" spans="1:23" s="6" customFormat="1" x14ac:dyDescent="0.25">
      <c r="A64">
        <v>9</v>
      </c>
      <c r="B64" s="1">
        <v>1530000</v>
      </c>
      <c r="C64">
        <v>196403</v>
      </c>
      <c r="D64" s="6">
        <v>500000</v>
      </c>
      <c r="E64" s="6">
        <f t="shared" si="38"/>
        <v>64183.986928104576</v>
      </c>
      <c r="H64" s="6">
        <f t="shared" ref="H64" si="81">H30*$E64</f>
        <v>690620.9150326798</v>
      </c>
      <c r="J64" s="6">
        <f t="shared" ref="J64" si="82">J30*$E64</f>
        <v>542254.90196078434</v>
      </c>
      <c r="K64" s="6">
        <f t="shared" ref="K64" si="83">K30*$E64</f>
        <v>144575.16339869282</v>
      </c>
      <c r="M64" s="6">
        <f t="shared" ref="M64" si="84">M30*$E64</f>
        <v>359248.36601307185</v>
      </c>
      <c r="O64" s="6">
        <f t="shared" ref="O64" si="85">O30*$E64</f>
        <v>646960.78431372554</v>
      </c>
      <c r="R64" s="6">
        <f t="shared" ref="R64:U64" si="86">R30*$E64</f>
        <v>21928.104575163397</v>
      </c>
      <c r="U64" s="6">
        <f t="shared" si="86"/>
        <v>2058.8235294117649</v>
      </c>
    </row>
    <row r="65" spans="1:23" s="6" customFormat="1" x14ac:dyDescent="0.25">
      <c r="A65">
        <v>10</v>
      </c>
      <c r="B65" s="1">
        <v>2760000</v>
      </c>
      <c r="C65">
        <v>225370</v>
      </c>
      <c r="D65" s="6">
        <v>450000</v>
      </c>
      <c r="E65" s="6">
        <f t="shared" si="38"/>
        <v>36745.108695652176</v>
      </c>
      <c r="H65" s="6">
        <f t="shared" ref="H65" si="87">H31*$E65</f>
        <v>351326.08695652173</v>
      </c>
      <c r="J65" s="6">
        <f t="shared" ref="J65" si="88">J31*$E65</f>
        <v>284820.65217391308</v>
      </c>
      <c r="K65" s="6">
        <f t="shared" ref="K65" si="89">K31*$E65</f>
        <v>64663.043478260872</v>
      </c>
      <c r="M65" s="6">
        <f t="shared" ref="M65" si="90">M31*$E65</f>
        <v>276293.47826086957</v>
      </c>
      <c r="O65" s="6">
        <f t="shared" ref="O65" si="91">O31*$E65</f>
        <v>294815.21739130432</v>
      </c>
      <c r="R65" s="6">
        <f t="shared" ref="R65:U65" si="92">R31*$E65</f>
        <v>11054.347826086958</v>
      </c>
      <c r="U65" s="6">
        <f t="shared" si="92"/>
        <v>16940.217391304348</v>
      </c>
    </row>
    <row r="66" spans="1:23" s="6" customFormat="1" x14ac:dyDescent="0.25">
      <c r="A66">
        <v>11</v>
      </c>
      <c r="B66" s="1">
        <v>2710000</v>
      </c>
      <c r="C66">
        <v>287384</v>
      </c>
      <c r="D66" s="6">
        <v>316666.66666666663</v>
      </c>
      <c r="E66" s="6">
        <f t="shared" si="38"/>
        <v>33581.156211562113</v>
      </c>
      <c r="H66" s="6">
        <f t="shared" ref="H66" si="93">H32*$E66</f>
        <v>266397.29397293972</v>
      </c>
      <c r="J66" s="6">
        <f t="shared" ref="J66" si="94">J32*$E66</f>
        <v>167038.74538745385</v>
      </c>
      <c r="K66" s="6">
        <f t="shared" ref="K66" si="95">K32*$E66</f>
        <v>95888.068880688792</v>
      </c>
      <c r="M66" s="6">
        <f t="shared" ref="M66" si="96">M32*$E66</f>
        <v>291333.33333333326</v>
      </c>
      <c r="O66" s="6">
        <f t="shared" ref="O66" si="97">O32*$E66</f>
        <v>291321.64821648214</v>
      </c>
      <c r="R66" s="6">
        <f t="shared" ref="R66:U66" si="98">R32*$E66</f>
        <v>9207.8720787207858</v>
      </c>
      <c r="U66" s="6">
        <f t="shared" si="98"/>
        <v>25123.001230012298</v>
      </c>
    </row>
    <row r="67" spans="1:23" s="6" customFormat="1" x14ac:dyDescent="0.25">
      <c r="A67">
        <v>12</v>
      </c>
      <c r="B67" s="1">
        <v>2000000</v>
      </c>
      <c r="C67">
        <v>145021</v>
      </c>
      <c r="D67" s="6">
        <v>183333.33333333331</v>
      </c>
      <c r="E67" s="6">
        <f t="shared" si="38"/>
        <v>13293.591666666667</v>
      </c>
      <c r="H67" s="6">
        <f t="shared" ref="H67" si="99">H33*$E67</f>
        <v>67100</v>
      </c>
      <c r="J67" s="6">
        <f t="shared" ref="J67" si="100">J33*$E67</f>
        <v>40947.5</v>
      </c>
      <c r="K67" s="6">
        <f t="shared" ref="K67" si="101">K33*$E67</f>
        <v>25465</v>
      </c>
      <c r="M67" s="6">
        <f t="shared" ref="M67" si="102">M33*$E67</f>
        <v>47740</v>
      </c>
      <c r="O67" s="6">
        <f t="shared" ref="O67" si="103">O33*$E67</f>
        <v>64560.833333333336</v>
      </c>
      <c r="R67" s="6">
        <f t="shared" ref="R67:U67" si="104">R33*$E67</f>
        <v>2374.1666666666665</v>
      </c>
      <c r="U67" s="6">
        <f t="shared" si="104"/>
        <v>385</v>
      </c>
    </row>
    <row r="68" spans="1:23" s="6" customFormat="1" x14ac:dyDescent="0.25">
      <c r="A68">
        <v>13</v>
      </c>
      <c r="B68" s="1">
        <v>1850000</v>
      </c>
      <c r="C68">
        <v>154480</v>
      </c>
      <c r="D68" s="6">
        <v>366666.66666666663</v>
      </c>
      <c r="E68" s="6">
        <f t="shared" si="38"/>
        <v>30617.657657657652</v>
      </c>
      <c r="H68" s="6">
        <f t="shared" ref="H68" si="105">H34*$E68</f>
        <v>426819.81981981976</v>
      </c>
      <c r="J68" s="6">
        <f t="shared" ref="J68" si="106">J34*$E68</f>
        <v>230127.92792792787</v>
      </c>
      <c r="K68" s="6">
        <f t="shared" ref="K68" si="107">K34*$E68</f>
        <v>190508.10810810808</v>
      </c>
      <c r="M68" s="6">
        <f t="shared" ref="M68" si="108">M34*$E68</f>
        <v>322072.07207207201</v>
      </c>
      <c r="O68" s="6">
        <f t="shared" ref="O68" si="109">O34*$E68</f>
        <v>379827.02702702698</v>
      </c>
      <c r="R68" s="6">
        <f t="shared" ref="R68:U68" si="110">R34*$E68</f>
        <v>6124.3243243243232</v>
      </c>
      <c r="U68" s="6">
        <f t="shared" si="110"/>
        <v>33891.891891891886</v>
      </c>
    </row>
    <row r="69" spans="1:23" s="6" customFormat="1" x14ac:dyDescent="0.25">
      <c r="A69">
        <v>14</v>
      </c>
      <c r="B69" s="1">
        <v>1700000</v>
      </c>
      <c r="C69">
        <v>166392</v>
      </c>
      <c r="D69" s="6">
        <v>166666.66666666669</v>
      </c>
      <c r="E69" s="6">
        <f t="shared" si="38"/>
        <v>16312.941176470589</v>
      </c>
      <c r="H69" s="6">
        <f t="shared" ref="H69" si="111">H35*$E69</f>
        <v>53401.960784313727</v>
      </c>
      <c r="J69" s="6">
        <f t="shared" ref="J69" si="112">J35*$E69</f>
        <v>10931.372549019608</v>
      </c>
      <c r="K69" s="6">
        <f t="shared" ref="K69" si="113">K35*$E69</f>
        <v>41549.01960784314</v>
      </c>
      <c r="M69" s="6">
        <f t="shared" ref="M69" si="114">M35*$E69</f>
        <v>164892.15686274509</v>
      </c>
      <c r="O69" s="6">
        <f t="shared" ref="O69" si="115">O35*$E69</f>
        <v>46617.647058823532</v>
      </c>
      <c r="R69" s="6">
        <f t="shared" ref="R69:U69" si="116">R35*$E69</f>
        <v>5186.2745098039222</v>
      </c>
      <c r="U69" s="6">
        <f t="shared" si="116"/>
        <v>3813.7254901960787</v>
      </c>
    </row>
    <row r="70" spans="1:23" s="12" customFormat="1" x14ac:dyDescent="0.25">
      <c r="A70">
        <v>15</v>
      </c>
      <c r="B70" s="1">
        <v>1950000</v>
      </c>
      <c r="C70">
        <v>159492</v>
      </c>
      <c r="D70" s="6">
        <v>183333.33333333331</v>
      </c>
      <c r="E70" s="6">
        <f>(C70/B70)*D70</f>
        <v>14994.974358974358</v>
      </c>
      <c r="H70" s="6">
        <f>H36*$E70</f>
        <v>106107.6923076923</v>
      </c>
      <c r="I70" s="6"/>
      <c r="J70" s="6">
        <f>J36*$E70</f>
        <v>73577.777777777766</v>
      </c>
      <c r="K70" s="6">
        <f>K36*$E70</f>
        <v>31589.743589743586</v>
      </c>
      <c r="L70" s="6"/>
      <c r="M70" s="6">
        <f>M36*$E70</f>
        <v>129593.16239316239</v>
      </c>
      <c r="O70" s="6">
        <f>O36*$E70</f>
        <v>80760.683760683751</v>
      </c>
      <c r="Q70" s="6"/>
      <c r="R70" s="6">
        <f>R36*$E70</f>
        <v>6853.8461538461534</v>
      </c>
      <c r="S70" s="6"/>
      <c r="T70" s="6"/>
      <c r="U70" s="6">
        <f>U36*$E70</f>
        <v>8912.8205128205136</v>
      </c>
      <c r="W70" s="6"/>
    </row>
    <row r="71" spans="1:23" s="12" customFormat="1" x14ac:dyDescent="0.25">
      <c r="A71"/>
      <c r="B71" s="1"/>
      <c r="C71"/>
      <c r="D71" s="6"/>
      <c r="E71" s="6"/>
      <c r="I71" s="6"/>
      <c r="K71" s="6"/>
      <c r="L71" s="6"/>
      <c r="O71" s="6"/>
      <c r="Q71" s="6"/>
      <c r="R71" s="6"/>
      <c r="S71" s="6"/>
      <c r="T71" s="6"/>
      <c r="W71" s="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FC54C-A1EE-3E4C-B488-54C0034E39E4}">
  <dimension ref="A1:W71"/>
  <sheetViews>
    <sheetView topLeftCell="A35" workbookViewId="0">
      <selection activeCell="A56" sqref="A56"/>
    </sheetView>
  </sheetViews>
  <sheetFormatPr defaultColWidth="11" defaultRowHeight="15.75" x14ac:dyDescent="0.25"/>
  <sheetData>
    <row r="1" spans="1:21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295</v>
      </c>
      <c r="H1" t="s">
        <v>296</v>
      </c>
      <c r="I1" t="s">
        <v>297</v>
      </c>
      <c r="J1" t="s">
        <v>298</v>
      </c>
      <c r="K1" t="s">
        <v>299</v>
      </c>
      <c r="L1" t="s">
        <v>300</v>
      </c>
      <c r="M1" t="s">
        <v>337</v>
      </c>
      <c r="N1" t="s">
        <v>302</v>
      </c>
      <c r="O1" t="s">
        <v>303</v>
      </c>
      <c r="P1" t="s">
        <v>304</v>
      </c>
      <c r="Q1" t="s">
        <v>305</v>
      </c>
      <c r="R1" t="s">
        <v>306</v>
      </c>
      <c r="S1" t="s">
        <v>307</v>
      </c>
      <c r="T1" t="s">
        <v>308</v>
      </c>
      <c r="U1" t="s">
        <v>309</v>
      </c>
    </row>
    <row r="3" spans="1:21" x14ac:dyDescent="0.25">
      <c r="A3" t="s">
        <v>399</v>
      </c>
      <c r="B3" s="1">
        <v>4000000</v>
      </c>
      <c r="C3" s="1">
        <v>856000</v>
      </c>
      <c r="D3" s="1">
        <v>607000</v>
      </c>
      <c r="E3">
        <v>317628</v>
      </c>
      <c r="F3">
        <v>275289</v>
      </c>
      <c r="G3">
        <v>95914</v>
      </c>
      <c r="H3">
        <v>31460</v>
      </c>
      <c r="I3" s="1">
        <v>813000</v>
      </c>
      <c r="J3">
        <v>26442</v>
      </c>
      <c r="K3">
        <v>4784</v>
      </c>
      <c r="L3">
        <v>50398</v>
      </c>
      <c r="M3">
        <v>45438</v>
      </c>
      <c r="N3">
        <v>42095</v>
      </c>
      <c r="O3">
        <v>37418</v>
      </c>
      <c r="P3">
        <v>178510</v>
      </c>
      <c r="Q3">
        <v>8480</v>
      </c>
      <c r="R3">
        <v>3505</v>
      </c>
      <c r="S3">
        <v>270195</v>
      </c>
      <c r="T3">
        <v>35681</v>
      </c>
      <c r="U3">
        <v>5385</v>
      </c>
    </row>
    <row r="4" spans="1:21" x14ac:dyDescent="0.25">
      <c r="A4" t="s">
        <v>400</v>
      </c>
      <c r="B4" s="1">
        <v>4000000</v>
      </c>
      <c r="C4" s="1">
        <v>1270000</v>
      </c>
      <c r="D4" s="1">
        <v>979000</v>
      </c>
      <c r="E4" s="1">
        <v>622000</v>
      </c>
      <c r="F4" s="1">
        <v>560000</v>
      </c>
      <c r="G4">
        <v>312513</v>
      </c>
      <c r="H4">
        <v>86300</v>
      </c>
      <c r="I4" s="1">
        <v>553000</v>
      </c>
      <c r="J4">
        <v>73936</v>
      </c>
      <c r="K4">
        <v>11673</v>
      </c>
      <c r="L4">
        <v>214691</v>
      </c>
      <c r="M4">
        <v>113522</v>
      </c>
      <c r="N4">
        <v>70507</v>
      </c>
      <c r="O4">
        <v>38371</v>
      </c>
      <c r="P4">
        <v>242953</v>
      </c>
      <c r="Q4">
        <v>18642</v>
      </c>
      <c r="R4">
        <v>937</v>
      </c>
      <c r="S4" s="1">
        <v>535000</v>
      </c>
      <c r="T4">
        <v>159972</v>
      </c>
      <c r="U4">
        <v>20883</v>
      </c>
    </row>
    <row r="5" spans="1:21" x14ac:dyDescent="0.25">
      <c r="A5" t="s">
        <v>401</v>
      </c>
      <c r="B5" s="1">
        <v>2590000</v>
      </c>
      <c r="C5" s="1">
        <v>431000</v>
      </c>
      <c r="D5">
        <v>325902</v>
      </c>
      <c r="E5">
        <v>158595</v>
      </c>
      <c r="F5">
        <v>144451</v>
      </c>
      <c r="G5">
        <v>85805</v>
      </c>
      <c r="H5">
        <v>21728</v>
      </c>
      <c r="I5" s="1">
        <v>1040000</v>
      </c>
      <c r="J5">
        <v>19235</v>
      </c>
      <c r="K5">
        <v>2382</v>
      </c>
      <c r="L5">
        <v>60084</v>
      </c>
      <c r="M5">
        <v>58079</v>
      </c>
      <c r="N5">
        <v>21903</v>
      </c>
      <c r="O5">
        <v>19051</v>
      </c>
      <c r="P5">
        <v>58054</v>
      </c>
      <c r="Q5">
        <v>4153</v>
      </c>
      <c r="R5">
        <v>975</v>
      </c>
      <c r="S5">
        <v>140056</v>
      </c>
      <c r="T5">
        <v>32319</v>
      </c>
      <c r="U5">
        <v>403</v>
      </c>
    </row>
    <row r="6" spans="1:21" x14ac:dyDescent="0.25">
      <c r="A6" t="s">
        <v>402</v>
      </c>
      <c r="B6" s="1">
        <v>2740000</v>
      </c>
      <c r="C6" s="1">
        <v>447000</v>
      </c>
      <c r="D6">
        <v>345280</v>
      </c>
      <c r="E6">
        <v>165806</v>
      </c>
      <c r="F6">
        <v>146067</v>
      </c>
      <c r="G6">
        <v>52915</v>
      </c>
      <c r="H6">
        <v>23243</v>
      </c>
      <c r="I6">
        <v>227798</v>
      </c>
      <c r="J6">
        <v>15603</v>
      </c>
      <c r="K6">
        <v>7488</v>
      </c>
      <c r="L6">
        <v>30867</v>
      </c>
      <c r="M6">
        <v>20213</v>
      </c>
      <c r="N6">
        <v>19049</v>
      </c>
      <c r="O6">
        <v>13711</v>
      </c>
      <c r="P6">
        <v>92134</v>
      </c>
      <c r="Q6">
        <v>5516</v>
      </c>
      <c r="R6">
        <v>3279</v>
      </c>
      <c r="S6">
        <v>141723</v>
      </c>
      <c r="T6">
        <v>21306</v>
      </c>
      <c r="U6">
        <v>575</v>
      </c>
    </row>
    <row r="7" spans="1:21" x14ac:dyDescent="0.25">
      <c r="A7" t="s">
        <v>403</v>
      </c>
      <c r="B7" s="1">
        <v>4000000</v>
      </c>
      <c r="C7" s="1">
        <v>625000</v>
      </c>
      <c r="D7" s="1">
        <v>430000</v>
      </c>
      <c r="E7">
        <v>221000</v>
      </c>
      <c r="F7">
        <v>175115</v>
      </c>
      <c r="G7">
        <v>63241</v>
      </c>
      <c r="H7">
        <v>20676</v>
      </c>
      <c r="I7" s="1">
        <v>997000</v>
      </c>
      <c r="J7">
        <v>18114</v>
      </c>
      <c r="K7">
        <v>2492</v>
      </c>
      <c r="L7">
        <v>33577</v>
      </c>
      <c r="M7">
        <v>28240</v>
      </c>
      <c r="N7">
        <v>20267</v>
      </c>
      <c r="O7">
        <v>11690</v>
      </c>
      <c r="P7">
        <v>110813</v>
      </c>
      <c r="Q7">
        <v>10048</v>
      </c>
      <c r="R7">
        <v>3652</v>
      </c>
      <c r="S7">
        <v>171843</v>
      </c>
      <c r="T7">
        <v>38402</v>
      </c>
      <c r="U7">
        <v>965</v>
      </c>
    </row>
    <row r="8" spans="1:21" x14ac:dyDescent="0.25">
      <c r="A8" t="s">
        <v>404</v>
      </c>
      <c r="B8" s="1">
        <v>2940000</v>
      </c>
      <c r="C8" s="1">
        <v>589000</v>
      </c>
      <c r="D8" s="1">
        <v>463000</v>
      </c>
      <c r="E8">
        <v>279974</v>
      </c>
      <c r="F8">
        <v>262835</v>
      </c>
      <c r="G8">
        <v>116988</v>
      </c>
      <c r="H8">
        <v>33313</v>
      </c>
      <c r="I8" s="1">
        <v>813000</v>
      </c>
      <c r="J8">
        <v>29189</v>
      </c>
      <c r="K8">
        <v>3936</v>
      </c>
      <c r="L8">
        <v>60981</v>
      </c>
      <c r="M8">
        <v>54101</v>
      </c>
      <c r="N8">
        <v>63408</v>
      </c>
      <c r="O8">
        <v>36392</v>
      </c>
      <c r="P8">
        <v>144182</v>
      </c>
      <c r="Q8">
        <v>15343</v>
      </c>
      <c r="R8">
        <v>1687</v>
      </c>
      <c r="S8">
        <v>248038</v>
      </c>
      <c r="T8">
        <v>64237</v>
      </c>
      <c r="U8">
        <v>5430</v>
      </c>
    </row>
    <row r="9" spans="1:21" x14ac:dyDescent="0.25">
      <c r="A9" t="s">
        <v>405</v>
      </c>
      <c r="B9" s="1">
        <v>3730000</v>
      </c>
      <c r="C9" s="1">
        <v>796000</v>
      </c>
      <c r="D9" s="1">
        <v>584000</v>
      </c>
      <c r="E9">
        <v>309106</v>
      </c>
      <c r="F9">
        <v>283219</v>
      </c>
      <c r="G9">
        <v>166640</v>
      </c>
      <c r="H9">
        <v>56629</v>
      </c>
      <c r="I9" s="1">
        <v>805000</v>
      </c>
      <c r="J9">
        <v>52244</v>
      </c>
      <c r="K9">
        <v>4049</v>
      </c>
      <c r="L9">
        <v>115860</v>
      </c>
      <c r="M9">
        <v>89926</v>
      </c>
      <c r="N9">
        <v>44843</v>
      </c>
      <c r="O9">
        <v>37306</v>
      </c>
      <c r="P9">
        <v>115142</v>
      </c>
      <c r="Q9">
        <v>10345</v>
      </c>
      <c r="R9">
        <v>1966</v>
      </c>
      <c r="S9">
        <v>254943</v>
      </c>
      <c r="T9">
        <v>30782</v>
      </c>
      <c r="U9">
        <v>3929</v>
      </c>
    </row>
    <row r="10" spans="1:21" x14ac:dyDescent="0.25">
      <c r="A10" t="s">
        <v>406</v>
      </c>
      <c r="B10" s="1">
        <v>4000000</v>
      </c>
      <c r="C10" s="1">
        <v>716000</v>
      </c>
      <c r="D10" s="1">
        <v>508000</v>
      </c>
      <c r="E10">
        <v>292942</v>
      </c>
      <c r="F10">
        <v>226357</v>
      </c>
      <c r="G10">
        <v>70218</v>
      </c>
      <c r="H10">
        <v>16932</v>
      </c>
      <c r="I10">
        <v>70016</v>
      </c>
      <c r="J10">
        <v>8387</v>
      </c>
      <c r="K10">
        <v>8367</v>
      </c>
      <c r="L10">
        <v>22353</v>
      </c>
      <c r="M10">
        <v>15542</v>
      </c>
      <c r="N10">
        <v>41925</v>
      </c>
      <c r="O10">
        <v>37041</v>
      </c>
      <c r="P10">
        <v>154270</v>
      </c>
      <c r="Q10">
        <v>10035</v>
      </c>
      <c r="R10">
        <v>3096</v>
      </c>
      <c r="S10">
        <v>223991</v>
      </c>
      <c r="T10">
        <v>33738</v>
      </c>
      <c r="U10">
        <v>4427</v>
      </c>
    </row>
    <row r="11" spans="1:21" x14ac:dyDescent="0.25">
      <c r="A11" t="s">
        <v>407</v>
      </c>
      <c r="B11" s="1">
        <v>4000000</v>
      </c>
      <c r="C11" s="1">
        <v>576000</v>
      </c>
      <c r="D11">
        <v>387557</v>
      </c>
      <c r="E11">
        <v>178761</v>
      </c>
      <c r="F11">
        <v>137136</v>
      </c>
      <c r="G11">
        <v>55764</v>
      </c>
      <c r="H11">
        <v>15617</v>
      </c>
      <c r="I11">
        <v>339315</v>
      </c>
      <c r="J11">
        <v>12205</v>
      </c>
      <c r="K11">
        <v>3269</v>
      </c>
      <c r="L11">
        <v>33198</v>
      </c>
      <c r="M11">
        <v>21668</v>
      </c>
      <c r="N11">
        <v>22695</v>
      </c>
      <c r="O11">
        <v>16299</v>
      </c>
      <c r="P11">
        <v>80443</v>
      </c>
      <c r="Q11">
        <v>6073</v>
      </c>
      <c r="R11">
        <v>2673</v>
      </c>
      <c r="S11">
        <v>131411</v>
      </c>
      <c r="T11">
        <v>24665</v>
      </c>
      <c r="U11">
        <v>672</v>
      </c>
    </row>
    <row r="12" spans="1:21" x14ac:dyDescent="0.25">
      <c r="A12" t="s">
        <v>408</v>
      </c>
      <c r="B12" s="1">
        <v>3080000</v>
      </c>
      <c r="C12" s="1">
        <v>441000</v>
      </c>
      <c r="D12">
        <v>294577</v>
      </c>
      <c r="E12">
        <v>159024</v>
      </c>
      <c r="F12">
        <v>117784</v>
      </c>
      <c r="G12">
        <v>52031</v>
      </c>
      <c r="H12">
        <v>10979</v>
      </c>
      <c r="I12">
        <v>343802</v>
      </c>
      <c r="J12">
        <v>8824</v>
      </c>
      <c r="K12">
        <v>2062</v>
      </c>
      <c r="L12">
        <v>34968</v>
      </c>
      <c r="M12">
        <v>31817</v>
      </c>
      <c r="N12">
        <v>17581</v>
      </c>
      <c r="O12">
        <v>10008</v>
      </c>
      <c r="P12">
        <v>64837</v>
      </c>
      <c r="Q12">
        <v>3765</v>
      </c>
      <c r="R12">
        <v>1626</v>
      </c>
      <c r="S12">
        <v>114544</v>
      </c>
      <c r="T12">
        <v>22372</v>
      </c>
      <c r="U12">
        <v>967</v>
      </c>
    </row>
    <row r="13" spans="1:21" x14ac:dyDescent="0.25">
      <c r="A13" t="s">
        <v>409</v>
      </c>
      <c r="B13" s="1">
        <v>2880000</v>
      </c>
      <c r="C13" s="1">
        <v>422000</v>
      </c>
      <c r="D13">
        <v>266801</v>
      </c>
      <c r="E13">
        <v>127496</v>
      </c>
      <c r="F13">
        <v>106495</v>
      </c>
      <c r="G13">
        <v>38352</v>
      </c>
      <c r="H13">
        <v>8402</v>
      </c>
      <c r="I13">
        <v>237625</v>
      </c>
      <c r="J13">
        <v>5252</v>
      </c>
      <c r="K13">
        <v>3068</v>
      </c>
      <c r="L13">
        <v>25854</v>
      </c>
      <c r="M13">
        <v>21699</v>
      </c>
      <c r="N13">
        <v>11238</v>
      </c>
      <c r="O13">
        <v>5119</v>
      </c>
      <c r="P13">
        <v>67313</v>
      </c>
      <c r="Q13">
        <v>6346</v>
      </c>
      <c r="R13">
        <v>3603</v>
      </c>
      <c r="S13">
        <v>100853</v>
      </c>
      <c r="T13">
        <v>19620</v>
      </c>
      <c r="U13">
        <v>2494</v>
      </c>
    </row>
    <row r="14" spans="1:21" x14ac:dyDescent="0.25">
      <c r="A14" t="s">
        <v>410</v>
      </c>
      <c r="B14" s="1">
        <v>4000000</v>
      </c>
      <c r="C14" s="1">
        <v>493000</v>
      </c>
      <c r="D14">
        <v>308912</v>
      </c>
      <c r="E14">
        <v>124389</v>
      </c>
      <c r="F14">
        <v>95669</v>
      </c>
      <c r="G14">
        <v>30788</v>
      </c>
      <c r="H14">
        <v>8131</v>
      </c>
      <c r="I14">
        <v>97284</v>
      </c>
      <c r="J14">
        <v>4447</v>
      </c>
      <c r="K14">
        <v>3581</v>
      </c>
      <c r="L14">
        <v>18666</v>
      </c>
      <c r="M14">
        <v>16202</v>
      </c>
      <c r="N14">
        <v>11309</v>
      </c>
      <c r="O14">
        <v>6862</v>
      </c>
      <c r="P14">
        <v>63995</v>
      </c>
      <c r="Q14">
        <v>4507</v>
      </c>
      <c r="R14">
        <v>2357</v>
      </c>
      <c r="S14">
        <v>93153</v>
      </c>
      <c r="T14">
        <v>19548</v>
      </c>
      <c r="U14">
        <v>2845</v>
      </c>
    </row>
    <row r="15" spans="1:21" x14ac:dyDescent="0.25">
      <c r="A15" t="s">
        <v>411</v>
      </c>
      <c r="B15" s="1">
        <v>2820000</v>
      </c>
      <c r="C15" s="1">
        <v>408000</v>
      </c>
      <c r="D15">
        <v>288848</v>
      </c>
      <c r="E15">
        <v>143115</v>
      </c>
      <c r="F15">
        <v>122527</v>
      </c>
      <c r="G15">
        <v>67405</v>
      </c>
      <c r="H15">
        <v>16115</v>
      </c>
      <c r="I15">
        <v>282440</v>
      </c>
      <c r="J15">
        <v>12777</v>
      </c>
      <c r="K15">
        <v>3137</v>
      </c>
      <c r="L15">
        <v>52178</v>
      </c>
      <c r="M15">
        <v>49004</v>
      </c>
      <c r="N15">
        <v>13914</v>
      </c>
      <c r="O15">
        <v>11008</v>
      </c>
      <c r="P15">
        <v>54713</v>
      </c>
      <c r="Q15">
        <v>1813</v>
      </c>
      <c r="R15">
        <v>656</v>
      </c>
      <c r="S15">
        <v>118138</v>
      </c>
      <c r="T15">
        <v>19833</v>
      </c>
      <c r="U15">
        <v>317</v>
      </c>
    </row>
    <row r="16" spans="1:21" x14ac:dyDescent="0.25">
      <c r="A16" t="s">
        <v>412</v>
      </c>
      <c r="B16" s="1">
        <v>4000000</v>
      </c>
      <c r="C16" s="1">
        <v>686000</v>
      </c>
      <c r="D16" s="1">
        <v>467000</v>
      </c>
      <c r="E16">
        <v>252151</v>
      </c>
      <c r="F16">
        <v>210483</v>
      </c>
      <c r="G16">
        <v>61205</v>
      </c>
      <c r="H16">
        <v>35423</v>
      </c>
      <c r="I16">
        <v>259459</v>
      </c>
      <c r="J16">
        <v>23603</v>
      </c>
      <c r="K16">
        <v>11485</v>
      </c>
      <c r="L16">
        <v>24882</v>
      </c>
      <c r="M16">
        <v>13447</v>
      </c>
      <c r="N16">
        <v>35868</v>
      </c>
      <c r="O16">
        <v>28536</v>
      </c>
      <c r="P16">
        <v>148347</v>
      </c>
      <c r="Q16">
        <v>8742</v>
      </c>
      <c r="R16">
        <v>2445</v>
      </c>
      <c r="S16">
        <v>208151</v>
      </c>
      <c r="T16">
        <v>26238</v>
      </c>
      <c r="U16">
        <v>3694</v>
      </c>
    </row>
    <row r="17" spans="1:23" x14ac:dyDescent="0.25">
      <c r="A17" t="s">
        <v>413</v>
      </c>
      <c r="B17" s="1">
        <v>4000000</v>
      </c>
      <c r="C17" s="1">
        <v>647000</v>
      </c>
      <c r="D17" s="1">
        <v>462000</v>
      </c>
      <c r="E17">
        <v>232431</v>
      </c>
      <c r="F17">
        <v>194606</v>
      </c>
      <c r="G17">
        <v>58346</v>
      </c>
      <c r="H17">
        <v>19205</v>
      </c>
      <c r="I17">
        <v>306513</v>
      </c>
      <c r="J17">
        <v>13563</v>
      </c>
      <c r="K17">
        <v>5489</v>
      </c>
      <c r="L17">
        <v>31590</v>
      </c>
      <c r="M17">
        <v>22921</v>
      </c>
      <c r="N17">
        <v>30439</v>
      </c>
      <c r="O17">
        <v>25555</v>
      </c>
      <c r="P17">
        <v>134893</v>
      </c>
      <c r="Q17">
        <v>5414</v>
      </c>
      <c r="R17">
        <v>1431</v>
      </c>
      <c r="S17">
        <v>190449</v>
      </c>
      <c r="T17">
        <v>25795</v>
      </c>
      <c r="U17">
        <v>968</v>
      </c>
    </row>
    <row r="18" spans="1:23" x14ac:dyDescent="0.25">
      <c r="B18" s="1"/>
      <c r="C18" s="1"/>
      <c r="D18" s="1"/>
    </row>
    <row r="19" spans="1:23" x14ac:dyDescent="0.25">
      <c r="B19" s="1" t="s">
        <v>70</v>
      </c>
      <c r="C19" s="1"/>
      <c r="D19" s="1" t="s">
        <v>324</v>
      </c>
      <c r="E19" t="s">
        <v>325</v>
      </c>
      <c r="F19" s="1" t="s">
        <v>326</v>
      </c>
      <c r="G19" s="1" t="s">
        <v>327</v>
      </c>
      <c r="H19" s="3" t="s">
        <v>328</v>
      </c>
      <c r="I19" s="24" t="s">
        <v>329</v>
      </c>
      <c r="J19" s="3" t="s">
        <v>330</v>
      </c>
      <c r="K19" s="3" t="s">
        <v>331</v>
      </c>
      <c r="M19" s="3" t="s">
        <v>17</v>
      </c>
      <c r="O19" s="3" t="s">
        <v>332</v>
      </c>
      <c r="R19" s="4" t="s">
        <v>333</v>
      </c>
      <c r="U19" s="4" t="s">
        <v>334</v>
      </c>
    </row>
    <row r="20" spans="1:23" x14ac:dyDescent="0.25">
      <c r="B20" s="1"/>
      <c r="I20" s="4"/>
      <c r="K20" s="4"/>
      <c r="L20" s="4"/>
      <c r="O20" s="4"/>
      <c r="Q20" s="4"/>
      <c r="R20" s="4"/>
      <c r="S20" s="4"/>
      <c r="T20" s="4"/>
      <c r="W20" s="4"/>
    </row>
    <row r="21" spans="1:23" s="7" customFormat="1" x14ac:dyDescent="0.25">
      <c r="A21" s="7" t="s">
        <v>85</v>
      </c>
    </row>
    <row r="22" spans="1:23" x14ac:dyDescent="0.25">
      <c r="B22" s="1" t="s">
        <v>70</v>
      </c>
      <c r="C22" s="1"/>
      <c r="D22" s="1" t="s">
        <v>324</v>
      </c>
      <c r="E22" t="s">
        <v>325</v>
      </c>
      <c r="F22" s="1" t="s">
        <v>326</v>
      </c>
      <c r="G22" s="1" t="s">
        <v>327</v>
      </c>
      <c r="H22" s="3" t="s">
        <v>328</v>
      </c>
      <c r="I22" s="24" t="s">
        <v>329</v>
      </c>
      <c r="J22" s="3" t="s">
        <v>330</v>
      </c>
      <c r="K22" s="3" t="s">
        <v>331</v>
      </c>
      <c r="M22" s="3" t="s">
        <v>17</v>
      </c>
      <c r="O22" s="3" t="s">
        <v>332</v>
      </c>
      <c r="R22" s="4" t="s">
        <v>333</v>
      </c>
      <c r="U22" s="4" t="s">
        <v>334</v>
      </c>
    </row>
    <row r="23" spans="1:23" x14ac:dyDescent="0.25">
      <c r="A23" s="7">
        <v>31</v>
      </c>
      <c r="F23" s="1">
        <f>100*F3/$E3</f>
        <v>86.670255770901804</v>
      </c>
      <c r="G23" s="1">
        <f t="shared" ref="G23:U35" si="0">100*G3/$E3</f>
        <v>30.196959965746093</v>
      </c>
      <c r="H23" s="1">
        <f t="shared" si="0"/>
        <v>9.9046683541753247</v>
      </c>
      <c r="I23" s="1"/>
      <c r="J23" s="1">
        <f t="shared" si="0"/>
        <v>8.3248328233027316</v>
      </c>
      <c r="K23" s="1">
        <f t="shared" si="0"/>
        <v>1.5061644439407105</v>
      </c>
      <c r="L23" s="1">
        <f t="shared" si="0"/>
        <v>15.866989056380421</v>
      </c>
      <c r="M23" s="1">
        <f t="shared" si="0"/>
        <v>14.305413880388379</v>
      </c>
      <c r="N23" s="1">
        <f t="shared" si="0"/>
        <v>13.252924805117937</v>
      </c>
      <c r="O23" s="1">
        <f t="shared" si="0"/>
        <v>11.780447567594797</v>
      </c>
      <c r="P23" s="1">
        <f t="shared" si="0"/>
        <v>56.200964650471619</v>
      </c>
      <c r="Q23" s="1">
        <f t="shared" si="0"/>
        <v>2.6697898170186507</v>
      </c>
      <c r="R23" s="1">
        <f t="shared" si="0"/>
        <v>1.1034921354540532</v>
      </c>
      <c r="S23" s="1">
        <f t="shared" si="0"/>
        <v>85.066492878461602</v>
      </c>
      <c r="T23" s="1">
        <f t="shared" si="0"/>
        <v>11.233581422292746</v>
      </c>
      <c r="U23" s="1">
        <f>100*U3/$E3</f>
        <v>1.6953795005478107</v>
      </c>
      <c r="V23" s="1"/>
      <c r="W23" s="1"/>
    </row>
    <row r="24" spans="1:23" x14ac:dyDescent="0.25">
      <c r="A24" s="7">
        <v>32</v>
      </c>
      <c r="F24" s="1">
        <f t="shared" ref="F24:U37" si="1">100*F4/$E4</f>
        <v>90.032154340836016</v>
      </c>
      <c r="G24" s="1">
        <f t="shared" si="1"/>
        <v>50.243247588424438</v>
      </c>
      <c r="H24" s="1">
        <f t="shared" si="1"/>
        <v>13.87459807073955</v>
      </c>
      <c r="I24" s="1"/>
      <c r="J24" s="1">
        <f t="shared" si="1"/>
        <v>11.886816720257235</v>
      </c>
      <c r="K24" s="1">
        <f t="shared" si="1"/>
        <v>1.8766881028938907</v>
      </c>
      <c r="L24" s="1">
        <f t="shared" si="1"/>
        <v>34.516237942122189</v>
      </c>
      <c r="M24" s="1">
        <f t="shared" si="1"/>
        <v>18.251125401929261</v>
      </c>
      <c r="N24" s="1">
        <f t="shared" si="1"/>
        <v>11.335530546623794</v>
      </c>
      <c r="O24" s="1">
        <f t="shared" si="1"/>
        <v>6.1689710610932478</v>
      </c>
      <c r="P24" s="1">
        <f t="shared" si="1"/>
        <v>39.059967845659166</v>
      </c>
      <c r="Q24" s="1">
        <f t="shared" si="1"/>
        <v>2.9971061093247586</v>
      </c>
      <c r="R24" s="1">
        <f t="shared" si="1"/>
        <v>0.15064308681672026</v>
      </c>
      <c r="S24" s="1">
        <f t="shared" si="0"/>
        <v>86.012861736334401</v>
      </c>
      <c r="T24" s="1">
        <f t="shared" si="0"/>
        <v>25.718971061093246</v>
      </c>
      <c r="U24" s="1">
        <f t="shared" si="0"/>
        <v>3.3573954983922829</v>
      </c>
      <c r="V24" s="1"/>
      <c r="W24" s="1"/>
    </row>
    <row r="25" spans="1:23" x14ac:dyDescent="0.25">
      <c r="A25" s="7">
        <v>33</v>
      </c>
      <c r="F25" s="1">
        <f t="shared" si="1"/>
        <v>91.081686055676414</v>
      </c>
      <c r="G25" s="1">
        <f t="shared" si="1"/>
        <v>54.103218890885586</v>
      </c>
      <c r="H25" s="1">
        <f t="shared" si="1"/>
        <v>13.700305810397554</v>
      </c>
      <c r="I25" s="1"/>
      <c r="J25" s="1">
        <f t="shared" si="1"/>
        <v>12.128377313282259</v>
      </c>
      <c r="K25" s="1">
        <f t="shared" si="1"/>
        <v>1.5019389009741795</v>
      </c>
      <c r="L25" s="1">
        <f t="shared" si="1"/>
        <v>37.885179230114446</v>
      </c>
      <c r="M25" s="1">
        <f t="shared" si="1"/>
        <v>36.620952741259181</v>
      </c>
      <c r="N25" s="1">
        <f t="shared" si="1"/>
        <v>13.810649768277688</v>
      </c>
      <c r="O25" s="1">
        <f t="shared" si="1"/>
        <v>12.012358523282575</v>
      </c>
      <c r="P25" s="1">
        <f t="shared" si="1"/>
        <v>36.60518931870488</v>
      </c>
      <c r="Q25" s="1">
        <f t="shared" si="1"/>
        <v>2.6186197547211449</v>
      </c>
      <c r="R25" s="1">
        <f t="shared" si="1"/>
        <v>0.61477347961789464</v>
      </c>
      <c r="S25" s="1">
        <f t="shared" si="0"/>
        <v>88.310476370629587</v>
      </c>
      <c r="T25" s="1">
        <f t="shared" si="0"/>
        <v>20.378322141303318</v>
      </c>
      <c r="U25" s="1">
        <f t="shared" si="0"/>
        <v>0.25410637157539645</v>
      </c>
      <c r="V25" s="1"/>
      <c r="W25" s="1"/>
    </row>
    <row r="26" spans="1:23" x14ac:dyDescent="0.25">
      <c r="A26" s="7">
        <v>34</v>
      </c>
      <c r="F26" s="1">
        <f t="shared" si="1"/>
        <v>88.095123216288911</v>
      </c>
      <c r="G26" s="1">
        <f t="shared" si="1"/>
        <v>31.913802878062313</v>
      </c>
      <c r="H26" s="1">
        <f t="shared" si="1"/>
        <v>14.018189932813046</v>
      </c>
      <c r="I26" s="1"/>
      <c r="J26" s="1">
        <f t="shared" si="1"/>
        <v>9.4103952812322831</v>
      </c>
      <c r="K26" s="1">
        <f t="shared" si="1"/>
        <v>4.5161212501357006</v>
      </c>
      <c r="L26" s="1">
        <f t="shared" si="1"/>
        <v>18.616334752662752</v>
      </c>
      <c r="M26" s="1">
        <f t="shared" si="1"/>
        <v>12.190753048743712</v>
      </c>
      <c r="N26" s="1">
        <f t="shared" si="1"/>
        <v>11.488727790309156</v>
      </c>
      <c r="O26" s="1">
        <f t="shared" si="1"/>
        <v>8.269302679034535</v>
      </c>
      <c r="P26" s="1">
        <f t="shared" si="1"/>
        <v>55.567349794337964</v>
      </c>
      <c r="Q26" s="1">
        <f t="shared" si="1"/>
        <v>3.3267794892826554</v>
      </c>
      <c r="R26" s="1">
        <f t="shared" si="1"/>
        <v>1.9776123903839427</v>
      </c>
      <c r="S26" s="1">
        <f t="shared" si="0"/>
        <v>85.475193901306341</v>
      </c>
      <c r="T26" s="1">
        <f t="shared" si="0"/>
        <v>12.849957178871694</v>
      </c>
      <c r="U26" s="1">
        <f t="shared" si="0"/>
        <v>0.34679082783493964</v>
      </c>
      <c r="V26" s="1"/>
      <c r="W26" s="1"/>
    </row>
    <row r="27" spans="1:23" x14ac:dyDescent="0.25">
      <c r="A27" s="7">
        <v>35</v>
      </c>
      <c r="F27" s="1">
        <f t="shared" si="1"/>
        <v>79.237556561085967</v>
      </c>
      <c r="G27" s="1">
        <f t="shared" si="1"/>
        <v>28.615837104072398</v>
      </c>
      <c r="H27" s="1">
        <f t="shared" si="1"/>
        <v>9.3556561085972856</v>
      </c>
      <c r="I27" s="1"/>
      <c r="J27" s="1">
        <f t="shared" si="1"/>
        <v>8.1963800904977369</v>
      </c>
      <c r="K27" s="1">
        <f t="shared" si="1"/>
        <v>1.1276018099547511</v>
      </c>
      <c r="L27" s="1">
        <f t="shared" si="1"/>
        <v>15.193212669683257</v>
      </c>
      <c r="M27" s="1">
        <f t="shared" si="1"/>
        <v>12.778280542986426</v>
      </c>
      <c r="N27" s="1">
        <f t="shared" si="1"/>
        <v>9.170588235294117</v>
      </c>
      <c r="O27" s="1">
        <f t="shared" si="1"/>
        <v>5.2895927601809953</v>
      </c>
      <c r="P27" s="1">
        <f t="shared" si="1"/>
        <v>50.141628959276019</v>
      </c>
      <c r="Q27" s="1">
        <f t="shared" si="1"/>
        <v>4.5466063348416288</v>
      </c>
      <c r="R27" s="1">
        <f t="shared" si="1"/>
        <v>1.6524886877828053</v>
      </c>
      <c r="S27" s="1">
        <f t="shared" si="0"/>
        <v>77.757013574660633</v>
      </c>
      <c r="T27" s="1">
        <f t="shared" si="0"/>
        <v>17.376470588235293</v>
      </c>
      <c r="U27" s="1">
        <f t="shared" si="0"/>
        <v>0.43665158371040724</v>
      </c>
      <c r="V27" s="1"/>
      <c r="W27" s="1"/>
    </row>
    <row r="28" spans="1:23" x14ac:dyDescent="0.25">
      <c r="A28" s="7">
        <v>36</v>
      </c>
      <c r="F28" s="1">
        <f t="shared" si="1"/>
        <v>93.878360133440964</v>
      </c>
      <c r="G28" s="1">
        <f t="shared" si="1"/>
        <v>41.785308635801897</v>
      </c>
      <c r="H28" s="1">
        <f t="shared" si="1"/>
        <v>11.898604870452257</v>
      </c>
      <c r="I28" s="1"/>
      <c r="J28" s="1">
        <f t="shared" si="1"/>
        <v>10.425610949588176</v>
      </c>
      <c r="K28" s="1">
        <f t="shared" si="1"/>
        <v>1.405844828448356</v>
      </c>
      <c r="L28" s="1">
        <f t="shared" si="1"/>
        <v>21.780951088315344</v>
      </c>
      <c r="M28" s="1">
        <f t="shared" si="1"/>
        <v>19.323580046718625</v>
      </c>
      <c r="N28" s="1">
        <f t="shared" si="1"/>
        <v>22.647817297320465</v>
      </c>
      <c r="O28" s="1">
        <f t="shared" si="1"/>
        <v>12.998349846771486</v>
      </c>
      <c r="P28" s="1">
        <f t="shared" si="1"/>
        <v>51.498353418531721</v>
      </c>
      <c r="Q28" s="1">
        <f t="shared" si="1"/>
        <v>5.4801517283747776</v>
      </c>
      <c r="R28" s="1">
        <f t="shared" si="1"/>
        <v>0.60255595162407938</v>
      </c>
      <c r="S28" s="1">
        <f t="shared" si="0"/>
        <v>88.593226513890571</v>
      </c>
      <c r="T28" s="1">
        <f t="shared" si="0"/>
        <v>22.94391622079193</v>
      </c>
      <c r="U28" s="1">
        <f t="shared" si="0"/>
        <v>1.9394658075392714</v>
      </c>
      <c r="V28" s="1"/>
      <c r="W28" s="1"/>
    </row>
    <row r="29" spans="1:23" x14ac:dyDescent="0.25">
      <c r="A29" s="7">
        <v>37</v>
      </c>
      <c r="F29" s="1">
        <f t="shared" si="1"/>
        <v>91.625203004794471</v>
      </c>
      <c r="G29" s="1">
        <f t="shared" si="1"/>
        <v>53.910309084909386</v>
      </c>
      <c r="H29" s="1">
        <f t="shared" si="1"/>
        <v>18.32025259943191</v>
      </c>
      <c r="I29" s="1"/>
      <c r="J29" s="1">
        <f t="shared" si="1"/>
        <v>16.901645390254476</v>
      </c>
      <c r="K29" s="1">
        <f t="shared" si="1"/>
        <v>1.3099066339702239</v>
      </c>
      <c r="L29" s="1">
        <f t="shared" si="1"/>
        <v>37.482287629486322</v>
      </c>
      <c r="M29" s="1">
        <f t="shared" si="1"/>
        <v>29.092285494296455</v>
      </c>
      <c r="N29" s="1">
        <f t="shared" si="1"/>
        <v>14.507321113145652</v>
      </c>
      <c r="O29" s="1">
        <f t="shared" si="1"/>
        <v>12.068998984167244</v>
      </c>
      <c r="P29" s="1">
        <f t="shared" si="1"/>
        <v>37.250004852704251</v>
      </c>
      <c r="Q29" s="1">
        <f t="shared" si="1"/>
        <v>3.3467483646386675</v>
      </c>
      <c r="R29" s="1">
        <f t="shared" si="1"/>
        <v>0.6360277704088565</v>
      </c>
      <c r="S29" s="1">
        <f t="shared" si="0"/>
        <v>82.477531979321014</v>
      </c>
      <c r="T29" s="1">
        <f t="shared" si="0"/>
        <v>9.9583961488939075</v>
      </c>
      <c r="U29" s="1">
        <f t="shared" si="0"/>
        <v>1.2710849999676486</v>
      </c>
      <c r="V29" s="1"/>
      <c r="W29" s="1"/>
    </row>
    <row r="30" spans="1:23" x14ac:dyDescent="0.25">
      <c r="A30" s="7">
        <v>38</v>
      </c>
      <c r="F30" s="1">
        <f t="shared" si="1"/>
        <v>77.270244621802263</v>
      </c>
      <c r="G30" s="1">
        <f t="shared" si="1"/>
        <v>23.969932614647266</v>
      </c>
      <c r="H30" s="1">
        <f t="shared" si="1"/>
        <v>5.7799837510496959</v>
      </c>
      <c r="I30" s="1"/>
      <c r="J30" s="1">
        <f t="shared" si="1"/>
        <v>2.8630240798519844</v>
      </c>
      <c r="K30" s="1">
        <f t="shared" si="1"/>
        <v>2.8561967898082212</v>
      </c>
      <c r="L30" s="1">
        <f t="shared" si="1"/>
        <v>7.6305207174116374</v>
      </c>
      <c r="M30" s="1">
        <f t="shared" si="1"/>
        <v>5.3054870930081721</v>
      </c>
      <c r="N30" s="1">
        <f t="shared" si="1"/>
        <v>14.31170675423804</v>
      </c>
      <c r="O30" s="1">
        <f t="shared" si="1"/>
        <v>12.644482525551133</v>
      </c>
      <c r="P30" s="1">
        <f t="shared" si="1"/>
        <v>52.662301752565355</v>
      </c>
      <c r="Q30" s="1">
        <f t="shared" si="1"/>
        <v>3.4255927794580496</v>
      </c>
      <c r="R30" s="1">
        <f t="shared" si="1"/>
        <v>1.0568644987745015</v>
      </c>
      <c r="S30" s="1">
        <f t="shared" si="0"/>
        <v>76.462576209625112</v>
      </c>
      <c r="T30" s="1">
        <f t="shared" si="0"/>
        <v>11.516955574823685</v>
      </c>
      <c r="U30" s="1">
        <f t="shared" si="0"/>
        <v>1.5112206511869244</v>
      </c>
      <c r="V30" s="1"/>
      <c r="W30" s="1"/>
    </row>
    <row r="31" spans="1:23" x14ac:dyDescent="0.25">
      <c r="A31" s="7">
        <v>39</v>
      </c>
      <c r="F31" s="1">
        <f t="shared" si="1"/>
        <v>76.714719653615717</v>
      </c>
      <c r="G31" s="1">
        <f t="shared" si="1"/>
        <v>31.194723681339891</v>
      </c>
      <c r="H31" s="1">
        <f t="shared" si="1"/>
        <v>8.7362456016692676</v>
      </c>
      <c r="I31" s="1"/>
      <c r="J31" s="1">
        <f t="shared" si="1"/>
        <v>6.8275518709338163</v>
      </c>
      <c r="K31" s="1">
        <f t="shared" si="1"/>
        <v>1.8286986535094343</v>
      </c>
      <c r="L31" s="1">
        <f t="shared" si="1"/>
        <v>18.57116485139376</v>
      </c>
      <c r="M31" s="1">
        <f t="shared" si="1"/>
        <v>12.121212121212121</v>
      </c>
      <c r="N31" s="1">
        <f t="shared" si="1"/>
        <v>12.695722221289879</v>
      </c>
      <c r="O31" s="1">
        <f t="shared" si="1"/>
        <v>9.1177605853625785</v>
      </c>
      <c r="P31" s="1">
        <f t="shared" si="1"/>
        <v>45.000307673373946</v>
      </c>
      <c r="Q31" s="1">
        <f t="shared" si="1"/>
        <v>3.3972734545007022</v>
      </c>
      <c r="R31" s="1">
        <f t="shared" si="1"/>
        <v>1.4952925973786229</v>
      </c>
      <c r="S31" s="1">
        <f t="shared" si="0"/>
        <v>73.512119533902805</v>
      </c>
      <c r="T31" s="1">
        <f t="shared" si="0"/>
        <v>13.797752306151789</v>
      </c>
      <c r="U31" s="1">
        <f t="shared" si="0"/>
        <v>0.37592092234883445</v>
      </c>
      <c r="V31" s="1"/>
      <c r="W31" s="1"/>
    </row>
    <row r="32" spans="1:23" x14ac:dyDescent="0.25">
      <c r="A32" s="7">
        <v>40</v>
      </c>
      <c r="F32" s="1">
        <f t="shared" si="1"/>
        <v>74.066807525908033</v>
      </c>
      <c r="G32" s="1">
        <f t="shared" si="1"/>
        <v>32.718960660026163</v>
      </c>
      <c r="H32" s="1">
        <f t="shared" si="1"/>
        <v>6.9039893349431534</v>
      </c>
      <c r="I32" s="1"/>
      <c r="J32" s="1">
        <f t="shared" si="1"/>
        <v>5.5488479726330615</v>
      </c>
      <c r="K32" s="1">
        <f t="shared" si="1"/>
        <v>1.296659623704598</v>
      </c>
      <c r="L32" s="1">
        <f t="shared" si="1"/>
        <v>21.98913371566556</v>
      </c>
      <c r="M32" s="1">
        <f t="shared" si="1"/>
        <v>20.007671797967603</v>
      </c>
      <c r="N32" s="1">
        <f t="shared" si="1"/>
        <v>11.055563940034208</v>
      </c>
      <c r="O32" s="1">
        <f t="shared" si="1"/>
        <v>6.2933896770298823</v>
      </c>
      <c r="P32" s="1">
        <f t="shared" si="1"/>
        <v>40.77183318241272</v>
      </c>
      <c r="Q32" s="1">
        <f t="shared" si="1"/>
        <v>2.3675671596740115</v>
      </c>
      <c r="R32" s="1">
        <f t="shared" si="1"/>
        <v>1.0224871717476607</v>
      </c>
      <c r="S32" s="1">
        <f t="shared" si="0"/>
        <v>72.029379213200528</v>
      </c>
      <c r="T32" s="1">
        <f t="shared" si="0"/>
        <v>14.0683167320656</v>
      </c>
      <c r="U32" s="1">
        <f t="shared" si="0"/>
        <v>0.60808431431733578</v>
      </c>
      <c r="V32" s="1"/>
      <c r="W32" s="1"/>
    </row>
    <row r="33" spans="1:23" x14ac:dyDescent="0.25">
      <c r="A33" s="7">
        <v>41</v>
      </c>
      <c r="F33" s="1">
        <f t="shared" si="1"/>
        <v>83.528110685825439</v>
      </c>
      <c r="G33" s="1">
        <f t="shared" si="1"/>
        <v>30.080943715881283</v>
      </c>
      <c r="H33" s="1">
        <f t="shared" si="1"/>
        <v>6.5900106670013177</v>
      </c>
      <c r="I33" s="1"/>
      <c r="J33" s="1">
        <f t="shared" si="1"/>
        <v>4.119344920624961</v>
      </c>
      <c r="K33" s="1">
        <f t="shared" si="1"/>
        <v>2.4063500031373533</v>
      </c>
      <c r="L33" s="1">
        <f t="shared" si="1"/>
        <v>20.278283240258517</v>
      </c>
      <c r="M33" s="1">
        <f t="shared" si="1"/>
        <v>17.019357470038276</v>
      </c>
      <c r="N33" s="1">
        <f t="shared" si="1"/>
        <v>8.8143941770722218</v>
      </c>
      <c r="O33" s="1">
        <f t="shared" si="1"/>
        <v>4.0150279224446255</v>
      </c>
      <c r="P33" s="1">
        <f t="shared" si="1"/>
        <v>52.796166154232289</v>
      </c>
      <c r="Q33" s="1">
        <f t="shared" si="1"/>
        <v>4.9774110560331302</v>
      </c>
      <c r="R33" s="1">
        <f t="shared" si="1"/>
        <v>2.8259710108552425</v>
      </c>
      <c r="S33" s="1">
        <f t="shared" si="0"/>
        <v>79.102873815649119</v>
      </c>
      <c r="T33" s="1">
        <f t="shared" si="0"/>
        <v>15.38871807742988</v>
      </c>
      <c r="U33" s="1">
        <f t="shared" si="0"/>
        <v>1.9561398004643282</v>
      </c>
      <c r="V33" s="1"/>
      <c r="W33" s="1"/>
    </row>
    <row r="34" spans="1:23" x14ac:dyDescent="0.25">
      <c r="A34" s="7">
        <v>42</v>
      </c>
      <c r="F34" s="1">
        <f t="shared" si="1"/>
        <v>76.911141660436215</v>
      </c>
      <c r="G34" s="1">
        <f t="shared" si="1"/>
        <v>24.751384768749649</v>
      </c>
      <c r="H34" s="1">
        <f t="shared" si="1"/>
        <v>6.5367516420262239</v>
      </c>
      <c r="I34" s="1"/>
      <c r="J34" s="1">
        <f t="shared" si="1"/>
        <v>3.5750749664359387</v>
      </c>
      <c r="K34" s="1">
        <f t="shared" si="1"/>
        <v>2.8788719259741615</v>
      </c>
      <c r="L34" s="1">
        <f t="shared" si="1"/>
        <v>15.006150061500614</v>
      </c>
      <c r="M34" s="1">
        <f t="shared" si="1"/>
        <v>13.025267507577036</v>
      </c>
      <c r="N34" s="1">
        <f t="shared" si="1"/>
        <v>9.0916399360072031</v>
      </c>
      <c r="O34" s="1">
        <f t="shared" si="1"/>
        <v>5.516564969571264</v>
      </c>
      <c r="P34" s="1">
        <f t="shared" si="1"/>
        <v>51.447475259066316</v>
      </c>
      <c r="Q34" s="1">
        <f t="shared" si="1"/>
        <v>3.6233107429113507</v>
      </c>
      <c r="R34" s="1">
        <f t="shared" si="1"/>
        <v>1.8948620858757608</v>
      </c>
      <c r="S34" s="1">
        <f t="shared" si="0"/>
        <v>74.888454766900608</v>
      </c>
      <c r="T34" s="1">
        <f t="shared" si="0"/>
        <v>15.715215975689169</v>
      </c>
      <c r="U34" s="1">
        <f t="shared" si="0"/>
        <v>2.2871797345424434</v>
      </c>
      <c r="V34" s="1"/>
      <c r="W34" s="1"/>
    </row>
    <row r="35" spans="1:23" x14ac:dyDescent="0.25">
      <c r="A35" s="7">
        <v>43</v>
      </c>
      <c r="F35" s="1">
        <f t="shared" si="1"/>
        <v>85.614366069245008</v>
      </c>
      <c r="G35" s="1">
        <f t="shared" si="1"/>
        <v>47.098487230548862</v>
      </c>
      <c r="H35" s="1">
        <f t="shared" si="1"/>
        <v>11.260175383432903</v>
      </c>
      <c r="I35" s="1"/>
      <c r="J35" s="1">
        <f t="shared" si="1"/>
        <v>8.9277853474478572</v>
      </c>
      <c r="K35" s="1">
        <f t="shared" si="1"/>
        <v>2.1919435419068583</v>
      </c>
      <c r="L35" s="1">
        <f t="shared" si="1"/>
        <v>36.458791880655419</v>
      </c>
      <c r="M35" s="1">
        <f t="shared" si="1"/>
        <v>34.240995004017748</v>
      </c>
      <c r="N35" s="1">
        <f t="shared" si="1"/>
        <v>9.7222513363379104</v>
      </c>
      <c r="O35" s="1">
        <f t="shared" si="1"/>
        <v>7.6917164518044929</v>
      </c>
      <c r="P35" s="1">
        <f t="shared" si="1"/>
        <v>38.230094679104219</v>
      </c>
      <c r="Q35" s="1">
        <f t="shared" si="1"/>
        <v>1.2668134018097335</v>
      </c>
      <c r="R35" s="1">
        <f t="shared" si="1"/>
        <v>0.45837263738951195</v>
      </c>
      <c r="S35" s="1">
        <f t="shared" si="0"/>
        <v>82.547601579149628</v>
      </c>
      <c r="T35" s="1">
        <f t="shared" si="0"/>
        <v>13.858086154491144</v>
      </c>
      <c r="U35" s="1">
        <f t="shared" si="0"/>
        <v>0.22150019215316355</v>
      </c>
      <c r="V35" s="1"/>
      <c r="W35" s="1"/>
    </row>
    <row r="36" spans="1:23" x14ac:dyDescent="0.25">
      <c r="A36" s="7">
        <v>44</v>
      </c>
      <c r="F36" s="1">
        <f>100*F16/$E16</f>
        <v>83.474981261228393</v>
      </c>
      <c r="G36" s="1">
        <f t="shared" si="1"/>
        <v>24.273153784835277</v>
      </c>
      <c r="H36" s="1">
        <f t="shared" si="1"/>
        <v>14.048328184302264</v>
      </c>
      <c r="I36" s="1"/>
      <c r="J36" s="1">
        <f t="shared" si="1"/>
        <v>9.3606608738414678</v>
      </c>
      <c r="K36" s="1">
        <f t="shared" si="1"/>
        <v>4.5548104112218475</v>
      </c>
      <c r="L36" s="1">
        <f t="shared" si="1"/>
        <v>9.8678966175030034</v>
      </c>
      <c r="M36" s="1">
        <f t="shared" si="1"/>
        <v>5.332915594227269</v>
      </c>
      <c r="N36" s="1">
        <f t="shared" si="1"/>
        <v>14.224809737022657</v>
      </c>
      <c r="O36" s="1">
        <f t="shared" si="1"/>
        <v>11.317028288604844</v>
      </c>
      <c r="P36" s="1">
        <f t="shared" si="1"/>
        <v>58.832604272836512</v>
      </c>
      <c r="Q36" s="1">
        <f t="shared" si="1"/>
        <v>3.4669701884981619</v>
      </c>
      <c r="R36" s="1">
        <f t="shared" si="1"/>
        <v>0.96965707056485995</v>
      </c>
      <c r="S36" s="1">
        <f t="shared" si="1"/>
        <v>82.550138607421744</v>
      </c>
      <c r="T36" s="1">
        <f t="shared" si="1"/>
        <v>10.405669618601552</v>
      </c>
      <c r="U36" s="1">
        <f t="shared" si="1"/>
        <v>1.4649951814587292</v>
      </c>
      <c r="V36" s="1"/>
      <c r="W36" s="1"/>
    </row>
    <row r="37" spans="1:23" x14ac:dyDescent="0.25">
      <c r="A37" s="7">
        <v>45</v>
      </c>
      <c r="F37" s="1">
        <f>100*F17/$E17</f>
        <v>83.726353197292966</v>
      </c>
      <c r="G37" s="1">
        <f t="shared" si="1"/>
        <v>25.102503538684598</v>
      </c>
      <c r="H37" s="1">
        <f t="shared" si="1"/>
        <v>8.2626672001583259</v>
      </c>
      <c r="I37" s="1"/>
      <c r="J37" s="1">
        <f t="shared" si="1"/>
        <v>5.8352801476567242</v>
      </c>
      <c r="K37" s="1">
        <f t="shared" si="1"/>
        <v>2.361561065434473</v>
      </c>
      <c r="L37" s="1">
        <f t="shared" si="1"/>
        <v>13.591130270919111</v>
      </c>
      <c r="M37" s="1">
        <f t="shared" si="1"/>
        <v>9.8614212389913565</v>
      </c>
      <c r="N37" s="1">
        <f t="shared" si="1"/>
        <v>13.095929544682077</v>
      </c>
      <c r="O37" s="1">
        <f t="shared" si="1"/>
        <v>10.994660781048999</v>
      </c>
      <c r="P37" s="1">
        <f t="shared" si="1"/>
        <v>58.035718127100083</v>
      </c>
      <c r="Q37" s="1">
        <f t="shared" si="1"/>
        <v>2.3292934247152917</v>
      </c>
      <c r="R37" s="1">
        <f t="shared" si="1"/>
        <v>0.61566658492197679</v>
      </c>
      <c r="S37" s="1">
        <f t="shared" si="1"/>
        <v>81.937865431031142</v>
      </c>
      <c r="T37" s="1">
        <f t="shared" si="1"/>
        <v>11.09791723135038</v>
      </c>
      <c r="U37" s="1">
        <f>100*U17/$E17</f>
        <v>0.41646768288223174</v>
      </c>
      <c r="V37" s="1"/>
      <c r="W37" s="1"/>
    </row>
    <row r="38" spans="1:23" s="8" customFormat="1" x14ac:dyDescent="0.25">
      <c r="A38" s="8" t="s">
        <v>86</v>
      </c>
      <c r="B38" s="9" t="s">
        <v>70</v>
      </c>
      <c r="C38" s="9"/>
      <c r="D38" s="9" t="s">
        <v>324</v>
      </c>
      <c r="E38" s="8" t="s">
        <v>325</v>
      </c>
      <c r="F38" s="9" t="s">
        <v>326</v>
      </c>
      <c r="G38" s="9" t="s">
        <v>327</v>
      </c>
      <c r="H38" s="3" t="s">
        <v>328</v>
      </c>
      <c r="I38" s="24" t="s">
        <v>329</v>
      </c>
      <c r="J38" s="3" t="s">
        <v>330</v>
      </c>
      <c r="K38" s="3" t="s">
        <v>331</v>
      </c>
      <c r="M38" s="3" t="s">
        <v>17</v>
      </c>
      <c r="O38" s="3" t="s">
        <v>332</v>
      </c>
      <c r="R38" s="4" t="s">
        <v>333</v>
      </c>
      <c r="U38" s="4" t="s">
        <v>334</v>
      </c>
    </row>
    <row r="39" spans="1:23" x14ac:dyDescent="0.25">
      <c r="A39" s="8">
        <v>31</v>
      </c>
      <c r="G39" s="1">
        <f>100*(G3/$F3)</f>
        <v>34.841203244590233</v>
      </c>
      <c r="H39" s="1">
        <f t="shared" ref="H39:U53" si="2">100*(H3/$F3)</f>
        <v>11.427990221185736</v>
      </c>
      <c r="I39" s="1"/>
      <c r="J39" s="1">
        <f t="shared" si="2"/>
        <v>9.6051785578065232</v>
      </c>
      <c r="K39" s="1">
        <f t="shared" si="2"/>
        <v>1.7378100832216323</v>
      </c>
      <c r="L39" s="1">
        <f t="shared" si="2"/>
        <v>18.307306140092773</v>
      </c>
      <c r="M39" s="1">
        <f t="shared" si="2"/>
        <v>16.505563244444929</v>
      </c>
      <c r="N39" s="1">
        <f t="shared" si="2"/>
        <v>15.291203062962921</v>
      </c>
      <c r="O39" s="1">
        <f t="shared" si="2"/>
        <v>13.592261223659499</v>
      </c>
      <c r="P39" s="1">
        <f t="shared" si="2"/>
        <v>64.844581512519568</v>
      </c>
      <c r="Q39" s="1">
        <f t="shared" si="2"/>
        <v>3.0803991441721248</v>
      </c>
      <c r="R39" s="1">
        <f t="shared" si="2"/>
        <v>1.2732074292834077</v>
      </c>
      <c r="S39" s="1">
        <f t="shared" si="2"/>
        <v>98.149580985800384</v>
      </c>
      <c r="T39" s="1">
        <f t="shared" si="2"/>
        <v>12.961287955566695</v>
      </c>
      <c r="U39" s="1">
        <f t="shared" si="2"/>
        <v>1.9561261074725107</v>
      </c>
      <c r="V39" s="1"/>
      <c r="W39" s="1"/>
    </row>
    <row r="40" spans="1:23" x14ac:dyDescent="0.25">
      <c r="A40" s="8">
        <v>32</v>
      </c>
      <c r="G40" s="1">
        <f t="shared" ref="G40:U53" si="3">100*(G4/$F4)</f>
        <v>55.805892857142858</v>
      </c>
      <c r="H40" s="1">
        <f t="shared" si="3"/>
        <v>15.410714285714286</v>
      </c>
      <c r="I40" s="1"/>
      <c r="J40" s="1">
        <f t="shared" si="3"/>
        <v>13.202857142857145</v>
      </c>
      <c r="K40" s="1">
        <f t="shared" si="3"/>
        <v>2.0844642857142857</v>
      </c>
      <c r="L40" s="1">
        <f t="shared" si="3"/>
        <v>38.337678571428576</v>
      </c>
      <c r="M40" s="1">
        <f t="shared" si="3"/>
        <v>20.271785714285713</v>
      </c>
      <c r="N40" s="1">
        <f t="shared" si="3"/>
        <v>12.590535714285714</v>
      </c>
      <c r="O40" s="1">
        <f t="shared" si="3"/>
        <v>6.8519642857142866</v>
      </c>
      <c r="P40" s="1">
        <f t="shared" si="3"/>
        <v>43.384464285714287</v>
      </c>
      <c r="Q40" s="1">
        <f t="shared" si="3"/>
        <v>3.3289285714285715</v>
      </c>
      <c r="R40" s="1">
        <f t="shared" si="3"/>
        <v>0.16732142857142857</v>
      </c>
      <c r="S40" s="1">
        <f t="shared" si="3"/>
        <v>95.535714285714292</v>
      </c>
      <c r="T40" s="1">
        <f t="shared" si="3"/>
        <v>28.56642857142857</v>
      </c>
      <c r="U40" s="1">
        <f t="shared" si="3"/>
        <v>3.729107142857143</v>
      </c>
      <c r="V40" s="1"/>
      <c r="W40" s="1"/>
    </row>
    <row r="41" spans="1:23" x14ac:dyDescent="0.25">
      <c r="A41" s="8">
        <v>33</v>
      </c>
      <c r="G41" s="1">
        <f t="shared" si="3"/>
        <v>59.400765657558615</v>
      </c>
      <c r="H41" s="1">
        <f t="shared" si="2"/>
        <v>15.041778873112682</v>
      </c>
      <c r="I41" s="1"/>
      <c r="J41" s="1">
        <f t="shared" si="2"/>
        <v>13.315934122989804</v>
      </c>
      <c r="K41" s="1">
        <f t="shared" si="2"/>
        <v>1.6490020837515835</v>
      </c>
      <c r="L41" s="1">
        <f t="shared" si="2"/>
        <v>41.594727623900148</v>
      </c>
      <c r="M41" s="1">
        <f t="shared" si="2"/>
        <v>40.206713695301524</v>
      </c>
      <c r="N41" s="1">
        <f t="shared" si="2"/>
        <v>15.162927220995353</v>
      </c>
      <c r="O41" s="1">
        <f t="shared" si="2"/>
        <v>13.188555288644594</v>
      </c>
      <c r="P41" s="1">
        <f t="shared" si="2"/>
        <v>40.189406788461142</v>
      </c>
      <c r="Q41" s="1">
        <f t="shared" si="2"/>
        <v>2.8750233643242344</v>
      </c>
      <c r="R41" s="1">
        <f t="shared" si="2"/>
        <v>0.6749693667748925</v>
      </c>
      <c r="S41" s="1">
        <f t="shared" si="2"/>
        <v>96.957445777460876</v>
      </c>
      <c r="T41" s="1">
        <f t="shared" si="2"/>
        <v>22.373676886972053</v>
      </c>
      <c r="U41" s="1">
        <f t="shared" si="2"/>
        <v>0.2789873382669556</v>
      </c>
      <c r="V41" s="1"/>
      <c r="W41" s="1"/>
    </row>
    <row r="42" spans="1:23" x14ac:dyDescent="0.25">
      <c r="A42" s="8">
        <v>34</v>
      </c>
      <c r="G42" s="1">
        <f t="shared" si="3"/>
        <v>36.226526183189904</v>
      </c>
      <c r="H42" s="1">
        <f t="shared" si="2"/>
        <v>15.912560674211148</v>
      </c>
      <c r="I42" s="1"/>
      <c r="J42" s="1">
        <f t="shared" si="2"/>
        <v>10.682084249009016</v>
      </c>
      <c r="K42" s="1">
        <f t="shared" si="2"/>
        <v>5.1264145905646039</v>
      </c>
      <c r="L42" s="1">
        <f t="shared" si="2"/>
        <v>21.132083222083018</v>
      </c>
      <c r="M42" s="1">
        <f t="shared" si="2"/>
        <v>13.838170154791978</v>
      </c>
      <c r="N42" s="1">
        <f t="shared" si="2"/>
        <v>13.04127557901511</v>
      </c>
      <c r="O42" s="1">
        <f t="shared" si="2"/>
        <v>9.3867882547050314</v>
      </c>
      <c r="P42" s="1">
        <f t="shared" si="2"/>
        <v>63.076533371671907</v>
      </c>
      <c r="Q42" s="1">
        <f t="shared" si="2"/>
        <v>3.7763492096092888</v>
      </c>
      <c r="R42" s="1">
        <f t="shared" si="2"/>
        <v>2.2448602353714393</v>
      </c>
      <c r="S42" s="1">
        <f t="shared" si="2"/>
        <v>97.026022304832722</v>
      </c>
      <c r="T42" s="1">
        <f t="shared" si="2"/>
        <v>14.586456899915792</v>
      </c>
      <c r="U42" s="1">
        <f t="shared" si="2"/>
        <v>0.39365496655644328</v>
      </c>
      <c r="V42" s="1"/>
      <c r="W42" s="1"/>
    </row>
    <row r="43" spans="1:23" x14ac:dyDescent="0.25">
      <c r="A43" s="8">
        <v>35</v>
      </c>
      <c r="G43" s="1">
        <f t="shared" si="3"/>
        <v>36.113982240242123</v>
      </c>
      <c r="H43" s="1">
        <f t="shared" si="2"/>
        <v>11.80709819261628</v>
      </c>
      <c r="I43" s="1"/>
      <c r="J43" s="1">
        <f t="shared" si="2"/>
        <v>10.344059617965337</v>
      </c>
      <c r="K43" s="1">
        <f t="shared" si="2"/>
        <v>1.4230648431031037</v>
      </c>
      <c r="L43" s="1">
        <f t="shared" si="2"/>
        <v>19.174256916883191</v>
      </c>
      <c r="M43" s="1">
        <f t="shared" si="2"/>
        <v>16.126545413014306</v>
      </c>
      <c r="N43" s="1">
        <f t="shared" si="2"/>
        <v>11.57353738971533</v>
      </c>
      <c r="O43" s="1">
        <f t="shared" si="2"/>
        <v>6.6756131684892788</v>
      </c>
      <c r="P43" s="1">
        <f t="shared" si="2"/>
        <v>63.280130200154183</v>
      </c>
      <c r="Q43" s="1">
        <f t="shared" si="2"/>
        <v>5.7379436370385175</v>
      </c>
      <c r="R43" s="1">
        <f t="shared" si="2"/>
        <v>2.085486680181595</v>
      </c>
      <c r="S43" s="1">
        <f t="shared" si="2"/>
        <v>98.1315135767924</v>
      </c>
      <c r="T43" s="1">
        <f t="shared" si="2"/>
        <v>21.929589127145018</v>
      </c>
      <c r="U43" s="1">
        <f t="shared" si="2"/>
        <v>0.55106644205236566</v>
      </c>
      <c r="V43" s="1"/>
      <c r="W43" s="1"/>
    </row>
    <row r="44" spans="1:23" x14ac:dyDescent="0.25">
      <c r="A44" s="8">
        <v>36</v>
      </c>
      <c r="G44" s="1">
        <f t="shared" si="3"/>
        <v>44.510053836056841</v>
      </c>
      <c r="H44" s="1">
        <f t="shared" si="2"/>
        <v>12.674491601194665</v>
      </c>
      <c r="I44" s="1"/>
      <c r="J44" s="1">
        <f t="shared" si="2"/>
        <v>11.105446382711587</v>
      </c>
      <c r="K44" s="1">
        <f t="shared" si="2"/>
        <v>1.497517453915955</v>
      </c>
      <c r="L44" s="1">
        <f t="shared" si="2"/>
        <v>23.201247931211597</v>
      </c>
      <c r="M44" s="1">
        <f t="shared" si="2"/>
        <v>20.583636121521106</v>
      </c>
      <c r="N44" s="1">
        <f t="shared" si="2"/>
        <v>24.124640934426541</v>
      </c>
      <c r="O44" s="1">
        <f t="shared" si="2"/>
        <v>13.84594897939772</v>
      </c>
      <c r="P44" s="1">
        <f t="shared" si="2"/>
        <v>54.856468887324752</v>
      </c>
      <c r="Q44" s="1">
        <f t="shared" si="2"/>
        <v>5.837502615709476</v>
      </c>
      <c r="R44" s="1">
        <f t="shared" si="2"/>
        <v>0.64184754694009549</v>
      </c>
      <c r="S44" s="1">
        <f t="shared" si="2"/>
        <v>94.370232275001428</v>
      </c>
      <c r="T44" s="1">
        <f t="shared" si="2"/>
        <v>24.440047938820932</v>
      </c>
      <c r="U44" s="1">
        <f t="shared" si="2"/>
        <v>2.0659349021249072</v>
      </c>
      <c r="V44" s="1"/>
      <c r="W44" s="1"/>
    </row>
    <row r="45" spans="1:23" x14ac:dyDescent="0.25">
      <c r="A45" s="8">
        <v>37</v>
      </c>
      <c r="G45" s="1">
        <f t="shared" si="3"/>
        <v>58.837860454277433</v>
      </c>
      <c r="H45" s="1">
        <f t="shared" si="2"/>
        <v>19.994774361889561</v>
      </c>
      <c r="I45" s="1"/>
      <c r="J45" s="1">
        <f t="shared" si="2"/>
        <v>18.446502529844398</v>
      </c>
      <c r="K45" s="1">
        <f t="shared" si="2"/>
        <v>1.4296357235919905</v>
      </c>
      <c r="L45" s="1">
        <f t="shared" si="2"/>
        <v>40.908272396979015</v>
      </c>
      <c r="M45" s="1">
        <f t="shared" si="2"/>
        <v>31.751400859405621</v>
      </c>
      <c r="N45" s="1">
        <f t="shared" si="2"/>
        <v>15.833330390969532</v>
      </c>
      <c r="O45" s="1">
        <f t="shared" si="2"/>
        <v>13.17213887486362</v>
      </c>
      <c r="P45" s="1">
        <f t="shared" si="2"/>
        <v>40.654758331891578</v>
      </c>
      <c r="Q45" s="1">
        <f t="shared" si="2"/>
        <v>3.6526504224645944</v>
      </c>
      <c r="R45" s="1">
        <f t="shared" si="2"/>
        <v>0.69416246791352276</v>
      </c>
      <c r="S45" s="1">
        <f t="shared" si="2"/>
        <v>90.016206539815485</v>
      </c>
      <c r="T45" s="1">
        <f t="shared" si="2"/>
        <v>10.868621102397791</v>
      </c>
      <c r="U45" s="1">
        <f t="shared" si="2"/>
        <v>1.3872656848587135</v>
      </c>
      <c r="V45" s="1"/>
      <c r="W45" s="1"/>
    </row>
    <row r="46" spans="1:23" x14ac:dyDescent="0.25">
      <c r="A46" s="8">
        <v>38</v>
      </c>
      <c r="G46" s="1">
        <f t="shared" si="3"/>
        <v>31.020909448349286</v>
      </c>
      <c r="H46" s="1">
        <f t="shared" si="2"/>
        <v>7.4802192996019565</v>
      </c>
      <c r="I46" s="1"/>
      <c r="J46" s="1">
        <f t="shared" si="2"/>
        <v>3.70520902821649</v>
      </c>
      <c r="K46" s="1">
        <f t="shared" si="2"/>
        <v>3.6963734278153533</v>
      </c>
      <c r="L46" s="1">
        <f t="shared" si="2"/>
        <v>9.8751087883299391</v>
      </c>
      <c r="M46" s="1">
        <f t="shared" si="2"/>
        <v>6.8661450717229862</v>
      </c>
      <c r="N46" s="1">
        <f t="shared" si="2"/>
        <v>18.521627340881881</v>
      </c>
      <c r="O46" s="1">
        <f t="shared" si="2"/>
        <v>16.363973722924406</v>
      </c>
      <c r="P46" s="1">
        <f t="shared" si="2"/>
        <v>68.153403694164524</v>
      </c>
      <c r="Q46" s="1">
        <f t="shared" si="2"/>
        <v>4.433262501270117</v>
      </c>
      <c r="R46" s="1">
        <f t="shared" si="2"/>
        <v>1.3677509420958929</v>
      </c>
      <c r="S46" s="1">
        <f t="shared" si="2"/>
        <v>98.954748472545589</v>
      </c>
      <c r="T46" s="1">
        <f t="shared" si="2"/>
        <v>14.904774316676752</v>
      </c>
      <c r="U46" s="1">
        <f t="shared" si="2"/>
        <v>1.9557601487915108</v>
      </c>
      <c r="V46" s="1"/>
      <c r="W46" s="1"/>
    </row>
    <row r="47" spans="1:23" x14ac:dyDescent="0.25">
      <c r="A47" s="8">
        <v>39</v>
      </c>
      <c r="G47" s="1">
        <f t="shared" si="3"/>
        <v>40.663283164158209</v>
      </c>
      <c r="H47" s="1">
        <f t="shared" si="2"/>
        <v>11.387965231594913</v>
      </c>
      <c r="I47" s="1"/>
      <c r="J47" s="1">
        <f t="shared" si="2"/>
        <v>8.8999241628748109</v>
      </c>
      <c r="K47" s="1">
        <f t="shared" si="2"/>
        <v>2.3837650215844124</v>
      </c>
      <c r="L47" s="1">
        <f t="shared" si="2"/>
        <v>24.208085404270214</v>
      </c>
      <c r="M47" s="1">
        <f t="shared" si="2"/>
        <v>15.800373352000932</v>
      </c>
      <c r="N47" s="1">
        <f t="shared" si="2"/>
        <v>16.549264963248163</v>
      </c>
      <c r="O47" s="1">
        <f t="shared" si="2"/>
        <v>11.885281764088203</v>
      </c>
      <c r="P47" s="1">
        <f t="shared" si="2"/>
        <v>58.65928713102322</v>
      </c>
      <c r="Q47" s="1">
        <f t="shared" si="2"/>
        <v>4.4284505891961263</v>
      </c>
      <c r="R47" s="1">
        <f t="shared" si="2"/>
        <v>1.9491599579979</v>
      </c>
      <c r="S47" s="1">
        <f t="shared" si="2"/>
        <v>95.825312098938269</v>
      </c>
      <c r="T47" s="1">
        <f t="shared" si="2"/>
        <v>17.985795123089488</v>
      </c>
      <c r="U47" s="1">
        <f t="shared" si="2"/>
        <v>0.49002450122506119</v>
      </c>
      <c r="V47" s="1"/>
      <c r="W47" s="1"/>
    </row>
    <row r="48" spans="1:23" x14ac:dyDescent="0.25">
      <c r="A48" s="8">
        <v>40</v>
      </c>
      <c r="G48" s="1">
        <f t="shared" si="3"/>
        <v>44.174930381036475</v>
      </c>
      <c r="H48" s="1">
        <f t="shared" si="2"/>
        <v>9.321300006792093</v>
      </c>
      <c r="I48" s="1"/>
      <c r="J48" s="1">
        <f t="shared" si="2"/>
        <v>7.4916796848468383</v>
      </c>
      <c r="K48" s="1">
        <f t="shared" si="2"/>
        <v>1.7506622291652518</v>
      </c>
      <c r="L48" s="1">
        <f t="shared" si="2"/>
        <v>29.688242885281536</v>
      </c>
      <c r="M48" s="1">
        <f t="shared" si="2"/>
        <v>27.013006860014944</v>
      </c>
      <c r="N48" s="1">
        <f t="shared" si="2"/>
        <v>14.926475582422061</v>
      </c>
      <c r="O48" s="1">
        <f t="shared" si="2"/>
        <v>8.4969095972288251</v>
      </c>
      <c r="P48" s="1">
        <f t="shared" si="2"/>
        <v>55.047374855668011</v>
      </c>
      <c r="Q48" s="1">
        <f t="shared" si="2"/>
        <v>3.196529239964681</v>
      </c>
      <c r="R48" s="1">
        <f t="shared" si="2"/>
        <v>1.3804931060245873</v>
      </c>
      <c r="S48" s="1">
        <f t="shared" si="2"/>
        <v>97.249201928954704</v>
      </c>
      <c r="T48" s="1">
        <f t="shared" si="2"/>
        <v>18.994090878217754</v>
      </c>
      <c r="U48" s="1">
        <f t="shared" si="2"/>
        <v>0.82099436256197789</v>
      </c>
      <c r="V48" s="1"/>
      <c r="W48" s="1"/>
    </row>
    <row r="49" spans="1:23" x14ac:dyDescent="0.25">
      <c r="A49" s="8">
        <v>41</v>
      </c>
      <c r="G49" s="1">
        <f t="shared" si="3"/>
        <v>36.012958354852344</v>
      </c>
      <c r="H49" s="1">
        <f t="shared" si="2"/>
        <v>7.8895722803887498</v>
      </c>
      <c r="I49" s="1"/>
      <c r="J49" s="1">
        <f t="shared" si="2"/>
        <v>4.9316869336588569</v>
      </c>
      <c r="K49" s="1">
        <f t="shared" si="2"/>
        <v>2.8808864265927978</v>
      </c>
      <c r="L49" s="1">
        <f t="shared" si="2"/>
        <v>24.277196112493542</v>
      </c>
      <c r="M49" s="1">
        <f t="shared" si="2"/>
        <v>20.375604488473638</v>
      </c>
      <c r="N49" s="1">
        <f t="shared" si="2"/>
        <v>10.552608103666838</v>
      </c>
      <c r="O49" s="1">
        <f t="shared" si="2"/>
        <v>4.8067984412413729</v>
      </c>
      <c r="P49" s="1">
        <f t="shared" si="2"/>
        <v>63.207662331564862</v>
      </c>
      <c r="Q49" s="1">
        <f t="shared" si="2"/>
        <v>5.9589652096342549</v>
      </c>
      <c r="R49" s="1">
        <f t="shared" si="2"/>
        <v>3.3832574299262874</v>
      </c>
      <c r="S49" s="1">
        <f t="shared" si="2"/>
        <v>94.702098690079353</v>
      </c>
      <c r="T49" s="1">
        <f t="shared" si="2"/>
        <v>18.42340015963191</v>
      </c>
      <c r="U49" s="1">
        <f t="shared" si="2"/>
        <v>2.3418939856331282</v>
      </c>
      <c r="V49" s="1"/>
      <c r="W49" s="1"/>
    </row>
    <row r="50" spans="1:23" x14ac:dyDescent="0.25">
      <c r="A50" s="8">
        <v>42</v>
      </c>
      <c r="G50" s="1">
        <f t="shared" si="3"/>
        <v>32.181793475420463</v>
      </c>
      <c r="H50" s="1">
        <f t="shared" si="2"/>
        <v>8.4990958408679926</v>
      </c>
      <c r="I50" s="1"/>
      <c r="J50" s="1">
        <f t="shared" si="2"/>
        <v>4.6483186821227358</v>
      </c>
      <c r="K50" s="1">
        <f t="shared" si="2"/>
        <v>3.7431142794426617</v>
      </c>
      <c r="L50" s="1">
        <f t="shared" si="2"/>
        <v>19.511022379245105</v>
      </c>
      <c r="M50" s="1">
        <f t="shared" si="2"/>
        <v>16.93547544136554</v>
      </c>
      <c r="N50" s="1">
        <f t="shared" si="2"/>
        <v>11.82096603915584</v>
      </c>
      <c r="O50" s="1">
        <f>100*(O14/$F14)</f>
        <v>7.1726473570331031</v>
      </c>
      <c r="P50" s="1">
        <f t="shared" si="2"/>
        <v>66.892096708442651</v>
      </c>
      <c r="Q50" s="1">
        <f t="shared" si="2"/>
        <v>4.7110349224931802</v>
      </c>
      <c r="R50" s="1">
        <f t="shared" si="2"/>
        <v>2.4637029758856057</v>
      </c>
      <c r="S50" s="1">
        <f t="shared" si="2"/>
        <v>97.370098987132707</v>
      </c>
      <c r="T50" s="1">
        <f t="shared" si="2"/>
        <v>20.432951112690631</v>
      </c>
      <c r="U50" s="1">
        <f t="shared" si="2"/>
        <v>2.9737950642318829</v>
      </c>
      <c r="V50" s="1"/>
      <c r="W50" s="1"/>
    </row>
    <row r="51" spans="1:23" x14ac:dyDescent="0.25">
      <c r="A51" s="8">
        <v>43</v>
      </c>
      <c r="G51" s="1">
        <f t="shared" si="3"/>
        <v>55.012364621675225</v>
      </c>
      <c r="H51" s="1">
        <f t="shared" si="2"/>
        <v>13.152203187868796</v>
      </c>
      <c r="I51" s="1"/>
      <c r="J51" s="1">
        <f t="shared" si="2"/>
        <v>10.427905686093677</v>
      </c>
      <c r="K51" s="1">
        <f t="shared" si="2"/>
        <v>2.5602520260840467</v>
      </c>
      <c r="L51" s="1">
        <f t="shared" si="2"/>
        <v>42.58489965476997</v>
      </c>
      <c r="M51" s="1">
        <f t="shared" si="2"/>
        <v>39.994450202812445</v>
      </c>
      <c r="N51" s="1">
        <f t="shared" si="2"/>
        <v>11.355864421719295</v>
      </c>
      <c r="O51" s="1">
        <f t="shared" si="2"/>
        <v>8.9841422706831953</v>
      </c>
      <c r="P51" s="1">
        <f t="shared" si="2"/>
        <v>44.653831400426029</v>
      </c>
      <c r="Q51" s="1">
        <f t="shared" si="2"/>
        <v>1.4796738678005663</v>
      </c>
      <c r="R51" s="1">
        <f t="shared" si="2"/>
        <v>0.53539219927036485</v>
      </c>
      <c r="S51" s="1">
        <f t="shared" si="2"/>
        <v>96.417932374088977</v>
      </c>
      <c r="T51" s="1">
        <f t="shared" si="2"/>
        <v>16.186636414831014</v>
      </c>
      <c r="U51" s="1">
        <f t="shared" si="2"/>
        <v>0.25871848653766111</v>
      </c>
      <c r="V51" s="1"/>
      <c r="W51" s="1"/>
    </row>
    <row r="52" spans="1:23" x14ac:dyDescent="0.25">
      <c r="A52" s="8">
        <v>44</v>
      </c>
      <c r="G52" s="1">
        <f t="shared" si="3"/>
        <v>29.078357872132194</v>
      </c>
      <c r="H52" s="1">
        <f t="shared" si="2"/>
        <v>16.82938764650827</v>
      </c>
      <c r="I52" s="1"/>
      <c r="J52" s="1">
        <f t="shared" si="2"/>
        <v>11.213732225405378</v>
      </c>
      <c r="K52" s="1">
        <f t="shared" si="2"/>
        <v>5.4564976743965072</v>
      </c>
      <c r="L52" s="1">
        <f t="shared" si="2"/>
        <v>11.821382249397812</v>
      </c>
      <c r="M52" s="1">
        <f t="shared" si="2"/>
        <v>6.3886394625694232</v>
      </c>
      <c r="N52" s="1">
        <f t="shared" si="2"/>
        <v>17.040806145864511</v>
      </c>
      <c r="O52" s="1">
        <f t="shared" si="2"/>
        <v>13.557389432875814</v>
      </c>
      <c r="P52" s="1">
        <f t="shared" si="2"/>
        <v>70.479326121349473</v>
      </c>
      <c r="Q52" s="1">
        <f t="shared" si="2"/>
        <v>4.1533045424096002</v>
      </c>
      <c r="R52" s="1">
        <f t="shared" si="2"/>
        <v>1.1616140020809282</v>
      </c>
      <c r="S52" s="1">
        <f t="shared" si="2"/>
        <v>98.892072043823021</v>
      </c>
      <c r="T52" s="1">
        <f t="shared" si="2"/>
        <v>12.465614800245151</v>
      </c>
      <c r="U52" s="1">
        <f t="shared" si="2"/>
        <v>1.7550110935324943</v>
      </c>
      <c r="V52" s="1"/>
      <c r="W52" s="1"/>
    </row>
    <row r="53" spans="1:23" x14ac:dyDescent="0.25">
      <c r="A53" s="8">
        <v>45</v>
      </c>
      <c r="G53" s="1">
        <f t="shared" si="3"/>
        <v>29.981603855996219</v>
      </c>
      <c r="H53" s="1">
        <f>100*(H17/$F17)</f>
        <v>9.8686576981182501</v>
      </c>
      <c r="I53" s="1"/>
      <c r="J53" s="1">
        <f>100*(J17/$F17)</f>
        <v>6.9694665118238905</v>
      </c>
      <c r="K53" s="1">
        <f t="shared" si="2"/>
        <v>2.8205707943228884</v>
      </c>
      <c r="L53" s="1">
        <f t="shared" si="2"/>
        <v>16.232798577638921</v>
      </c>
      <c r="M53" s="1">
        <f t="shared" si="2"/>
        <v>11.778156891359979</v>
      </c>
      <c r="N53" s="1">
        <f t="shared" si="2"/>
        <v>15.641347132154198</v>
      </c>
      <c r="O53" s="1">
        <f t="shared" si="2"/>
        <v>13.131660894319804</v>
      </c>
      <c r="P53" s="1">
        <f t="shared" si="2"/>
        <v>69.31595120397111</v>
      </c>
      <c r="Q53" s="1">
        <f t="shared" si="2"/>
        <v>2.782031386493736</v>
      </c>
      <c r="R53" s="1">
        <f t="shared" si="2"/>
        <v>0.73533190138022464</v>
      </c>
      <c r="S53" s="1">
        <f t="shared" si="2"/>
        <v>97.863889088722857</v>
      </c>
      <c r="T53" s="1">
        <f t="shared" si="2"/>
        <v>13.254986999373092</v>
      </c>
      <c r="U53" s="1">
        <f t="shared" si="2"/>
        <v>0.49741529038159155</v>
      </c>
      <c r="V53" s="1"/>
      <c r="W53" s="1"/>
    </row>
    <row r="55" spans="1:23" x14ac:dyDescent="0.25">
      <c r="A55" s="10" t="s">
        <v>87</v>
      </c>
      <c r="B55" s="10"/>
      <c r="C55" s="10"/>
      <c r="D55" s="10"/>
      <c r="E55" s="10"/>
    </row>
    <row r="56" spans="1:23" s="10" customFormat="1" ht="27" customHeight="1" x14ac:dyDescent="0.25">
      <c r="A56" s="10" t="s">
        <v>87</v>
      </c>
      <c r="B56" s="22" t="s">
        <v>70</v>
      </c>
      <c r="C56" s="22" t="s">
        <v>335</v>
      </c>
      <c r="D56" s="22" t="s">
        <v>89</v>
      </c>
      <c r="E56" s="21" t="s">
        <v>336</v>
      </c>
      <c r="F56" s="22" t="s">
        <v>326</v>
      </c>
      <c r="G56" s="22" t="s">
        <v>327</v>
      </c>
      <c r="H56" s="17" t="s">
        <v>328</v>
      </c>
      <c r="I56" s="25" t="s">
        <v>329</v>
      </c>
      <c r="J56" s="17" t="s">
        <v>330</v>
      </c>
      <c r="K56" s="17" t="s">
        <v>331</v>
      </c>
      <c r="L56" s="21"/>
      <c r="M56" s="17" t="s">
        <v>17</v>
      </c>
      <c r="N56" s="21"/>
      <c r="O56" s="17" t="s">
        <v>332</v>
      </c>
      <c r="P56" s="21"/>
      <c r="Q56" s="21"/>
      <c r="R56" s="18" t="s">
        <v>333</v>
      </c>
      <c r="S56" s="21"/>
      <c r="U56" s="18" t="s">
        <v>334</v>
      </c>
      <c r="V56" s="21"/>
      <c r="W56" s="21"/>
    </row>
    <row r="57" spans="1:23" s="6" customFormat="1" x14ac:dyDescent="0.25">
      <c r="A57" s="10">
        <v>31</v>
      </c>
      <c r="B57" s="1">
        <v>4000000</v>
      </c>
      <c r="C57">
        <v>317628</v>
      </c>
      <c r="D57" s="6">
        <v>533333.33333333326</v>
      </c>
      <c r="E57" s="6">
        <f>(C57/B57)*D57</f>
        <v>42350.399999999994</v>
      </c>
      <c r="H57" s="6">
        <f t="shared" ref="H57" si="4">H23*$E57</f>
        <v>419466.66666666663</v>
      </c>
      <c r="J57" s="6">
        <f t="shared" ref="J57" si="5">J23*$E57</f>
        <v>352559.99999999994</v>
      </c>
      <c r="K57" s="6">
        <f t="shared" ref="K57" si="6">K23*$E57</f>
        <v>63786.666666666657</v>
      </c>
      <c r="M57" s="6">
        <f t="shared" ref="M57" si="7">M23*$E57</f>
        <v>605839.99999999988</v>
      </c>
      <c r="O57" s="6">
        <f>O23*$E57</f>
        <v>498906.66666666663</v>
      </c>
      <c r="R57" s="6">
        <f t="shared" ref="R57:U71" si="8">R23*$E57</f>
        <v>46733.333333333328</v>
      </c>
      <c r="U57" s="6">
        <f t="shared" si="8"/>
        <v>71800</v>
      </c>
    </row>
    <row r="58" spans="1:23" s="6" customFormat="1" x14ac:dyDescent="0.25">
      <c r="A58" s="10">
        <v>32</v>
      </c>
      <c r="B58" s="1">
        <v>4000000</v>
      </c>
      <c r="C58" s="1">
        <v>622000</v>
      </c>
      <c r="D58" s="6">
        <v>1433333.3333333335</v>
      </c>
      <c r="E58" s="6">
        <f t="shared" ref="E58:E70" si="9">(C58/B58)*D58</f>
        <v>222883.33333333334</v>
      </c>
      <c r="H58" s="6">
        <f t="shared" ref="H58" si="10">H24*$E58</f>
        <v>3092416.666666667</v>
      </c>
      <c r="J58" s="6">
        <f t="shared" ref="J58" si="11">J24*$E58</f>
        <v>2649373.3333333335</v>
      </c>
      <c r="K58" s="6">
        <f t="shared" ref="K58:K71" si="12">K24*$E58</f>
        <v>418282.5</v>
      </c>
      <c r="M58" s="6">
        <f t="shared" ref="M58" si="13">M24*$E58</f>
        <v>4067871.666666667</v>
      </c>
      <c r="O58" s="6">
        <f t="shared" ref="O58:O70" si="14">O24*$E58</f>
        <v>1374960.8333333335</v>
      </c>
      <c r="R58" s="6">
        <f t="shared" si="8"/>
        <v>33575.833333333336</v>
      </c>
      <c r="U58" s="6">
        <f t="shared" si="8"/>
        <v>748307.5</v>
      </c>
    </row>
    <row r="59" spans="1:23" s="6" customFormat="1" x14ac:dyDescent="0.25">
      <c r="A59" s="10">
        <v>33</v>
      </c>
      <c r="B59" s="1">
        <v>2590000</v>
      </c>
      <c r="C59">
        <v>158595</v>
      </c>
      <c r="D59" s="6">
        <v>283333.33333333337</v>
      </c>
      <c r="E59" s="6">
        <f t="shared" si="9"/>
        <v>17349.517374517378</v>
      </c>
      <c r="H59" s="6">
        <f t="shared" ref="H59" si="15">H25*$E59</f>
        <v>237693.69369369376</v>
      </c>
      <c r="J59" s="6">
        <f t="shared" ref="J59" si="16">J25*$E59</f>
        <v>210421.49292149296</v>
      </c>
      <c r="K59" s="6">
        <f t="shared" si="12"/>
        <v>26057.915057915063</v>
      </c>
      <c r="M59" s="6">
        <f t="shared" ref="M59" si="17">M25*$E59</f>
        <v>635355.85585585597</v>
      </c>
      <c r="O59" s="6">
        <f t="shared" si="14"/>
        <v>208408.62290862296</v>
      </c>
      <c r="R59" s="6">
        <f t="shared" si="8"/>
        <v>10666.023166023168</v>
      </c>
      <c r="U59" s="6">
        <f t="shared" si="8"/>
        <v>4408.6229086229096</v>
      </c>
    </row>
    <row r="60" spans="1:23" s="6" customFormat="1" x14ac:dyDescent="0.25">
      <c r="A60" s="10">
        <v>34</v>
      </c>
      <c r="B60" s="1">
        <v>2740000</v>
      </c>
      <c r="C60">
        <v>165806</v>
      </c>
      <c r="D60" s="6">
        <v>316666.66666666663</v>
      </c>
      <c r="E60" s="6">
        <f t="shared" si="9"/>
        <v>19162.493917274936</v>
      </c>
      <c r="H60" s="6">
        <f t="shared" ref="H60" si="18">H26*$E60</f>
        <v>268623.47931873472</v>
      </c>
      <c r="J60" s="6">
        <f t="shared" ref="J60" si="19">J26*$E60</f>
        <v>180326.6423357664</v>
      </c>
      <c r="K60" s="6">
        <f t="shared" si="12"/>
        <v>86540.145985401439</v>
      </c>
      <c r="M60" s="6">
        <f t="shared" ref="M60" si="20">M26*$E60</f>
        <v>233605.23114355226</v>
      </c>
      <c r="O60" s="6">
        <f t="shared" si="14"/>
        <v>158460.4622871046</v>
      </c>
      <c r="R60" s="6">
        <f t="shared" si="8"/>
        <v>37895.985401459846</v>
      </c>
      <c r="U60" s="6">
        <f t="shared" si="8"/>
        <v>6645.3771289537708</v>
      </c>
    </row>
    <row r="61" spans="1:23" s="6" customFormat="1" x14ac:dyDescent="0.25">
      <c r="A61" s="10">
        <v>35</v>
      </c>
      <c r="B61" s="1">
        <v>4000000</v>
      </c>
      <c r="C61">
        <v>221000</v>
      </c>
      <c r="D61" s="6">
        <v>533333.33333333326</v>
      </c>
      <c r="E61" s="6">
        <f t="shared" si="9"/>
        <v>29466.666666666664</v>
      </c>
      <c r="H61" s="6">
        <f t="shared" ref="H61" si="21">H27*$E61</f>
        <v>275680</v>
      </c>
      <c r="J61" s="6">
        <f t="shared" ref="J61" si="22">J27*$E61</f>
        <v>241519.99999999997</v>
      </c>
      <c r="K61" s="6">
        <f t="shared" si="12"/>
        <v>33226.666666666664</v>
      </c>
      <c r="M61" s="6">
        <f t="shared" ref="M61" si="23">M27*$E61</f>
        <v>376533.33333333331</v>
      </c>
      <c r="O61" s="6">
        <f t="shared" si="14"/>
        <v>155866.66666666666</v>
      </c>
      <c r="R61" s="6">
        <f t="shared" si="8"/>
        <v>48693.333333333328</v>
      </c>
      <c r="U61" s="6">
        <f t="shared" si="8"/>
        <v>12866.666666666666</v>
      </c>
    </row>
    <row r="62" spans="1:23" s="6" customFormat="1" x14ac:dyDescent="0.25">
      <c r="A62" s="10">
        <v>36</v>
      </c>
      <c r="B62" s="1">
        <v>2940000</v>
      </c>
      <c r="C62">
        <v>279974</v>
      </c>
      <c r="D62" s="6">
        <v>450000</v>
      </c>
      <c r="E62" s="6">
        <f t="shared" si="9"/>
        <v>42853.163265306124</v>
      </c>
      <c r="H62" s="6">
        <f t="shared" ref="H62" si="24">H28*$E62</f>
        <v>509892.85714285716</v>
      </c>
      <c r="J62" s="6">
        <f t="shared" ref="J62" si="25">J28*$E62</f>
        <v>446770.40816326533</v>
      </c>
      <c r="K62" s="6">
        <f t="shared" si="12"/>
        <v>60244.897959183683</v>
      </c>
      <c r="M62" s="6">
        <f t="shared" ref="M62" si="26">M28*$E62</f>
        <v>828076.53061224497</v>
      </c>
      <c r="O62" s="6">
        <f t="shared" si="14"/>
        <v>557020.40816326533</v>
      </c>
      <c r="R62" s="6">
        <f t="shared" si="8"/>
        <v>25821.428571428572</v>
      </c>
      <c r="U62" s="6">
        <f t="shared" si="8"/>
        <v>83112.244897959186</v>
      </c>
    </row>
    <row r="63" spans="1:23" s="6" customFormat="1" x14ac:dyDescent="0.25">
      <c r="A63" s="10">
        <v>37</v>
      </c>
      <c r="B63" s="1">
        <v>3730000</v>
      </c>
      <c r="C63">
        <v>309106</v>
      </c>
      <c r="D63" s="6">
        <v>616666.66666666674</v>
      </c>
      <c r="E63" s="6">
        <f t="shared" si="9"/>
        <v>51103.315460232356</v>
      </c>
      <c r="H63" s="6">
        <f>H29*$E63</f>
        <v>936225.64789991069</v>
      </c>
      <c r="J63" s="6">
        <f t="shared" ref="J63" si="27">J29*$E63</f>
        <v>863730.11617515655</v>
      </c>
      <c r="K63" s="6">
        <f t="shared" si="12"/>
        <v>66940.571939231464</v>
      </c>
      <c r="M63" s="6">
        <f t="shared" ref="M63" si="28">M29*$E63</f>
        <v>1486712.2430741736</v>
      </c>
      <c r="O63" s="6">
        <f t="shared" si="14"/>
        <v>616765.86237712251</v>
      </c>
      <c r="R63" s="6">
        <f t="shared" si="8"/>
        <v>32503.127792672032</v>
      </c>
      <c r="U63" s="6">
        <f t="shared" si="8"/>
        <v>64956.657730116181</v>
      </c>
    </row>
    <row r="64" spans="1:23" s="6" customFormat="1" x14ac:dyDescent="0.25">
      <c r="A64" s="10">
        <v>38</v>
      </c>
      <c r="B64" s="1">
        <v>4000000</v>
      </c>
      <c r="C64">
        <v>292942</v>
      </c>
      <c r="D64" s="6">
        <v>516666.66666666669</v>
      </c>
      <c r="E64" s="6">
        <f t="shared" si="9"/>
        <v>37838.341666666667</v>
      </c>
      <c r="H64" s="6">
        <f t="shared" ref="H64" si="29">H30*$E64</f>
        <v>218705</v>
      </c>
      <c r="J64" s="6">
        <f t="shared" ref="J64" si="30">J30*$E64</f>
        <v>108332.08333333333</v>
      </c>
      <c r="K64" s="6">
        <f t="shared" si="12"/>
        <v>108073.75</v>
      </c>
      <c r="M64" s="6">
        <f t="shared" ref="M64" si="31">M30*$E64</f>
        <v>200750.83333333334</v>
      </c>
      <c r="O64" s="6">
        <f t="shared" si="14"/>
        <v>478446.25</v>
      </c>
      <c r="R64" s="6">
        <f t="shared" si="8"/>
        <v>39990</v>
      </c>
      <c r="U64" s="6">
        <f t="shared" si="8"/>
        <v>57182.083333333336</v>
      </c>
    </row>
    <row r="65" spans="1:23" s="6" customFormat="1" x14ac:dyDescent="0.25">
      <c r="A65" s="10">
        <v>39</v>
      </c>
      <c r="B65" s="1">
        <v>4000000</v>
      </c>
      <c r="C65">
        <v>178761</v>
      </c>
      <c r="D65" s="6">
        <v>283333.33333333337</v>
      </c>
      <c r="E65" s="6">
        <f t="shared" si="9"/>
        <v>12662.237500000001</v>
      </c>
      <c r="H65" s="6">
        <f t="shared" ref="H65" si="32">H31*$E65</f>
        <v>110620.41666666667</v>
      </c>
      <c r="J65" s="6">
        <f t="shared" ref="J65" si="33">J31*$E65</f>
        <v>86452.083333333343</v>
      </c>
      <c r="K65" s="6">
        <f t="shared" si="12"/>
        <v>23155.416666666668</v>
      </c>
      <c r="M65" s="6">
        <f t="shared" ref="M65" si="34">M31*$E65</f>
        <v>153481.66666666669</v>
      </c>
      <c r="O65" s="6">
        <f t="shared" si="14"/>
        <v>115451.25</v>
      </c>
      <c r="R65" s="6">
        <f t="shared" si="8"/>
        <v>18933.75</v>
      </c>
      <c r="U65" s="6">
        <f t="shared" si="8"/>
        <v>4760</v>
      </c>
    </row>
    <row r="66" spans="1:23" s="6" customFormat="1" x14ac:dyDescent="0.25">
      <c r="A66" s="10">
        <v>40</v>
      </c>
      <c r="B66" s="1">
        <v>3080000</v>
      </c>
      <c r="C66">
        <v>159024</v>
      </c>
      <c r="D66" s="6">
        <v>233333.33333333334</v>
      </c>
      <c r="E66" s="6">
        <f t="shared" si="9"/>
        <v>12047.272727272728</v>
      </c>
      <c r="H66" s="6">
        <f t="shared" ref="H66" si="35">H32*$E66</f>
        <v>83174.242424242431</v>
      </c>
      <c r="J66" s="6">
        <f t="shared" ref="J66" si="36">J32*$E66</f>
        <v>66848.484848484848</v>
      </c>
      <c r="K66" s="6">
        <f t="shared" si="12"/>
        <v>15621.212121212122</v>
      </c>
      <c r="M66" s="6">
        <f t="shared" ref="M66" si="37">M32*$E66</f>
        <v>241037.87878787881</v>
      </c>
      <c r="O66" s="6">
        <f t="shared" si="14"/>
        <v>75818.181818181823</v>
      </c>
      <c r="R66" s="6">
        <f t="shared" si="8"/>
        <v>12318.181818181818</v>
      </c>
      <c r="U66" s="6">
        <f t="shared" si="8"/>
        <v>7325.7575757575769</v>
      </c>
    </row>
    <row r="67" spans="1:23" s="6" customFormat="1" x14ac:dyDescent="0.25">
      <c r="A67" s="10">
        <v>41</v>
      </c>
      <c r="B67" s="1">
        <v>2880000</v>
      </c>
      <c r="C67">
        <v>127496</v>
      </c>
      <c r="D67" s="6">
        <v>250000</v>
      </c>
      <c r="E67" s="6">
        <f t="shared" si="9"/>
        <v>11067.361111111111</v>
      </c>
      <c r="H67" s="6">
        <f t="shared" ref="H67" si="38">H33*$E67</f>
        <v>72934.027777777781</v>
      </c>
      <c r="J67" s="6">
        <f t="shared" ref="J67" si="39">J33*$E67</f>
        <v>45590.277777777781</v>
      </c>
      <c r="K67" s="6">
        <f t="shared" si="12"/>
        <v>26631.944444444445</v>
      </c>
      <c r="M67" s="6">
        <f t="shared" ref="M67" si="40">M33*$E67</f>
        <v>188359.375</v>
      </c>
      <c r="O67" s="6">
        <f t="shared" si="14"/>
        <v>44435.763888888891</v>
      </c>
      <c r="R67" s="6">
        <f t="shared" si="8"/>
        <v>31276.041666666668</v>
      </c>
      <c r="U67" s="6">
        <f t="shared" si="8"/>
        <v>21649.305555555555</v>
      </c>
    </row>
    <row r="68" spans="1:23" s="6" customFormat="1" x14ac:dyDescent="0.25">
      <c r="A68" s="10">
        <v>42</v>
      </c>
      <c r="B68" s="1">
        <v>4000000</v>
      </c>
      <c r="C68">
        <v>124389</v>
      </c>
      <c r="D68" s="6">
        <v>233333.33333333334</v>
      </c>
      <c r="E68" s="6">
        <f t="shared" si="9"/>
        <v>7256.0250000000005</v>
      </c>
      <c r="H68" s="6">
        <f t="shared" ref="H68" si="41">H34*$E68</f>
        <v>47430.833333333336</v>
      </c>
      <c r="J68" s="6">
        <f t="shared" ref="J68" si="42">J34*$E68</f>
        <v>25940.833333333336</v>
      </c>
      <c r="K68" s="6">
        <f t="shared" si="12"/>
        <v>20889.166666666668</v>
      </c>
      <c r="M68" s="6">
        <f t="shared" ref="M68" si="43">M34*$E68</f>
        <v>94511.666666666672</v>
      </c>
      <c r="O68" s="6">
        <f t="shared" si="14"/>
        <v>40028.333333333336</v>
      </c>
      <c r="R68" s="6">
        <f t="shared" si="8"/>
        <v>13749.166666666668</v>
      </c>
      <c r="U68" s="6">
        <f t="shared" si="8"/>
        <v>16595.833333333336</v>
      </c>
    </row>
    <row r="69" spans="1:23" s="6" customFormat="1" x14ac:dyDescent="0.25">
      <c r="A69" s="10">
        <v>43</v>
      </c>
      <c r="B69" s="1">
        <v>2820000</v>
      </c>
      <c r="C69">
        <v>143115</v>
      </c>
      <c r="D69" s="6">
        <v>316666.66666666663</v>
      </c>
      <c r="E69" s="6">
        <f t="shared" si="9"/>
        <v>16070.833333333332</v>
      </c>
      <c r="H69" s="6">
        <f t="shared" ref="H69" si="44">H35*$E69</f>
        <v>180960.40189125293</v>
      </c>
      <c r="J69" s="6">
        <f t="shared" ref="J69" si="45">J35*$E69</f>
        <v>143476.95035460993</v>
      </c>
      <c r="K69" s="6">
        <f t="shared" si="12"/>
        <v>35226.359338061462</v>
      </c>
      <c r="M69" s="6">
        <f t="shared" ref="M69" si="46">M35*$E69</f>
        <v>550281.32387706847</v>
      </c>
      <c r="O69" s="6">
        <f t="shared" si="14"/>
        <v>123612.29314420803</v>
      </c>
      <c r="R69" s="6">
        <f t="shared" si="8"/>
        <v>7366.4302600472811</v>
      </c>
      <c r="U69" s="6">
        <f t="shared" si="8"/>
        <v>3559.6926713947992</v>
      </c>
    </row>
    <row r="70" spans="1:23" s="6" customFormat="1" x14ac:dyDescent="0.25">
      <c r="A70" s="10">
        <v>44</v>
      </c>
      <c r="B70" s="1">
        <v>4000000</v>
      </c>
      <c r="C70">
        <v>252151</v>
      </c>
      <c r="D70" s="6">
        <v>300000</v>
      </c>
      <c r="E70" s="6">
        <f t="shared" si="9"/>
        <v>18911.325000000001</v>
      </c>
      <c r="H70" s="6">
        <f t="shared" ref="H70" si="47">H36*$E70</f>
        <v>265672.5</v>
      </c>
      <c r="J70" s="6">
        <f t="shared" ref="J70" si="48">J36*$E70</f>
        <v>177022.5</v>
      </c>
      <c r="K70" s="6">
        <f t="shared" si="12"/>
        <v>86137.500000000015</v>
      </c>
      <c r="M70" s="6">
        <f t="shared" ref="M70" si="49">M36*$E70</f>
        <v>100852.50000000001</v>
      </c>
      <c r="O70" s="6">
        <f t="shared" si="14"/>
        <v>214020</v>
      </c>
      <c r="R70" s="6">
        <f t="shared" si="8"/>
        <v>18337.5</v>
      </c>
      <c r="U70" s="6">
        <f t="shared" si="8"/>
        <v>27705.000000000004</v>
      </c>
    </row>
    <row r="71" spans="1:23" s="12" customFormat="1" x14ac:dyDescent="0.25">
      <c r="A71" s="10">
        <v>45</v>
      </c>
      <c r="B71" s="1">
        <v>4000000</v>
      </c>
      <c r="C71">
        <v>232431</v>
      </c>
      <c r="D71" s="6">
        <v>516666.66666666669</v>
      </c>
      <c r="E71" s="6">
        <f>(C71/B71)*D71</f>
        <v>30022.337500000001</v>
      </c>
      <c r="H71" s="6">
        <f t="shared" ref="H71" si="50">H37*$E71</f>
        <v>248064.58333333331</v>
      </c>
      <c r="I71" s="6"/>
      <c r="J71" s="6">
        <f t="shared" ref="J71" si="51">J37*$E71</f>
        <v>175188.75000000003</v>
      </c>
      <c r="K71" s="6">
        <f t="shared" si="12"/>
        <v>70899.583333333328</v>
      </c>
      <c r="L71" s="6"/>
      <c r="M71" s="6">
        <f t="shared" ref="M71" si="52">M37*$E71</f>
        <v>296062.91666666669</v>
      </c>
      <c r="O71" s="6">
        <f>O37*$E71</f>
        <v>330085.41666666669</v>
      </c>
      <c r="Q71" s="6"/>
      <c r="R71" s="6">
        <f t="shared" si="8"/>
        <v>18483.75</v>
      </c>
      <c r="S71" s="6"/>
      <c r="T71" s="6"/>
      <c r="U71" s="6">
        <f>U37*$E71</f>
        <v>12503.333333333334</v>
      </c>
      <c r="W71" s="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94D7-4C83-874A-A9A8-CA18E0A43F4D}">
  <dimension ref="A1:X69"/>
  <sheetViews>
    <sheetView topLeftCell="A35" workbookViewId="0">
      <selection activeCell="A55" sqref="A55"/>
    </sheetView>
  </sheetViews>
  <sheetFormatPr defaultColWidth="11" defaultRowHeight="15.75" x14ac:dyDescent="0.25"/>
  <cols>
    <col min="9" max="21" width="10.875"/>
  </cols>
  <sheetData>
    <row r="1" spans="1:21" x14ac:dyDescent="0.25">
      <c r="A1" t="s">
        <v>31</v>
      </c>
      <c r="B1" t="s">
        <v>32</v>
      </c>
      <c r="C1" t="s">
        <v>33</v>
      </c>
      <c r="D1" t="s">
        <v>34</v>
      </c>
      <c r="E1" t="s">
        <v>157</v>
      </c>
      <c r="F1" t="s">
        <v>158</v>
      </c>
      <c r="G1" t="s">
        <v>414</v>
      </c>
      <c r="H1" t="s">
        <v>415</v>
      </c>
      <c r="I1" s="29" t="s">
        <v>416</v>
      </c>
      <c r="J1" t="s">
        <v>417</v>
      </c>
      <c r="K1" t="s">
        <v>418</v>
      </c>
      <c r="L1" t="s">
        <v>419</v>
      </c>
      <c r="M1" t="s">
        <v>420</v>
      </c>
      <c r="N1" t="s">
        <v>421</v>
      </c>
      <c r="O1" t="s">
        <v>422</v>
      </c>
      <c r="P1" t="s">
        <v>423</v>
      </c>
      <c r="Q1" t="s">
        <v>424</v>
      </c>
      <c r="R1" t="s">
        <v>425</v>
      </c>
      <c r="S1" t="s">
        <v>426</v>
      </c>
      <c r="T1" t="s">
        <v>427</v>
      </c>
      <c r="U1" t="s">
        <v>428</v>
      </c>
    </row>
    <row r="2" spans="1:21" x14ac:dyDescent="0.25">
      <c r="I2" s="29"/>
    </row>
    <row r="3" spans="1:21" x14ac:dyDescent="0.25">
      <c r="A3" t="s">
        <v>429</v>
      </c>
      <c r="B3" s="1">
        <v>912000</v>
      </c>
      <c r="C3" s="1">
        <v>510000</v>
      </c>
      <c r="D3" s="1">
        <v>478000</v>
      </c>
      <c r="E3">
        <v>175199</v>
      </c>
      <c r="F3">
        <v>148422</v>
      </c>
      <c r="G3">
        <v>33148</v>
      </c>
      <c r="H3">
        <v>7143</v>
      </c>
      <c r="I3" s="29">
        <v>107731</v>
      </c>
      <c r="J3">
        <v>3822</v>
      </c>
      <c r="K3">
        <v>3246</v>
      </c>
      <c r="L3">
        <v>17066</v>
      </c>
      <c r="M3">
        <v>8927</v>
      </c>
      <c r="N3">
        <v>14083</v>
      </c>
      <c r="O3">
        <v>8575</v>
      </c>
      <c r="P3">
        <v>114438</v>
      </c>
      <c r="Q3">
        <v>7560</v>
      </c>
      <c r="R3">
        <v>3790</v>
      </c>
      <c r="S3">
        <v>135111</v>
      </c>
      <c r="T3">
        <v>16912</v>
      </c>
      <c r="U3">
        <v>2833</v>
      </c>
    </row>
    <row r="4" spans="1:21" x14ac:dyDescent="0.25">
      <c r="A4" t="s">
        <v>430</v>
      </c>
      <c r="B4" s="1">
        <v>1500000</v>
      </c>
      <c r="C4" s="1">
        <v>737000</v>
      </c>
      <c r="D4" s="1">
        <v>655000</v>
      </c>
      <c r="E4">
        <v>241446</v>
      </c>
      <c r="F4">
        <v>159049</v>
      </c>
      <c r="G4">
        <v>41628</v>
      </c>
      <c r="H4">
        <v>18244</v>
      </c>
      <c r="I4" s="29">
        <v>127125</v>
      </c>
      <c r="J4">
        <v>10398</v>
      </c>
      <c r="K4">
        <v>7665</v>
      </c>
      <c r="L4">
        <v>20588</v>
      </c>
      <c r="M4">
        <v>11519</v>
      </c>
      <c r="N4">
        <v>19498</v>
      </c>
      <c r="O4">
        <v>13034</v>
      </c>
      <c r="P4">
        <v>116690</v>
      </c>
      <c r="Q4">
        <v>10590</v>
      </c>
      <c r="R4">
        <v>5029</v>
      </c>
      <c r="S4">
        <v>148753</v>
      </c>
      <c r="T4">
        <v>26547</v>
      </c>
      <c r="U4">
        <v>3504</v>
      </c>
    </row>
    <row r="5" spans="1:21" x14ac:dyDescent="0.25">
      <c r="A5" t="s">
        <v>431</v>
      </c>
      <c r="B5" s="1">
        <v>1500000</v>
      </c>
      <c r="C5" s="1">
        <v>804000</v>
      </c>
      <c r="D5" s="1">
        <v>719000</v>
      </c>
      <c r="E5">
        <v>153212</v>
      </c>
      <c r="F5">
        <v>122341</v>
      </c>
      <c r="G5">
        <v>33901</v>
      </c>
      <c r="H5">
        <v>8883</v>
      </c>
      <c r="I5" s="29">
        <v>56640</v>
      </c>
      <c r="J5">
        <v>3923</v>
      </c>
      <c r="K5">
        <v>4764</v>
      </c>
      <c r="L5">
        <v>18741</v>
      </c>
      <c r="M5">
        <v>15806</v>
      </c>
      <c r="N5">
        <v>12358</v>
      </c>
      <c r="O5">
        <v>7661</v>
      </c>
      <c r="P5">
        <v>87467</v>
      </c>
      <c r="Q5">
        <v>5026</v>
      </c>
      <c r="R5">
        <v>2300</v>
      </c>
      <c r="S5">
        <v>112878</v>
      </c>
      <c r="T5">
        <v>13339</v>
      </c>
      <c r="U5">
        <v>1955</v>
      </c>
    </row>
    <row r="6" spans="1:21" x14ac:dyDescent="0.25">
      <c r="A6" t="s">
        <v>432</v>
      </c>
      <c r="B6" s="1">
        <v>1190000</v>
      </c>
      <c r="C6" s="1">
        <v>549000</v>
      </c>
      <c r="D6" s="1">
        <v>498000</v>
      </c>
      <c r="E6">
        <v>147733</v>
      </c>
      <c r="F6">
        <v>109812</v>
      </c>
      <c r="G6">
        <v>21315</v>
      </c>
      <c r="H6">
        <v>4151</v>
      </c>
      <c r="I6" s="29">
        <v>339129</v>
      </c>
      <c r="J6">
        <v>2922</v>
      </c>
      <c r="K6">
        <v>1192</v>
      </c>
      <c r="L6">
        <v>8914</v>
      </c>
      <c r="M6">
        <v>6727</v>
      </c>
      <c r="N6">
        <v>7079</v>
      </c>
      <c r="O6">
        <v>4318</v>
      </c>
      <c r="P6">
        <v>86765</v>
      </c>
      <c r="Q6">
        <v>6774</v>
      </c>
      <c r="R6">
        <v>3160</v>
      </c>
      <c r="S6">
        <v>102662</v>
      </c>
      <c r="T6">
        <v>14280</v>
      </c>
      <c r="U6">
        <v>1634</v>
      </c>
    </row>
    <row r="7" spans="1:21" x14ac:dyDescent="0.25">
      <c r="A7" t="s">
        <v>433</v>
      </c>
      <c r="B7" s="1">
        <v>1500000</v>
      </c>
      <c r="C7" s="1">
        <v>801000</v>
      </c>
      <c r="D7" s="1">
        <v>727000</v>
      </c>
      <c r="E7">
        <v>215243</v>
      </c>
      <c r="F7">
        <v>163588</v>
      </c>
      <c r="G7">
        <v>35215</v>
      </c>
      <c r="H7">
        <v>8738</v>
      </c>
      <c r="I7" s="29">
        <v>343053</v>
      </c>
      <c r="J7">
        <v>6427</v>
      </c>
      <c r="K7">
        <v>2229</v>
      </c>
      <c r="L7">
        <v>14615</v>
      </c>
      <c r="M7">
        <v>9141</v>
      </c>
      <c r="N7">
        <v>19285</v>
      </c>
      <c r="O7">
        <v>13989</v>
      </c>
      <c r="P7">
        <v>127764</v>
      </c>
      <c r="Q7">
        <v>11788</v>
      </c>
      <c r="R7">
        <v>3530</v>
      </c>
      <c r="S7">
        <v>148655</v>
      </c>
      <c r="T7">
        <v>23916</v>
      </c>
      <c r="U7">
        <v>2219</v>
      </c>
    </row>
    <row r="8" spans="1:21" x14ac:dyDescent="0.25">
      <c r="A8" t="s">
        <v>434</v>
      </c>
      <c r="B8" s="1">
        <v>1500000</v>
      </c>
      <c r="C8" s="1">
        <v>819000</v>
      </c>
      <c r="D8" s="1">
        <v>748000</v>
      </c>
      <c r="E8">
        <v>295051</v>
      </c>
      <c r="F8">
        <v>238855</v>
      </c>
      <c r="G8">
        <v>60695</v>
      </c>
      <c r="H8">
        <v>14465</v>
      </c>
      <c r="I8" s="29">
        <v>145829</v>
      </c>
      <c r="J8">
        <v>8803</v>
      </c>
      <c r="K8">
        <v>5500</v>
      </c>
      <c r="L8">
        <v>38986</v>
      </c>
      <c r="M8">
        <v>32629</v>
      </c>
      <c r="N8">
        <v>19452</v>
      </c>
      <c r="O8">
        <v>15263</v>
      </c>
      <c r="P8">
        <v>177270</v>
      </c>
      <c r="Q8">
        <v>27961</v>
      </c>
      <c r="R8">
        <v>18413</v>
      </c>
      <c r="S8">
        <v>221440</v>
      </c>
      <c r="T8">
        <v>41892</v>
      </c>
      <c r="U8">
        <v>281</v>
      </c>
    </row>
    <row r="9" spans="1:21" x14ac:dyDescent="0.25">
      <c r="A9" t="s">
        <v>435</v>
      </c>
      <c r="B9" s="1">
        <v>1270000</v>
      </c>
      <c r="C9" s="1">
        <v>757000</v>
      </c>
      <c r="D9" s="1">
        <v>691000</v>
      </c>
      <c r="E9">
        <v>254818</v>
      </c>
      <c r="F9">
        <v>146552</v>
      </c>
      <c r="G9">
        <v>42161</v>
      </c>
      <c r="H9">
        <v>13485</v>
      </c>
      <c r="I9" s="30">
        <v>417000</v>
      </c>
      <c r="J9">
        <v>9854</v>
      </c>
      <c r="K9">
        <v>3547</v>
      </c>
      <c r="L9">
        <v>22283</v>
      </c>
      <c r="M9">
        <v>18376</v>
      </c>
      <c r="N9">
        <v>17548</v>
      </c>
      <c r="O9">
        <v>12184</v>
      </c>
      <c r="P9">
        <v>103683</v>
      </c>
      <c r="Q9">
        <v>7953</v>
      </c>
      <c r="R9">
        <v>4730</v>
      </c>
      <c r="S9">
        <v>130363</v>
      </c>
      <c r="T9">
        <v>23876</v>
      </c>
      <c r="U9">
        <v>2413</v>
      </c>
    </row>
    <row r="10" spans="1:21" x14ac:dyDescent="0.25">
      <c r="A10" t="s">
        <v>436</v>
      </c>
      <c r="B10" s="1">
        <v>1190000</v>
      </c>
      <c r="C10" s="1">
        <v>553000</v>
      </c>
      <c r="D10" s="1">
        <v>513000</v>
      </c>
      <c r="E10">
        <v>157138</v>
      </c>
      <c r="F10">
        <v>118695</v>
      </c>
      <c r="G10">
        <v>35046</v>
      </c>
      <c r="H10">
        <v>6304</v>
      </c>
      <c r="I10" s="29">
        <v>217955</v>
      </c>
      <c r="J10">
        <v>4001</v>
      </c>
      <c r="K10">
        <v>2243</v>
      </c>
      <c r="L10">
        <v>19418</v>
      </c>
      <c r="M10">
        <v>11885</v>
      </c>
      <c r="N10">
        <v>9959</v>
      </c>
      <c r="O10">
        <v>6467</v>
      </c>
      <c r="P10">
        <v>81938</v>
      </c>
      <c r="Q10">
        <v>9317</v>
      </c>
      <c r="R10">
        <v>4887</v>
      </c>
      <c r="S10">
        <v>109938</v>
      </c>
      <c r="T10">
        <v>21394</v>
      </c>
      <c r="U10">
        <v>2033</v>
      </c>
    </row>
    <row r="11" spans="1:21" x14ac:dyDescent="0.25">
      <c r="A11" t="s">
        <v>437</v>
      </c>
      <c r="B11" s="1">
        <v>1020000</v>
      </c>
      <c r="C11" s="1">
        <v>419000</v>
      </c>
      <c r="D11">
        <v>387249</v>
      </c>
      <c r="E11">
        <v>149777</v>
      </c>
      <c r="F11">
        <v>97853</v>
      </c>
      <c r="G11">
        <v>18118</v>
      </c>
      <c r="H11">
        <v>3908</v>
      </c>
      <c r="I11" s="29">
        <v>261526</v>
      </c>
      <c r="J11">
        <v>2850</v>
      </c>
      <c r="K11">
        <v>1030</v>
      </c>
      <c r="L11">
        <v>5608</v>
      </c>
      <c r="M11">
        <v>4296</v>
      </c>
      <c r="N11">
        <v>8850</v>
      </c>
      <c r="O11">
        <v>4558</v>
      </c>
      <c r="P11">
        <v>78615</v>
      </c>
      <c r="Q11">
        <v>5162</v>
      </c>
      <c r="R11">
        <v>3250</v>
      </c>
      <c r="S11">
        <v>89559</v>
      </c>
      <c r="T11">
        <v>10267</v>
      </c>
      <c r="U11">
        <v>1001</v>
      </c>
    </row>
    <row r="12" spans="1:21" x14ac:dyDescent="0.25">
      <c r="A12" t="s">
        <v>438</v>
      </c>
      <c r="B12" s="1">
        <v>1460000</v>
      </c>
      <c r="C12" s="1">
        <v>657000</v>
      </c>
      <c r="D12" s="1">
        <v>600000</v>
      </c>
      <c r="E12">
        <v>191579</v>
      </c>
      <c r="F12">
        <v>112233</v>
      </c>
      <c r="G12">
        <v>30041</v>
      </c>
      <c r="H12">
        <v>6662</v>
      </c>
      <c r="I12" s="29">
        <v>144747</v>
      </c>
      <c r="J12">
        <v>4157</v>
      </c>
      <c r="K12">
        <v>2425</v>
      </c>
      <c r="L12">
        <v>18161</v>
      </c>
      <c r="M12">
        <v>13949</v>
      </c>
      <c r="N12">
        <v>9808</v>
      </c>
      <c r="O12">
        <v>8288</v>
      </c>
      <c r="P12">
        <v>81421</v>
      </c>
      <c r="Q12">
        <v>7202</v>
      </c>
      <c r="R12">
        <v>2596</v>
      </c>
      <c r="S12">
        <v>104988</v>
      </c>
      <c r="T12">
        <v>13149</v>
      </c>
      <c r="U12">
        <v>1315</v>
      </c>
    </row>
    <row r="13" spans="1:21" x14ac:dyDescent="0.25">
      <c r="A13" t="s">
        <v>439</v>
      </c>
      <c r="B13" s="1">
        <v>693000</v>
      </c>
      <c r="C13">
        <v>255490</v>
      </c>
      <c r="D13">
        <v>244567</v>
      </c>
      <c r="E13">
        <v>78610</v>
      </c>
      <c r="F13">
        <v>57789</v>
      </c>
      <c r="G13">
        <v>7271</v>
      </c>
      <c r="H13">
        <v>1635</v>
      </c>
      <c r="I13" s="29">
        <v>22369</v>
      </c>
      <c r="J13">
        <v>556</v>
      </c>
      <c r="K13">
        <v>1044</v>
      </c>
      <c r="L13">
        <v>3635</v>
      </c>
      <c r="M13">
        <v>2079</v>
      </c>
      <c r="N13">
        <v>2346</v>
      </c>
      <c r="O13">
        <v>1348</v>
      </c>
      <c r="P13">
        <v>50166</v>
      </c>
      <c r="Q13">
        <v>3208</v>
      </c>
      <c r="R13">
        <v>1906</v>
      </c>
      <c r="S13">
        <v>53539</v>
      </c>
      <c r="T13">
        <v>5298</v>
      </c>
      <c r="U13">
        <v>661</v>
      </c>
    </row>
    <row r="14" spans="1:21" x14ac:dyDescent="0.25">
      <c r="A14" t="s">
        <v>440</v>
      </c>
      <c r="B14" s="1">
        <v>937000</v>
      </c>
      <c r="C14" s="1">
        <v>442000</v>
      </c>
      <c r="D14" s="1">
        <v>410000</v>
      </c>
      <c r="E14">
        <v>113630</v>
      </c>
      <c r="F14">
        <v>92167</v>
      </c>
      <c r="G14">
        <v>18306</v>
      </c>
      <c r="H14">
        <v>2852</v>
      </c>
      <c r="I14" s="29">
        <v>356471</v>
      </c>
      <c r="J14">
        <v>2206</v>
      </c>
      <c r="K14">
        <v>628</v>
      </c>
      <c r="L14">
        <v>11197</v>
      </c>
      <c r="M14">
        <v>8273</v>
      </c>
      <c r="N14">
        <v>4241</v>
      </c>
      <c r="O14">
        <v>2991</v>
      </c>
      <c r="P14">
        <v>72932</v>
      </c>
      <c r="Q14">
        <v>5119</v>
      </c>
      <c r="R14">
        <v>3251</v>
      </c>
      <c r="S14">
        <v>82776</v>
      </c>
      <c r="T14">
        <v>10130</v>
      </c>
      <c r="U14">
        <v>853</v>
      </c>
    </row>
    <row r="15" spans="1:21" x14ac:dyDescent="0.25">
      <c r="A15" t="s">
        <v>441</v>
      </c>
      <c r="B15" s="1">
        <v>1180000</v>
      </c>
      <c r="C15" s="1">
        <v>585000</v>
      </c>
      <c r="D15" s="1">
        <v>539000</v>
      </c>
      <c r="E15">
        <v>159821</v>
      </c>
      <c r="F15">
        <v>129173</v>
      </c>
      <c r="G15">
        <v>22682</v>
      </c>
      <c r="H15">
        <v>5347</v>
      </c>
      <c r="I15" s="29">
        <v>276911</v>
      </c>
      <c r="J15">
        <v>3636</v>
      </c>
      <c r="K15">
        <v>1681</v>
      </c>
      <c r="L15">
        <v>13168</v>
      </c>
      <c r="M15">
        <v>10636</v>
      </c>
      <c r="N15">
        <v>7837</v>
      </c>
      <c r="O15">
        <v>4914</v>
      </c>
      <c r="P15">
        <v>105862</v>
      </c>
      <c r="Q15">
        <v>7264</v>
      </c>
      <c r="R15">
        <v>2979</v>
      </c>
      <c r="S15">
        <v>117191</v>
      </c>
      <c r="T15">
        <v>15110</v>
      </c>
      <c r="U15">
        <v>1639</v>
      </c>
    </row>
    <row r="16" spans="1:21" x14ac:dyDescent="0.25">
      <c r="A16" t="s">
        <v>442</v>
      </c>
      <c r="B16" s="1">
        <v>755000</v>
      </c>
      <c r="C16">
        <v>297246</v>
      </c>
      <c r="D16">
        <v>281751</v>
      </c>
      <c r="E16">
        <v>94137</v>
      </c>
      <c r="F16">
        <v>62398</v>
      </c>
      <c r="G16">
        <v>9046</v>
      </c>
      <c r="H16">
        <v>2136</v>
      </c>
      <c r="I16" s="29">
        <v>61798</v>
      </c>
      <c r="J16">
        <v>1006</v>
      </c>
      <c r="K16">
        <v>1092</v>
      </c>
      <c r="L16">
        <v>5958</v>
      </c>
      <c r="M16">
        <v>4169</v>
      </c>
      <c r="N16">
        <v>3401</v>
      </c>
      <c r="O16">
        <v>2225</v>
      </c>
      <c r="P16">
        <v>53147</v>
      </c>
      <c r="Q16">
        <v>3491</v>
      </c>
      <c r="R16">
        <v>2317</v>
      </c>
      <c r="S16">
        <v>58663</v>
      </c>
      <c r="T16">
        <v>6867</v>
      </c>
      <c r="U16">
        <v>1066</v>
      </c>
    </row>
    <row r="17" spans="1:24" x14ac:dyDescent="0.25">
      <c r="B17" s="1"/>
      <c r="I17" s="29"/>
      <c r="X17" s="4"/>
    </row>
    <row r="18" spans="1:24" x14ac:dyDescent="0.25">
      <c r="B18" s="1" t="s">
        <v>70</v>
      </c>
      <c r="C18" s="1"/>
      <c r="D18" s="1" t="s">
        <v>324</v>
      </c>
      <c r="E18" t="s">
        <v>325</v>
      </c>
      <c r="F18" s="1" t="s">
        <v>326</v>
      </c>
      <c r="G18" s="1" t="s">
        <v>327</v>
      </c>
      <c r="H18" s="3" t="s">
        <v>328</v>
      </c>
      <c r="I18" s="30" t="s">
        <v>329</v>
      </c>
      <c r="J18" s="3" t="s">
        <v>330</v>
      </c>
      <c r="K18" s="3" t="s">
        <v>331</v>
      </c>
      <c r="M18" s="3" t="s">
        <v>17</v>
      </c>
      <c r="O18" s="3" t="s">
        <v>332</v>
      </c>
      <c r="R18" s="4" t="s">
        <v>333</v>
      </c>
      <c r="U18" s="4" t="s">
        <v>334</v>
      </c>
    </row>
    <row r="19" spans="1:24" x14ac:dyDescent="0.25">
      <c r="B19" s="1"/>
      <c r="X19" s="4"/>
    </row>
    <row r="20" spans="1:24" s="7" customFormat="1" x14ac:dyDescent="0.25">
      <c r="A20" s="7" t="s">
        <v>85</v>
      </c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4" x14ac:dyDescent="0.25">
      <c r="B21" s="1" t="s">
        <v>70</v>
      </c>
      <c r="C21" s="1"/>
      <c r="D21" s="1" t="s">
        <v>324</v>
      </c>
      <c r="E21" t="s">
        <v>325</v>
      </c>
      <c r="F21" s="1" t="s">
        <v>326</v>
      </c>
      <c r="G21" s="1" t="s">
        <v>327</v>
      </c>
      <c r="H21" s="3" t="s">
        <v>328</v>
      </c>
      <c r="I21" s="24" t="s">
        <v>329</v>
      </c>
      <c r="J21" s="3" t="s">
        <v>330</v>
      </c>
      <c r="K21" s="3" t="s">
        <v>331</v>
      </c>
      <c r="M21" s="3" t="s">
        <v>17</v>
      </c>
      <c r="O21" s="3" t="s">
        <v>332</v>
      </c>
      <c r="R21" s="4" t="s">
        <v>333</v>
      </c>
      <c r="U21" s="4" t="s">
        <v>334</v>
      </c>
    </row>
    <row r="22" spans="1:24" x14ac:dyDescent="0.25">
      <c r="A22" s="7">
        <v>1</v>
      </c>
      <c r="F22">
        <f>100*(F3/$E3)</f>
        <v>84.716236964822855</v>
      </c>
      <c r="G22">
        <f t="shared" ref="G22:U35" si="0">100*(G3/$E3)</f>
        <v>18.920199316206144</v>
      </c>
      <c r="H22">
        <f t="shared" si="0"/>
        <v>4.0770780655140726</v>
      </c>
      <c r="J22">
        <f t="shared" si="0"/>
        <v>2.1815193009092519</v>
      </c>
      <c r="K22">
        <f t="shared" si="0"/>
        <v>1.8527503010861934</v>
      </c>
      <c r="L22">
        <f t="shared" si="0"/>
        <v>9.7409231787852679</v>
      </c>
      <c r="M22">
        <f t="shared" si="0"/>
        <v>5.095348717743823</v>
      </c>
      <c r="N22">
        <f t="shared" si="0"/>
        <v>8.0382878897710608</v>
      </c>
      <c r="O22">
        <f t="shared" si="0"/>
        <v>4.8944343289630643</v>
      </c>
      <c r="P22">
        <f t="shared" si="0"/>
        <v>65.318865975262412</v>
      </c>
      <c r="Q22">
        <f t="shared" si="0"/>
        <v>4.3150931226776406</v>
      </c>
      <c r="R22">
        <f t="shared" si="0"/>
        <v>2.1632543564746376</v>
      </c>
      <c r="S22">
        <f t="shared" si="0"/>
        <v>77.11859085953688</v>
      </c>
      <c r="T22">
        <f t="shared" si="0"/>
        <v>9.6530231336936865</v>
      </c>
      <c r="U22">
        <f>100*(U3/$E3)</f>
        <v>1.6170183619769518</v>
      </c>
      <c r="X22" s="4"/>
    </row>
    <row r="23" spans="1:24" x14ac:dyDescent="0.25">
      <c r="A23" s="7">
        <v>2</v>
      </c>
      <c r="F23">
        <f t="shared" ref="F23:P35" si="1">100*(F4/$E4)</f>
        <v>65.873528656511183</v>
      </c>
      <c r="G23">
        <f t="shared" si="1"/>
        <v>17.241122238512961</v>
      </c>
      <c r="H23">
        <f t="shared" si="1"/>
        <v>7.5561409176378973</v>
      </c>
      <c r="J23">
        <f t="shared" si="1"/>
        <v>4.3065530180661513</v>
      </c>
      <c r="K23">
        <f t="shared" si="1"/>
        <v>3.1746228970453019</v>
      </c>
      <c r="L23">
        <f t="shared" si="1"/>
        <v>8.526958408919592</v>
      </c>
      <c r="M23">
        <f t="shared" si="1"/>
        <v>4.7708390281884974</v>
      </c>
      <c r="N23">
        <f t="shared" si="1"/>
        <v>8.0755117086222192</v>
      </c>
      <c r="O23">
        <f t="shared" si="1"/>
        <v>5.3983085244733813</v>
      </c>
      <c r="P23">
        <f t="shared" si="1"/>
        <v>48.329647208899715</v>
      </c>
      <c r="Q23">
        <f t="shared" si="0"/>
        <v>4.3860739047240376</v>
      </c>
      <c r="R23">
        <f t="shared" si="0"/>
        <v>2.0828673906380724</v>
      </c>
      <c r="S23">
        <f t="shared" si="0"/>
        <v>61.609221109482036</v>
      </c>
      <c r="T23">
        <f t="shared" si="0"/>
        <v>10.995005094306801</v>
      </c>
      <c r="U23">
        <f t="shared" si="0"/>
        <v>1.4512561815064238</v>
      </c>
      <c r="X23" s="4"/>
    </row>
    <row r="24" spans="1:24" x14ac:dyDescent="0.25">
      <c r="A24" s="7">
        <v>3</v>
      </c>
      <c r="F24">
        <f t="shared" si="1"/>
        <v>79.850794976894761</v>
      </c>
      <c r="G24">
        <f t="shared" si="1"/>
        <v>22.126856904158942</v>
      </c>
      <c r="H24">
        <f t="shared" si="1"/>
        <v>5.7978487324752628</v>
      </c>
      <c r="J24">
        <f t="shared" si="1"/>
        <v>2.5605043991332272</v>
      </c>
      <c r="K24">
        <f t="shared" si="1"/>
        <v>3.1094170169438424</v>
      </c>
      <c r="L24">
        <f t="shared" si="1"/>
        <v>12.23207059499256</v>
      </c>
      <c r="M24">
        <f t="shared" si="1"/>
        <v>10.316424300968592</v>
      </c>
      <c r="N24">
        <f t="shared" si="1"/>
        <v>8.0659478369840478</v>
      </c>
      <c r="O24">
        <f t="shared" si="1"/>
        <v>5.0002610761559145</v>
      </c>
      <c r="P24">
        <f t="shared" si="1"/>
        <v>57.088870323473358</v>
      </c>
      <c r="Q24">
        <f t="shared" si="0"/>
        <v>3.2804218990679583</v>
      </c>
      <c r="R24">
        <f t="shared" si="0"/>
        <v>1.5011878965094119</v>
      </c>
      <c r="S24">
        <f t="shared" si="0"/>
        <v>73.674385818343211</v>
      </c>
      <c r="T24">
        <f t="shared" si="0"/>
        <v>8.7062371093648014</v>
      </c>
      <c r="U24">
        <f t="shared" si="0"/>
        <v>1.2760097120330001</v>
      </c>
      <c r="X24" s="4"/>
    </row>
    <row r="25" spans="1:24" x14ac:dyDescent="0.25">
      <c r="A25" s="7">
        <v>4</v>
      </c>
      <c r="F25">
        <f t="shared" si="1"/>
        <v>74.331395152064871</v>
      </c>
      <c r="G25">
        <f t="shared" si="1"/>
        <v>14.428056019981994</v>
      </c>
      <c r="H25">
        <f t="shared" si="1"/>
        <v>2.8097987585712061</v>
      </c>
      <c r="J25">
        <f t="shared" si="1"/>
        <v>1.9778925493965465</v>
      </c>
      <c r="K25">
        <f t="shared" si="1"/>
        <v>0.80686102631098</v>
      </c>
      <c r="L25">
        <f t="shared" si="1"/>
        <v>6.033858379644359</v>
      </c>
      <c r="M25">
        <f t="shared" si="1"/>
        <v>4.5534850033506391</v>
      </c>
      <c r="N25">
        <f t="shared" si="1"/>
        <v>4.7917526889726743</v>
      </c>
      <c r="O25">
        <f t="shared" si="1"/>
        <v>2.9228405298748417</v>
      </c>
      <c r="P25">
        <f t="shared" si="1"/>
        <v>58.730953815329002</v>
      </c>
      <c r="Q25">
        <f t="shared" si="0"/>
        <v>4.5852991545558535</v>
      </c>
      <c r="R25">
        <f t="shared" si="0"/>
        <v>2.1389939959250812</v>
      </c>
      <c r="S25">
        <f t="shared" si="0"/>
        <v>69.491582787867301</v>
      </c>
      <c r="T25">
        <f t="shared" si="0"/>
        <v>9.6660867917120754</v>
      </c>
      <c r="U25">
        <f t="shared" si="0"/>
        <v>1.1060494270068297</v>
      </c>
      <c r="X25" s="4"/>
    </row>
    <row r="26" spans="1:24" x14ac:dyDescent="0.25">
      <c r="A26" s="7">
        <v>6</v>
      </c>
      <c r="F26">
        <f t="shared" si="1"/>
        <v>76.001542442727526</v>
      </c>
      <c r="G26">
        <f t="shared" si="1"/>
        <v>16.360578508941057</v>
      </c>
      <c r="H26">
        <f t="shared" si="1"/>
        <v>4.0595977569537682</v>
      </c>
      <c r="J26">
        <f t="shared" si="1"/>
        <v>2.9859275330672777</v>
      </c>
      <c r="K26">
        <f t="shared" si="1"/>
        <v>1.0355737468814317</v>
      </c>
      <c r="L26">
        <f t="shared" si="1"/>
        <v>6.7900001393773541</v>
      </c>
      <c r="M26">
        <f t="shared" si="1"/>
        <v>4.2468280036981456</v>
      </c>
      <c r="N26">
        <f t="shared" si="1"/>
        <v>8.9596409639337864</v>
      </c>
      <c r="O26">
        <f t="shared" si="1"/>
        <v>6.4991660588265363</v>
      </c>
      <c r="P26">
        <f t="shared" si="1"/>
        <v>59.358027903346454</v>
      </c>
      <c r="Q26">
        <f t="shared" si="0"/>
        <v>5.4766008650687832</v>
      </c>
      <c r="R26">
        <f t="shared" si="0"/>
        <v>1.6400068759495081</v>
      </c>
      <c r="S26">
        <f t="shared" si="0"/>
        <v>69.063802307159818</v>
      </c>
      <c r="T26">
        <f t="shared" si="0"/>
        <v>11.111162732353666</v>
      </c>
      <c r="U26">
        <f t="shared" si="0"/>
        <v>1.0309278350515463</v>
      </c>
      <c r="X26" s="4"/>
    </row>
    <row r="27" spans="1:24" x14ac:dyDescent="0.25">
      <c r="A27" s="7">
        <v>7</v>
      </c>
      <c r="F27">
        <f t="shared" si="1"/>
        <v>80.953801207248915</v>
      </c>
      <c r="G27">
        <f t="shared" si="1"/>
        <v>20.571019925368837</v>
      </c>
      <c r="H27">
        <f t="shared" si="1"/>
        <v>4.9025422723529148</v>
      </c>
      <c r="J27">
        <f t="shared" si="1"/>
        <v>2.9835519960955903</v>
      </c>
      <c r="K27">
        <f t="shared" si="1"/>
        <v>1.8640845142026292</v>
      </c>
      <c r="L27">
        <f t="shared" si="1"/>
        <v>13.213308885582492</v>
      </c>
      <c r="M27">
        <f t="shared" si="1"/>
        <v>11.058766111621381</v>
      </c>
      <c r="N27">
        <f t="shared" si="1"/>
        <v>6.5927585400490081</v>
      </c>
      <c r="O27">
        <f t="shared" si="1"/>
        <v>5.1730039891408603</v>
      </c>
      <c r="P27">
        <f t="shared" si="1"/>
        <v>60.081138515036379</v>
      </c>
      <c r="Q27">
        <f t="shared" si="0"/>
        <v>9.476666745749041</v>
      </c>
      <c r="R27">
        <f t="shared" si="0"/>
        <v>6.2406160290932755</v>
      </c>
      <c r="S27">
        <f t="shared" si="0"/>
        <v>75.051431786369136</v>
      </c>
      <c r="T27">
        <f t="shared" si="0"/>
        <v>14.198223357995737</v>
      </c>
      <c r="U27">
        <f t="shared" si="0"/>
        <v>9.5237772452897967E-2</v>
      </c>
      <c r="X27" s="4"/>
    </row>
    <row r="28" spans="1:24" x14ac:dyDescent="0.25">
      <c r="A28" s="7">
        <v>8</v>
      </c>
      <c r="F28">
        <f t="shared" si="1"/>
        <v>57.512420629625851</v>
      </c>
      <c r="G28">
        <f t="shared" si="1"/>
        <v>16.545534459889019</v>
      </c>
      <c r="H28">
        <f t="shared" si="1"/>
        <v>5.2920123382178659</v>
      </c>
      <c r="J28">
        <f t="shared" si="1"/>
        <v>3.8670737546013232</v>
      </c>
      <c r="K28">
        <f t="shared" si="1"/>
        <v>1.391973879396275</v>
      </c>
      <c r="L28">
        <f t="shared" si="1"/>
        <v>8.7446726683358325</v>
      </c>
      <c r="M28">
        <f t="shared" si="1"/>
        <v>7.2114214851384126</v>
      </c>
      <c r="N28">
        <f t="shared" si="1"/>
        <v>6.8864836863957803</v>
      </c>
      <c r="O28">
        <f t="shared" si="1"/>
        <v>4.7814518597587297</v>
      </c>
      <c r="P28">
        <f t="shared" si="1"/>
        <v>40.68904080559458</v>
      </c>
      <c r="Q28">
        <f t="shared" si="0"/>
        <v>3.1210511031402803</v>
      </c>
      <c r="R28">
        <f t="shared" si="0"/>
        <v>1.8562267971650355</v>
      </c>
      <c r="S28">
        <f t="shared" si="0"/>
        <v>51.159258765079386</v>
      </c>
      <c r="T28">
        <f t="shared" si="0"/>
        <v>9.369824737655895</v>
      </c>
      <c r="U28">
        <f t="shared" si="0"/>
        <v>0.94695037242267033</v>
      </c>
      <c r="X28" s="4"/>
    </row>
    <row r="29" spans="1:24" x14ac:dyDescent="0.25">
      <c r="A29" s="7">
        <v>9</v>
      </c>
      <c r="F29">
        <f t="shared" si="1"/>
        <v>75.535516552329796</v>
      </c>
      <c r="G29">
        <f t="shared" si="1"/>
        <v>22.302689355852817</v>
      </c>
      <c r="H29">
        <f t="shared" si="1"/>
        <v>4.0117603635021446</v>
      </c>
      <c r="J29">
        <f t="shared" si="1"/>
        <v>2.5461696088788197</v>
      </c>
      <c r="K29">
        <f t="shared" si="1"/>
        <v>1.4274077562397383</v>
      </c>
      <c r="L29">
        <f t="shared" si="1"/>
        <v>12.357291043541347</v>
      </c>
      <c r="M29">
        <f t="shared" si="1"/>
        <v>7.5634155964820735</v>
      </c>
      <c r="N29">
        <f t="shared" si="1"/>
        <v>6.33774134836895</v>
      </c>
      <c r="O29">
        <f t="shared" si="1"/>
        <v>4.1154908424442205</v>
      </c>
      <c r="P29">
        <f t="shared" si="1"/>
        <v>52.143975359238382</v>
      </c>
      <c r="Q29">
        <f t="shared" si="0"/>
        <v>5.9291832656645758</v>
      </c>
      <c r="R29">
        <f t="shared" si="0"/>
        <v>3.1100052183431126</v>
      </c>
      <c r="S29">
        <f t="shared" si="0"/>
        <v>69.962707938245359</v>
      </c>
      <c r="T29">
        <f t="shared" si="0"/>
        <v>13.614784456974125</v>
      </c>
      <c r="U29">
        <f t="shared" si="0"/>
        <v>1.2937672618971858</v>
      </c>
      <c r="X29" s="4"/>
    </row>
    <row r="30" spans="1:24" x14ac:dyDescent="0.25">
      <c r="A30" s="7">
        <v>10</v>
      </c>
      <c r="F30">
        <f t="shared" si="1"/>
        <v>65.332460925242202</v>
      </c>
      <c r="G30">
        <f t="shared" si="1"/>
        <v>12.096650353525575</v>
      </c>
      <c r="H30">
        <f t="shared" si="1"/>
        <v>2.6092123623787362</v>
      </c>
      <c r="J30">
        <f t="shared" si="1"/>
        <v>1.9028288722567552</v>
      </c>
      <c r="K30">
        <f t="shared" si="1"/>
        <v>0.68768903102612555</v>
      </c>
      <c r="L30">
        <f t="shared" si="1"/>
        <v>3.7442330931985555</v>
      </c>
      <c r="M30">
        <f t="shared" si="1"/>
        <v>2.8682641527070243</v>
      </c>
      <c r="N30">
        <f t="shared" si="1"/>
        <v>5.9087843927972923</v>
      </c>
      <c r="O30">
        <f t="shared" si="1"/>
        <v>3.0431908771039611</v>
      </c>
      <c r="P30">
        <f t="shared" si="1"/>
        <v>52.488032207882384</v>
      </c>
      <c r="Q30">
        <f t="shared" si="0"/>
        <v>3.4464570661717082</v>
      </c>
      <c r="R30">
        <f t="shared" si="0"/>
        <v>2.1698925736261239</v>
      </c>
      <c r="S30">
        <f t="shared" si="0"/>
        <v>59.794895077348322</v>
      </c>
      <c r="T30">
        <f t="shared" si="0"/>
        <v>6.854857554898282</v>
      </c>
      <c r="U30">
        <f t="shared" si="0"/>
        <v>0.6683269126768463</v>
      </c>
      <c r="X30" s="4"/>
    </row>
    <row r="31" spans="1:24" x14ac:dyDescent="0.25">
      <c r="A31" s="7">
        <v>11</v>
      </c>
      <c r="F31">
        <f t="shared" si="1"/>
        <v>58.583143246389213</v>
      </c>
      <c r="G31">
        <f t="shared" si="1"/>
        <v>15.680737450346854</v>
      </c>
      <c r="H31">
        <f t="shared" si="1"/>
        <v>3.4774166270833442</v>
      </c>
      <c r="J31">
        <f t="shared" si="1"/>
        <v>2.169862041246692</v>
      </c>
      <c r="K31">
        <f t="shared" si="1"/>
        <v>1.2657963555504517</v>
      </c>
      <c r="L31">
        <f t="shared" si="1"/>
        <v>9.4796402528460852</v>
      </c>
      <c r="M31">
        <f t="shared" si="1"/>
        <v>7.2810694282776298</v>
      </c>
      <c r="N31">
        <f t="shared" si="1"/>
        <v>5.1195590330881782</v>
      </c>
      <c r="O31">
        <f t="shared" si="1"/>
        <v>4.3261526576503684</v>
      </c>
      <c r="P31">
        <f t="shared" si="1"/>
        <v>42.499960851659111</v>
      </c>
      <c r="Q31">
        <f t="shared" si="0"/>
        <v>3.7592846815151972</v>
      </c>
      <c r="R31">
        <f t="shared" si="0"/>
        <v>1.3550545727872054</v>
      </c>
      <c r="S31">
        <f t="shared" si="0"/>
        <v>54.801413516095188</v>
      </c>
      <c r="T31">
        <f t="shared" si="0"/>
        <v>6.8634871254156256</v>
      </c>
      <c r="U31">
        <f t="shared" si="0"/>
        <v>0.68640091032942019</v>
      </c>
      <c r="X31" s="4"/>
    </row>
    <row r="32" spans="1:24" x14ac:dyDescent="0.25">
      <c r="A32" s="7">
        <v>12</v>
      </c>
      <c r="F32">
        <f t="shared" si="1"/>
        <v>73.513547894669884</v>
      </c>
      <c r="G32">
        <f t="shared" si="1"/>
        <v>9.2494593563159899</v>
      </c>
      <c r="H32">
        <f t="shared" si="1"/>
        <v>2.0798880549548402</v>
      </c>
      <c r="J32">
        <f t="shared" si="1"/>
        <v>0.70728914896323625</v>
      </c>
      <c r="K32">
        <f t="shared" si="1"/>
        <v>1.3280753084849255</v>
      </c>
      <c r="L32">
        <f t="shared" si="1"/>
        <v>4.6240936267650428</v>
      </c>
      <c r="M32">
        <f t="shared" si="1"/>
        <v>2.6447016918967052</v>
      </c>
      <c r="N32">
        <f t="shared" si="1"/>
        <v>2.9843531357333672</v>
      </c>
      <c r="O32">
        <f t="shared" si="1"/>
        <v>1.7147945554000763</v>
      </c>
      <c r="P32">
        <f t="shared" si="1"/>
        <v>63.8163083577153</v>
      </c>
      <c r="Q32">
        <f t="shared" si="0"/>
        <v>4.0809057371835644</v>
      </c>
      <c r="R32">
        <f t="shared" si="0"/>
        <v>2.4246279099351229</v>
      </c>
      <c r="S32">
        <f t="shared" si="0"/>
        <v>68.10711105457321</v>
      </c>
      <c r="T32">
        <f t="shared" si="0"/>
        <v>6.7396005597252255</v>
      </c>
      <c r="U32">
        <f t="shared" si="0"/>
        <v>0.84085994148327181</v>
      </c>
      <c r="X32" s="4"/>
    </row>
    <row r="33" spans="1:24" x14ac:dyDescent="0.25">
      <c r="A33" s="7">
        <v>13</v>
      </c>
      <c r="F33">
        <f t="shared" si="1"/>
        <v>81.11150224412566</v>
      </c>
      <c r="G33">
        <f t="shared" si="1"/>
        <v>16.110182170201533</v>
      </c>
      <c r="H33">
        <f t="shared" si="1"/>
        <v>2.5099005544310482</v>
      </c>
      <c r="J33">
        <f t="shared" si="1"/>
        <v>1.941388717768195</v>
      </c>
      <c r="K33">
        <f t="shared" si="1"/>
        <v>0.55267094957317608</v>
      </c>
      <c r="L33">
        <f t="shared" si="1"/>
        <v>9.8539118190618673</v>
      </c>
      <c r="M33">
        <f t="shared" si="1"/>
        <v>7.280647716272111</v>
      </c>
      <c r="N33">
        <f t="shared" si="1"/>
        <v>3.7322890081844582</v>
      </c>
      <c r="O33">
        <f t="shared" si="1"/>
        <v>2.6322274047346652</v>
      </c>
      <c r="P33">
        <f t="shared" si="1"/>
        <v>64.183754290240259</v>
      </c>
      <c r="Q33">
        <f t="shared" si="0"/>
        <v>4.5049722784475925</v>
      </c>
      <c r="R33">
        <f t="shared" si="0"/>
        <v>2.8610402182522221</v>
      </c>
      <c r="S33">
        <f t="shared" si="0"/>
        <v>72.846959429728059</v>
      </c>
      <c r="T33">
        <f t="shared" si="0"/>
        <v>8.9148992343571241</v>
      </c>
      <c r="U33">
        <f t="shared" si="0"/>
        <v>0.75068203819413892</v>
      </c>
      <c r="X33" s="4"/>
    </row>
    <row r="34" spans="1:24" x14ac:dyDescent="0.25">
      <c r="A34" s="7">
        <v>14</v>
      </c>
      <c r="F34">
        <f t="shared" si="1"/>
        <v>80.82354634247065</v>
      </c>
      <c r="G34">
        <f t="shared" si="1"/>
        <v>14.192127442576382</v>
      </c>
      <c r="H34">
        <f t="shared" si="1"/>
        <v>3.3456179100368537</v>
      </c>
      <c r="J34">
        <f t="shared" si="1"/>
        <v>2.2750452068251357</v>
      </c>
      <c r="K34">
        <f t="shared" si="1"/>
        <v>1.051801703155405</v>
      </c>
      <c r="L34">
        <f t="shared" si="1"/>
        <v>8.2392176247176518</v>
      </c>
      <c r="M34">
        <f t="shared" si="1"/>
        <v>6.6549452199648362</v>
      </c>
      <c r="N34">
        <f t="shared" si="1"/>
        <v>4.9036109147108329</v>
      </c>
      <c r="O34">
        <f t="shared" si="1"/>
        <v>3.0746898092240698</v>
      </c>
      <c r="P34">
        <f t="shared" si="1"/>
        <v>66.237853598713556</v>
      </c>
      <c r="Q34">
        <f t="shared" si="0"/>
        <v>4.5450848136352544</v>
      </c>
      <c r="R34">
        <f t="shared" si="0"/>
        <v>1.863960305591881</v>
      </c>
      <c r="S34">
        <f t="shared" si="0"/>
        <v>73.326408919979229</v>
      </c>
      <c r="T34">
        <f t="shared" si="0"/>
        <v>9.4543270283629806</v>
      </c>
      <c r="U34">
        <f t="shared" si="0"/>
        <v>1.0255223030765668</v>
      </c>
      <c r="X34" s="4"/>
    </row>
    <row r="35" spans="1:24" x14ac:dyDescent="0.25">
      <c r="A35" s="7">
        <v>15</v>
      </c>
      <c r="F35">
        <f t="shared" si="1"/>
        <v>66.284245302059759</v>
      </c>
      <c r="G35">
        <f t="shared" si="1"/>
        <v>9.6093990673167831</v>
      </c>
      <c r="H35">
        <f>100*(H16/$E16)</f>
        <v>2.269033430000956</v>
      </c>
      <c r="J35">
        <f t="shared" si="1"/>
        <v>1.0686552577626225</v>
      </c>
      <c r="K35">
        <f t="shared" si="1"/>
        <v>1.1600114726409383</v>
      </c>
      <c r="L35">
        <f t="shared" si="1"/>
        <v>6.3290735842442398</v>
      </c>
      <c r="M35">
        <f t="shared" si="1"/>
        <v>4.4286518584616044</v>
      </c>
      <c r="N35">
        <f t="shared" si="1"/>
        <v>3.6128196139668778</v>
      </c>
      <c r="O35">
        <f t="shared" si="1"/>
        <v>2.3635764895843292</v>
      </c>
      <c r="P35">
        <f t="shared" si="1"/>
        <v>56.457078513230719</v>
      </c>
      <c r="Q35">
        <f t="shared" si="0"/>
        <v>3.7084249551186033</v>
      </c>
      <c r="R35">
        <f t="shared" si="0"/>
        <v>2.4613063938727602</v>
      </c>
      <c r="S35">
        <f t="shared" si="0"/>
        <v>62.316623644263146</v>
      </c>
      <c r="T35">
        <f t="shared" si="0"/>
        <v>7.2946875298766685</v>
      </c>
      <c r="U35">
        <f>100*(U16/$E16)</f>
        <v>1.132392151863773</v>
      </c>
      <c r="X35" s="4"/>
    </row>
    <row r="36" spans="1:24" x14ac:dyDescent="0.25">
      <c r="X36" s="4"/>
    </row>
    <row r="37" spans="1:24" x14ac:dyDescent="0.25">
      <c r="X37" s="4"/>
    </row>
    <row r="38" spans="1:24" s="8" customFormat="1" x14ac:dyDescent="0.25">
      <c r="A38" s="8" t="s">
        <v>86</v>
      </c>
      <c r="B38" s="9" t="s">
        <v>70</v>
      </c>
      <c r="C38" s="9"/>
      <c r="D38" s="9" t="s">
        <v>324</v>
      </c>
      <c r="E38" s="8" t="s">
        <v>325</v>
      </c>
      <c r="F38" s="9" t="s">
        <v>326</v>
      </c>
      <c r="G38" s="9" t="s">
        <v>327</v>
      </c>
      <c r="H38" s="3" t="s">
        <v>328</v>
      </c>
      <c r="I38" s="24"/>
      <c r="J38" s="3" t="s">
        <v>330</v>
      </c>
      <c r="K38" s="3" t="s">
        <v>331</v>
      </c>
      <c r="M38" s="3" t="s">
        <v>17</v>
      </c>
      <c r="O38" s="3" t="s">
        <v>332</v>
      </c>
      <c r="R38" s="4" t="s">
        <v>333</v>
      </c>
      <c r="U38" s="4" t="s">
        <v>334</v>
      </c>
    </row>
    <row r="39" spans="1:24" x14ac:dyDescent="0.25">
      <c r="A39" s="8">
        <v>1</v>
      </c>
      <c r="G39">
        <f>100*(G3/$F3)</f>
        <v>22.333616310250502</v>
      </c>
      <c r="H39">
        <f t="shared" ref="H39:T39" si="2">100*(H3/$F3)</f>
        <v>4.8126288555604964</v>
      </c>
      <c r="J39">
        <f t="shared" si="2"/>
        <v>2.5750899462343857</v>
      </c>
      <c r="K39">
        <f t="shared" si="2"/>
        <v>2.1870073169745723</v>
      </c>
      <c r="L39">
        <f t="shared" si="2"/>
        <v>11.498295400951342</v>
      </c>
      <c r="M39">
        <f t="shared" si="2"/>
        <v>6.0146069989624174</v>
      </c>
      <c r="N39">
        <f t="shared" si="2"/>
        <v>9.4884855344894969</v>
      </c>
      <c r="O39">
        <f t="shared" si="2"/>
        <v>5.7774453921925328</v>
      </c>
      <c r="P39">
        <f t="shared" si="2"/>
        <v>77.103124873671021</v>
      </c>
      <c r="Q39">
        <f t="shared" si="2"/>
        <v>5.0935845090350487</v>
      </c>
      <c r="R39">
        <f t="shared" si="2"/>
        <v>2.5535298001643962</v>
      </c>
      <c r="S39">
        <f t="shared" si="2"/>
        <v>91.031652989449015</v>
      </c>
      <c r="T39">
        <f t="shared" si="2"/>
        <v>11.394537197989516</v>
      </c>
      <c r="U39">
        <f>100*(U3/$F3)</f>
        <v>1.9087466817587688</v>
      </c>
      <c r="X39" s="4"/>
    </row>
    <row r="40" spans="1:24" x14ac:dyDescent="0.25">
      <c r="A40" s="8">
        <v>2</v>
      </c>
      <c r="G40">
        <f t="shared" ref="G40:U52" si="3">100*(G4/$F4)</f>
        <v>26.173066162000392</v>
      </c>
      <c r="H40">
        <f t="shared" si="3"/>
        <v>11.470678847399229</v>
      </c>
      <c r="J40">
        <f t="shared" si="3"/>
        <v>6.5376079069972146</v>
      </c>
      <c r="K40">
        <f t="shared" si="3"/>
        <v>4.819269533288483</v>
      </c>
      <c r="L40">
        <f t="shared" si="3"/>
        <v>12.944438506372249</v>
      </c>
      <c r="M40">
        <f t="shared" si="3"/>
        <v>7.2424221466340564</v>
      </c>
      <c r="N40">
        <f t="shared" si="3"/>
        <v>12.25911511546756</v>
      </c>
      <c r="O40">
        <f t="shared" si="3"/>
        <v>8.1949587862859872</v>
      </c>
      <c r="P40">
        <f t="shared" si="3"/>
        <v>73.367327050154358</v>
      </c>
      <c r="Q40">
        <f t="shared" si="3"/>
        <v>6.6583254217253804</v>
      </c>
      <c r="R40">
        <f t="shared" si="3"/>
        <v>3.1619186539997108</v>
      </c>
      <c r="S40">
        <f t="shared" si="3"/>
        <v>93.526523272702121</v>
      </c>
      <c r="T40">
        <f t="shared" si="3"/>
        <v>16.691082622336513</v>
      </c>
      <c r="U40">
        <f t="shared" si="3"/>
        <v>2.2030946437890209</v>
      </c>
      <c r="X40" s="4"/>
    </row>
    <row r="41" spans="1:24" x14ac:dyDescent="0.25">
      <c r="A41" s="8">
        <v>3</v>
      </c>
      <c r="G41">
        <f t="shared" si="3"/>
        <v>27.710252490988303</v>
      </c>
      <c r="H41">
        <f t="shared" si="3"/>
        <v>7.2608528620822117</v>
      </c>
      <c r="J41">
        <f t="shared" si="3"/>
        <v>3.2066110298264685</v>
      </c>
      <c r="K41">
        <f t="shared" si="3"/>
        <v>3.8940338888843478</v>
      </c>
      <c r="L41">
        <f t="shared" si="3"/>
        <v>15.318658503690505</v>
      </c>
      <c r="M41">
        <f t="shared" si="3"/>
        <v>12.919626290450461</v>
      </c>
      <c r="N41">
        <f t="shared" si="3"/>
        <v>10.101274307059775</v>
      </c>
      <c r="O41">
        <f t="shared" si="3"/>
        <v>6.2620053784095271</v>
      </c>
      <c r="P41">
        <f t="shared" si="3"/>
        <v>71.49442950441798</v>
      </c>
      <c r="Q41">
        <f t="shared" si="3"/>
        <v>4.1081894050236638</v>
      </c>
      <c r="R41">
        <f t="shared" si="3"/>
        <v>1.8799911722153653</v>
      </c>
      <c r="S41">
        <f t="shared" si="3"/>
        <v>92.265062407533037</v>
      </c>
      <c r="T41">
        <f t="shared" si="3"/>
        <v>10.903131411382939</v>
      </c>
      <c r="U41">
        <f t="shared" si="3"/>
        <v>1.5979924963830605</v>
      </c>
      <c r="X41" s="4"/>
    </row>
    <row r="42" spans="1:24" x14ac:dyDescent="0.25">
      <c r="A42" s="8">
        <v>4</v>
      </c>
      <c r="G42">
        <f t="shared" si="3"/>
        <v>19.410446945688996</v>
      </c>
      <c r="H42">
        <f t="shared" si="3"/>
        <v>3.7800968928714531</v>
      </c>
      <c r="J42">
        <f t="shared" si="3"/>
        <v>2.6609113758059229</v>
      </c>
      <c r="K42">
        <f t="shared" si="3"/>
        <v>1.0854915674061123</v>
      </c>
      <c r="L42">
        <f t="shared" si="3"/>
        <v>8.1175099260554404</v>
      </c>
      <c r="M42">
        <f t="shared" si="3"/>
        <v>6.1259243069974136</v>
      </c>
      <c r="N42">
        <f t="shared" si="3"/>
        <v>6.4464721524059296</v>
      </c>
      <c r="O42">
        <f t="shared" si="3"/>
        <v>3.93217498998288</v>
      </c>
      <c r="P42">
        <f t="shared" si="3"/>
        <v>79.012311951335008</v>
      </c>
      <c r="Q42">
        <f t="shared" si="3"/>
        <v>6.1687247295377556</v>
      </c>
      <c r="R42">
        <f t="shared" si="3"/>
        <v>2.8776454303719086</v>
      </c>
      <c r="S42">
        <f t="shared" si="3"/>
        <v>93.488871890139507</v>
      </c>
      <c r="T42">
        <f t="shared" si="3"/>
        <v>13.004043273959129</v>
      </c>
      <c r="U42">
        <f t="shared" si="3"/>
        <v>1.4879976687429426</v>
      </c>
      <c r="X42" s="4"/>
    </row>
    <row r="43" spans="1:24" x14ac:dyDescent="0.25">
      <c r="A43" s="8">
        <v>6</v>
      </c>
      <c r="G43">
        <f t="shared" si="3"/>
        <v>21.526640095850553</v>
      </c>
      <c r="H43">
        <f t="shared" si="3"/>
        <v>5.3414675893097296</v>
      </c>
      <c r="J43">
        <f t="shared" si="3"/>
        <v>3.9287722815854464</v>
      </c>
      <c r="K43">
        <f t="shared" si="3"/>
        <v>1.3625693816172335</v>
      </c>
      <c r="L43">
        <f t="shared" si="3"/>
        <v>8.9340293909088686</v>
      </c>
      <c r="M43">
        <f t="shared" si="3"/>
        <v>5.5878181773724238</v>
      </c>
      <c r="N43">
        <f t="shared" si="3"/>
        <v>11.788762011883511</v>
      </c>
      <c r="O43">
        <f t="shared" si="3"/>
        <v>8.5513607355062717</v>
      </c>
      <c r="P43">
        <f t="shared" si="3"/>
        <v>78.101083209037341</v>
      </c>
      <c r="Q43">
        <f t="shared" si="3"/>
        <v>7.2059075237792509</v>
      </c>
      <c r="R43">
        <f t="shared" si="3"/>
        <v>2.1578599897302984</v>
      </c>
      <c r="S43">
        <f t="shared" si="3"/>
        <v>90.871579822480868</v>
      </c>
      <c r="T43">
        <f t="shared" si="3"/>
        <v>14.619654253368216</v>
      </c>
      <c r="U43">
        <f t="shared" si="3"/>
        <v>1.3564564637993006</v>
      </c>
      <c r="X43" s="4"/>
    </row>
    <row r="44" spans="1:24" x14ac:dyDescent="0.25">
      <c r="A44" s="8">
        <v>7</v>
      </c>
      <c r="G44">
        <f t="shared" si="3"/>
        <v>25.410814092231686</v>
      </c>
      <c r="H44">
        <f t="shared" si="3"/>
        <v>6.0559753825542693</v>
      </c>
      <c r="J44">
        <f t="shared" si="3"/>
        <v>3.6854995708693559</v>
      </c>
      <c r="K44">
        <f t="shared" si="3"/>
        <v>2.3026522367126501</v>
      </c>
      <c r="L44">
        <f t="shared" si="3"/>
        <v>16.322036381905338</v>
      </c>
      <c r="M44">
        <f t="shared" si="3"/>
        <v>13.660589060308556</v>
      </c>
      <c r="N44">
        <f t="shared" si="3"/>
        <v>8.1438529651880849</v>
      </c>
      <c r="O44">
        <f t="shared" si="3"/>
        <v>6.390069288899122</v>
      </c>
      <c r="P44">
        <f t="shared" si="3"/>
        <v>74.216574909463901</v>
      </c>
      <c r="Q44">
        <f t="shared" si="3"/>
        <v>11.706265307404074</v>
      </c>
      <c r="R44">
        <f t="shared" si="3"/>
        <v>7.708861024470913</v>
      </c>
      <c r="S44">
        <f t="shared" si="3"/>
        <v>92.708965690481676</v>
      </c>
      <c r="T44">
        <f t="shared" si="3"/>
        <v>17.538674090975697</v>
      </c>
      <c r="U44">
        <f t="shared" si="3"/>
        <v>0.11764459609386448</v>
      </c>
      <c r="X44" s="4"/>
    </row>
    <row r="45" spans="1:24" x14ac:dyDescent="0.25">
      <c r="A45" s="8">
        <v>8</v>
      </c>
      <c r="G45">
        <f t="shared" si="3"/>
        <v>28.768628200229269</v>
      </c>
      <c r="H45">
        <f t="shared" si="3"/>
        <v>9.2015120912713577</v>
      </c>
      <c r="J45">
        <f t="shared" si="3"/>
        <v>6.7238932256127519</v>
      </c>
      <c r="K45">
        <f t="shared" si="3"/>
        <v>2.4203013264916207</v>
      </c>
      <c r="L45">
        <f t="shared" si="3"/>
        <v>15.204841967356298</v>
      </c>
      <c r="M45">
        <f t="shared" si="3"/>
        <v>12.538894044434739</v>
      </c>
      <c r="N45">
        <f t="shared" si="3"/>
        <v>11.973906872645887</v>
      </c>
      <c r="O45">
        <f t="shared" si="3"/>
        <v>8.313772585839839</v>
      </c>
      <c r="P45">
        <f t="shared" si="3"/>
        <v>70.748266826791848</v>
      </c>
      <c r="Q45">
        <f t="shared" si="3"/>
        <v>5.426742726131339</v>
      </c>
      <c r="R45">
        <f t="shared" si="3"/>
        <v>3.2275233364266609</v>
      </c>
      <c r="S45">
        <f t="shared" si="3"/>
        <v>88.953409028877118</v>
      </c>
      <c r="T45">
        <f t="shared" si="3"/>
        <v>16.291828156558765</v>
      </c>
      <c r="U45">
        <f t="shared" si="3"/>
        <v>1.6465145477373218</v>
      </c>
      <c r="X45" s="4"/>
    </row>
    <row r="46" spans="1:24" x14ac:dyDescent="0.25">
      <c r="A46" s="8">
        <v>9</v>
      </c>
      <c r="G46">
        <f t="shared" si="3"/>
        <v>29.526096297232403</v>
      </c>
      <c r="H46">
        <f t="shared" si="3"/>
        <v>5.3110914528834412</v>
      </c>
      <c r="J46">
        <f t="shared" si="3"/>
        <v>3.3708243818189478</v>
      </c>
      <c r="K46">
        <f t="shared" si="3"/>
        <v>1.8897173427692826</v>
      </c>
      <c r="L46">
        <f t="shared" si="3"/>
        <v>16.359577067273261</v>
      </c>
      <c r="M46">
        <f t="shared" si="3"/>
        <v>10.013058679809596</v>
      </c>
      <c r="N46">
        <f t="shared" si="3"/>
        <v>8.3904124015333412</v>
      </c>
      <c r="O46">
        <f t="shared" si="3"/>
        <v>5.4484182147520963</v>
      </c>
      <c r="P46">
        <f t="shared" si="3"/>
        <v>69.032393950882508</v>
      </c>
      <c r="Q46">
        <f t="shared" si="3"/>
        <v>7.8495303087745913</v>
      </c>
      <c r="R46">
        <f t="shared" si="3"/>
        <v>4.1172753696448883</v>
      </c>
      <c r="S46">
        <f t="shared" si="3"/>
        <v>92.622267155314049</v>
      </c>
      <c r="T46">
        <f t="shared" si="3"/>
        <v>18.024348119128859</v>
      </c>
      <c r="U46">
        <f t="shared" si="3"/>
        <v>1.7127932937360462</v>
      </c>
      <c r="X46" s="4"/>
    </row>
    <row r="47" spans="1:24" x14ac:dyDescent="0.25">
      <c r="A47" s="8">
        <v>10</v>
      </c>
      <c r="G47">
        <f t="shared" si="3"/>
        <v>18.515528394632767</v>
      </c>
      <c r="H47">
        <f t="shared" si="3"/>
        <v>3.993745720621749</v>
      </c>
      <c r="J47">
        <f t="shared" si="3"/>
        <v>2.9125320634012244</v>
      </c>
      <c r="K47">
        <f t="shared" si="3"/>
        <v>1.0525993071239512</v>
      </c>
      <c r="L47">
        <f t="shared" si="3"/>
        <v>5.7310455479137072</v>
      </c>
      <c r="M47">
        <f t="shared" si="3"/>
        <v>4.3902588576742669</v>
      </c>
      <c r="N47">
        <f t="shared" si="3"/>
        <v>9.04417851266696</v>
      </c>
      <c r="O47">
        <f t="shared" si="3"/>
        <v>4.6580074192922041</v>
      </c>
      <c r="P47">
        <f t="shared" si="3"/>
        <v>80.33989760150429</v>
      </c>
      <c r="Q47">
        <f t="shared" si="3"/>
        <v>5.2752598285182879</v>
      </c>
      <c r="R47">
        <f t="shared" si="3"/>
        <v>3.3213084933522734</v>
      </c>
      <c r="S47">
        <f t="shared" si="3"/>
        <v>91.524020724964998</v>
      </c>
      <c r="T47">
        <f t="shared" si="3"/>
        <v>10.492269015768549</v>
      </c>
      <c r="U47">
        <f t="shared" si="3"/>
        <v>1.0229630159525003</v>
      </c>
      <c r="X47" s="4"/>
    </row>
    <row r="48" spans="1:24" x14ac:dyDescent="0.25">
      <c r="A48" s="8">
        <v>11</v>
      </c>
      <c r="G48">
        <f t="shared" si="3"/>
        <v>26.766637263549935</v>
      </c>
      <c r="H48">
        <f t="shared" si="3"/>
        <v>5.9358655653862948</v>
      </c>
      <c r="J48">
        <f t="shared" si="3"/>
        <v>3.7039017044897671</v>
      </c>
      <c r="K48">
        <f t="shared" si="3"/>
        <v>2.1606835779138045</v>
      </c>
      <c r="L48">
        <f t="shared" si="3"/>
        <v>16.181515240615504</v>
      </c>
      <c r="M48">
        <f t="shared" si="3"/>
        <v>12.428608341575115</v>
      </c>
      <c r="N48">
        <f t="shared" si="3"/>
        <v>8.7389626936818932</v>
      </c>
      <c r="O48">
        <f t="shared" si="3"/>
        <v>7.3846373170101485</v>
      </c>
      <c r="P48">
        <f t="shared" si="3"/>
        <v>72.546399009204066</v>
      </c>
      <c r="Q48">
        <f t="shared" si="3"/>
        <v>6.4170074755196778</v>
      </c>
      <c r="R48">
        <f t="shared" si="3"/>
        <v>2.3130451827893759</v>
      </c>
      <c r="S48">
        <f t="shared" si="3"/>
        <v>93.544679372377104</v>
      </c>
      <c r="T48">
        <f t="shared" si="3"/>
        <v>11.715805511747881</v>
      </c>
      <c r="U48">
        <f t="shared" si="3"/>
        <v>1.1716696515285165</v>
      </c>
      <c r="X48" s="4"/>
    </row>
    <row r="49" spans="1:24" x14ac:dyDescent="0.25">
      <c r="A49" s="8">
        <v>12</v>
      </c>
      <c r="G49">
        <f t="shared" si="3"/>
        <v>12.581979269411134</v>
      </c>
      <c r="H49">
        <f t="shared" si="3"/>
        <v>2.8292581633182783</v>
      </c>
      <c r="J49">
        <f t="shared" si="3"/>
        <v>0.96212081884095602</v>
      </c>
      <c r="K49">
        <f t="shared" si="3"/>
        <v>1.8065721850179099</v>
      </c>
      <c r="L49">
        <f t="shared" si="3"/>
        <v>6.2901244181418612</v>
      </c>
      <c r="M49">
        <f t="shared" si="3"/>
        <v>3.5975704718891137</v>
      </c>
      <c r="N49">
        <f t="shared" si="3"/>
        <v>4.0595961169080619</v>
      </c>
      <c r="O49">
        <f t="shared" si="3"/>
        <v>2.3326238557510948</v>
      </c>
      <c r="P49">
        <f t="shared" si="3"/>
        <v>86.808908269739916</v>
      </c>
      <c r="Q49">
        <f t="shared" si="3"/>
        <v>5.5512294727370257</v>
      </c>
      <c r="R49">
        <f t="shared" si="3"/>
        <v>3.2982055408468742</v>
      </c>
      <c r="S49">
        <f t="shared" si="3"/>
        <v>92.645659208499893</v>
      </c>
      <c r="T49">
        <f t="shared" si="3"/>
        <v>9.1678347090276695</v>
      </c>
      <c r="U49">
        <f t="shared" si="3"/>
        <v>1.1438162972191939</v>
      </c>
      <c r="X49" s="4"/>
    </row>
    <row r="50" spans="1:24" x14ac:dyDescent="0.25">
      <c r="A50" s="8">
        <v>13</v>
      </c>
      <c r="G50">
        <f t="shared" si="3"/>
        <v>19.861772651816811</v>
      </c>
      <c r="H50">
        <f t="shared" si="3"/>
        <v>3.0943830221228859</v>
      </c>
      <c r="J50">
        <f t="shared" si="3"/>
        <v>2.3934813978972951</v>
      </c>
      <c r="K50">
        <f t="shared" si="3"/>
        <v>0.68137185760630159</v>
      </c>
      <c r="L50">
        <f t="shared" si="3"/>
        <v>12.1485998242321</v>
      </c>
      <c r="M50">
        <f t="shared" si="3"/>
        <v>8.9760977356320595</v>
      </c>
      <c r="N50">
        <f t="shared" si="3"/>
        <v>4.6014300129113455</v>
      </c>
      <c r="O50">
        <f t="shared" si="3"/>
        <v>3.2451962199051723</v>
      </c>
      <c r="P50">
        <f t="shared" si="3"/>
        <v>79.130274393221001</v>
      </c>
      <c r="Q50">
        <f t="shared" si="3"/>
        <v>5.5540486291188822</v>
      </c>
      <c r="R50">
        <f t="shared" si="3"/>
        <v>3.5272928488504567</v>
      </c>
      <c r="S50">
        <f t="shared" si="3"/>
        <v>89.810886759903212</v>
      </c>
      <c r="T50">
        <f t="shared" si="3"/>
        <v>10.99091865852203</v>
      </c>
      <c r="U50">
        <f t="shared" si="3"/>
        <v>0.92549394034741295</v>
      </c>
      <c r="X50" s="4"/>
    </row>
    <row r="51" spans="1:24" x14ac:dyDescent="0.25">
      <c r="A51" s="8">
        <v>14</v>
      </c>
      <c r="G51">
        <f t="shared" si="3"/>
        <v>17.559397087626671</v>
      </c>
      <c r="H51">
        <f t="shared" si="3"/>
        <v>4.1394099386094618</v>
      </c>
      <c r="J51">
        <f t="shared" si="3"/>
        <v>2.8148297244780256</v>
      </c>
      <c r="K51">
        <f t="shared" si="3"/>
        <v>1.3013555464377231</v>
      </c>
      <c r="L51">
        <f t="shared" si="3"/>
        <v>10.194080806360462</v>
      </c>
      <c r="M51">
        <f t="shared" si="3"/>
        <v>8.2339188530110778</v>
      </c>
      <c r="N51">
        <f t="shared" si="3"/>
        <v>6.0670573571876476</v>
      </c>
      <c r="O51">
        <f t="shared" si="3"/>
        <v>3.8042005682302031</v>
      </c>
      <c r="P51">
        <f t="shared" si="3"/>
        <v>81.953659046395146</v>
      </c>
      <c r="Q51">
        <f t="shared" si="3"/>
        <v>5.6234662042377277</v>
      </c>
      <c r="R51">
        <f t="shared" si="3"/>
        <v>2.306209501985709</v>
      </c>
      <c r="S51">
        <f t="shared" si="3"/>
        <v>90.724067723131</v>
      </c>
      <c r="T51">
        <f t="shared" si="3"/>
        <v>11.697490961733489</v>
      </c>
      <c r="U51">
        <f t="shared" si="3"/>
        <v>1.2688410116665247</v>
      </c>
      <c r="X51" s="4"/>
    </row>
    <row r="52" spans="1:24" x14ac:dyDescent="0.25">
      <c r="A52" s="8">
        <v>15</v>
      </c>
      <c r="G52">
        <f>100*(G16/$F16)</f>
        <v>14.497259527548959</v>
      </c>
      <c r="H52">
        <f t="shared" si="3"/>
        <v>3.4231866405974554</v>
      </c>
      <c r="J52">
        <f t="shared" si="3"/>
        <v>1.6122311612551683</v>
      </c>
      <c r="K52">
        <f t="shared" si="3"/>
        <v>1.7500560915413954</v>
      </c>
      <c r="L52">
        <f t="shared" si="3"/>
        <v>9.5483829609923401</v>
      </c>
      <c r="M52">
        <f t="shared" si="3"/>
        <v>6.681303887945127</v>
      </c>
      <c r="N52">
        <f t="shared" si="3"/>
        <v>5.4504952081797491</v>
      </c>
      <c r="O52">
        <f t="shared" si="3"/>
        <v>3.5658194172890156</v>
      </c>
      <c r="P52">
        <f t="shared" si="3"/>
        <v>85.17420430141992</v>
      </c>
      <c r="Q52">
        <f t="shared" si="3"/>
        <v>5.5947306003397541</v>
      </c>
      <c r="R52">
        <f t="shared" si="3"/>
        <v>3.7132600403859102</v>
      </c>
      <c r="S52">
        <f t="shared" si="3"/>
        <v>94.014231225359794</v>
      </c>
      <c r="T52">
        <f t="shared" si="3"/>
        <v>11.005160421808391</v>
      </c>
      <c r="U52">
        <f t="shared" si="3"/>
        <v>1.7083880893618386</v>
      </c>
      <c r="X52" s="4"/>
    </row>
    <row r="53" spans="1:24" s="10" customFormat="1" x14ac:dyDescent="0.25"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1:24" s="10" customFormat="1" x14ac:dyDescent="0.25">
      <c r="A54" s="10" t="s">
        <v>87</v>
      </c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1:24" s="10" customFormat="1" ht="27" customHeight="1" x14ac:dyDescent="0.25">
      <c r="A55" s="10" t="s">
        <v>87</v>
      </c>
      <c r="B55" s="22" t="s">
        <v>70</v>
      </c>
      <c r="C55" s="22" t="s">
        <v>335</v>
      </c>
      <c r="D55" s="22" t="s">
        <v>89</v>
      </c>
      <c r="E55" s="21" t="s">
        <v>336</v>
      </c>
      <c r="F55" s="22" t="s">
        <v>326</v>
      </c>
      <c r="G55" s="22" t="s">
        <v>327</v>
      </c>
      <c r="H55" s="17" t="s">
        <v>328</v>
      </c>
      <c r="I55" s="25"/>
      <c r="J55" s="17" t="s">
        <v>330</v>
      </c>
      <c r="K55" s="17" t="s">
        <v>331</v>
      </c>
      <c r="L55" s="21"/>
      <c r="M55" s="17" t="s">
        <v>17</v>
      </c>
      <c r="N55" s="21"/>
      <c r="O55" s="17" t="s">
        <v>332</v>
      </c>
      <c r="P55" s="21"/>
      <c r="Q55" s="21"/>
      <c r="R55" s="18" t="s">
        <v>333</v>
      </c>
      <c r="S55" s="21"/>
      <c r="U55" s="18" t="s">
        <v>334</v>
      </c>
      <c r="V55" s="21"/>
      <c r="W55" s="21"/>
    </row>
    <row r="56" spans="1:24" s="6" customFormat="1" ht="20.100000000000001" customHeight="1" x14ac:dyDescent="0.25">
      <c r="A56" s="10">
        <v>1</v>
      </c>
      <c r="B56" s="1">
        <v>912000</v>
      </c>
      <c r="C56">
        <v>175199</v>
      </c>
      <c r="D56" s="6">
        <v>1985000</v>
      </c>
      <c r="E56" s="6">
        <f>(C56/B56)*D56</f>
        <v>381326.77083333331</v>
      </c>
      <c r="H56" s="6">
        <f t="shared" ref="H56" si="4">H22*$E56</f>
        <v>1554699.0131578946</v>
      </c>
      <c r="J56" s="6">
        <f t="shared" ref="J56:K56" si="5">J22*$E56</f>
        <v>831871.71052631584</v>
      </c>
      <c r="K56" s="6">
        <f t="shared" si="5"/>
        <v>706503.28947368416</v>
      </c>
      <c r="M56" s="6">
        <f t="shared" ref="M56:M69" si="6">M22*$E56</f>
        <v>1942992.8728070175</v>
      </c>
      <c r="O56" s="6">
        <f t="shared" ref="O56" si="7">O22*$E56</f>
        <v>1866378.837719298</v>
      </c>
      <c r="R56" s="6">
        <f t="shared" ref="R56:U69" si="8">R22*$E56</f>
        <v>824906.79824561405</v>
      </c>
      <c r="U56" s="6">
        <f t="shared" si="8"/>
        <v>616612.39035087707</v>
      </c>
    </row>
    <row r="57" spans="1:24" s="6" customFormat="1" x14ac:dyDescent="0.25">
      <c r="A57" s="10">
        <v>2</v>
      </c>
      <c r="B57" s="1">
        <v>1500000</v>
      </c>
      <c r="C57">
        <v>241446</v>
      </c>
      <c r="D57" s="6">
        <v>2290000</v>
      </c>
      <c r="E57" s="6">
        <f t="shared" ref="E57:E69" si="9">(C57/B57)*D57</f>
        <v>368607.56</v>
      </c>
      <c r="H57" s="6">
        <f t="shared" ref="H57" si="10">H23*$E57</f>
        <v>2785250.666666666</v>
      </c>
      <c r="J57" s="6">
        <f t="shared" ref="J57:K57" si="11">J23*$E57</f>
        <v>1587428</v>
      </c>
      <c r="K57" s="6">
        <f t="shared" si="11"/>
        <v>1170190</v>
      </c>
      <c r="M57" s="6">
        <f t="shared" si="6"/>
        <v>1758567.3333333333</v>
      </c>
      <c r="O57" s="6">
        <f t="shared" ref="O57" si="12">O23*$E57</f>
        <v>1989857.3333333333</v>
      </c>
      <c r="R57" s="6">
        <f t="shared" si="8"/>
        <v>767760.66666666674</v>
      </c>
      <c r="U57" s="6">
        <f t="shared" si="8"/>
        <v>534944</v>
      </c>
    </row>
    <row r="58" spans="1:24" s="6" customFormat="1" x14ac:dyDescent="0.25">
      <c r="A58" s="10">
        <v>3</v>
      </c>
      <c r="B58" s="1">
        <v>1500000</v>
      </c>
      <c r="C58">
        <v>153212</v>
      </c>
      <c r="D58" s="6">
        <v>695000</v>
      </c>
      <c r="E58" s="6">
        <f t="shared" si="9"/>
        <v>70988.226666666669</v>
      </c>
      <c r="H58" s="6">
        <f t="shared" ref="H58" si="13">H24*$E58</f>
        <v>411579</v>
      </c>
      <c r="J58" s="6">
        <f t="shared" ref="J58:K58" si="14">J24*$E58</f>
        <v>181765.66666666669</v>
      </c>
      <c r="K58" s="6">
        <f t="shared" si="14"/>
        <v>220732</v>
      </c>
      <c r="M58" s="6">
        <f t="shared" si="6"/>
        <v>732344.66666666663</v>
      </c>
      <c r="O58" s="6">
        <f t="shared" ref="O58" si="15">O24*$E58</f>
        <v>354959.66666666669</v>
      </c>
      <c r="R58" s="6">
        <f t="shared" si="8"/>
        <v>106566.66666666667</v>
      </c>
      <c r="U58" s="6">
        <f t="shared" si="8"/>
        <v>90581.666666666672</v>
      </c>
    </row>
    <row r="59" spans="1:24" s="6" customFormat="1" x14ac:dyDescent="0.25">
      <c r="A59" s="10">
        <v>4</v>
      </c>
      <c r="B59" s="1">
        <v>1190000</v>
      </c>
      <c r="C59">
        <v>147733</v>
      </c>
      <c r="D59" s="6">
        <v>1190000</v>
      </c>
      <c r="E59" s="6">
        <f t="shared" si="9"/>
        <v>147733</v>
      </c>
      <c r="H59" s="6">
        <f t="shared" ref="H59" si="16">H25*$E59</f>
        <v>415100</v>
      </c>
      <c r="J59" s="6">
        <f t="shared" ref="J59:K59" si="17">J25*$E59</f>
        <v>292200</v>
      </c>
      <c r="K59" s="6">
        <f t="shared" si="17"/>
        <v>119200.00000000001</v>
      </c>
      <c r="M59" s="6">
        <f t="shared" si="6"/>
        <v>672700</v>
      </c>
      <c r="O59" s="6">
        <f t="shared" ref="O59" si="18">O25*$E59</f>
        <v>431800</v>
      </c>
      <c r="R59" s="6">
        <f t="shared" si="8"/>
        <v>316000</v>
      </c>
      <c r="U59" s="6">
        <f t="shared" si="8"/>
        <v>163399.99999999997</v>
      </c>
    </row>
    <row r="60" spans="1:24" s="6" customFormat="1" x14ac:dyDescent="0.25">
      <c r="A60" s="10">
        <v>6</v>
      </c>
      <c r="B60" s="1">
        <v>1500000</v>
      </c>
      <c r="C60">
        <v>215243</v>
      </c>
      <c r="D60" s="6">
        <v>1165000</v>
      </c>
      <c r="E60" s="6">
        <f t="shared" si="9"/>
        <v>167172.06333333332</v>
      </c>
      <c r="H60" s="6">
        <f t="shared" ref="H60" si="19">H26*$E60</f>
        <v>678651.33333333326</v>
      </c>
      <c r="J60" s="6">
        <f t="shared" ref="J60:K60" si="20">J26*$E60</f>
        <v>499163.66666666669</v>
      </c>
      <c r="K60" s="6">
        <f t="shared" si="20"/>
        <v>173119</v>
      </c>
      <c r="M60" s="6">
        <f t="shared" si="6"/>
        <v>709950.99999999988</v>
      </c>
      <c r="O60" s="6">
        <f t="shared" ref="O60" si="21">O26*$E60</f>
        <v>1086479</v>
      </c>
      <c r="R60" s="6">
        <f t="shared" si="8"/>
        <v>274163.33333333331</v>
      </c>
      <c r="U60" s="6">
        <f t="shared" si="8"/>
        <v>172342.33333333331</v>
      </c>
    </row>
    <row r="61" spans="1:24" s="6" customFormat="1" x14ac:dyDescent="0.25">
      <c r="A61" s="10">
        <v>7</v>
      </c>
      <c r="B61" s="1">
        <v>1500000</v>
      </c>
      <c r="C61">
        <v>295051</v>
      </c>
      <c r="D61" s="6">
        <v>1920000</v>
      </c>
      <c r="E61" s="6">
        <f t="shared" si="9"/>
        <v>377665.27999999997</v>
      </c>
      <c r="H61" s="6">
        <f t="shared" ref="H61" si="22">H27*$E61</f>
        <v>1851519.9999999998</v>
      </c>
      <c r="J61" s="6">
        <f t="shared" ref="J61:K61" si="23">J27*$E61</f>
        <v>1126784</v>
      </c>
      <c r="K61" s="6">
        <f t="shared" si="23"/>
        <v>703999.99999999988</v>
      </c>
      <c r="M61" s="6">
        <f t="shared" si="6"/>
        <v>4176511.9999999995</v>
      </c>
      <c r="O61" s="6">
        <f t="shared" ref="O61" si="24">O27*$E61</f>
        <v>1953663.9999999998</v>
      </c>
      <c r="R61" s="6">
        <f t="shared" si="8"/>
        <v>2356864</v>
      </c>
      <c r="U61" s="6">
        <f t="shared" si="8"/>
        <v>35967.999999999993</v>
      </c>
    </row>
    <row r="62" spans="1:24" s="6" customFormat="1" x14ac:dyDescent="0.25">
      <c r="A62" s="10">
        <v>8</v>
      </c>
      <c r="B62" s="1">
        <v>1270000</v>
      </c>
      <c r="C62">
        <v>254818</v>
      </c>
      <c r="D62" s="6">
        <v>1060000</v>
      </c>
      <c r="E62" s="6">
        <f t="shared" si="9"/>
        <v>212682.74015748032</v>
      </c>
      <c r="H62" s="6">
        <f t="shared" ref="H62" si="25">H28*$E62</f>
        <v>1125519.6850393703</v>
      </c>
      <c r="J62" s="6">
        <f t="shared" ref="J62:K62" si="26">J28*$E62</f>
        <v>822459.84251968504</v>
      </c>
      <c r="K62" s="6">
        <f t="shared" si="26"/>
        <v>296048.81889763783</v>
      </c>
      <c r="M62" s="6">
        <f t="shared" si="6"/>
        <v>1533744.8818897638</v>
      </c>
      <c r="O62" s="6">
        <f t="shared" ref="O62" si="27">O28*$E62</f>
        <v>1016932.2834645669</v>
      </c>
      <c r="R62" s="6">
        <f t="shared" si="8"/>
        <v>394787.40157480317</v>
      </c>
      <c r="U62" s="6">
        <f t="shared" si="8"/>
        <v>201400</v>
      </c>
    </row>
    <row r="63" spans="1:24" s="6" customFormat="1" x14ac:dyDescent="0.25">
      <c r="A63" s="10">
        <v>9</v>
      </c>
      <c r="B63" s="1">
        <v>1190000</v>
      </c>
      <c r="C63">
        <v>157138</v>
      </c>
      <c r="D63" s="6">
        <v>1175000</v>
      </c>
      <c r="E63" s="6">
        <f t="shared" si="9"/>
        <v>155157.26890756303</v>
      </c>
      <c r="H63" s="6">
        <f t="shared" ref="H63" si="28">H29*$E63</f>
        <v>622453.78151260503</v>
      </c>
      <c r="J63" s="6">
        <f t="shared" ref="J63:K63" si="29">J29*$E63</f>
        <v>395056.72268907563</v>
      </c>
      <c r="K63" s="6">
        <f t="shared" si="29"/>
        <v>221472.68907563025</v>
      </c>
      <c r="M63" s="6">
        <f t="shared" si="6"/>
        <v>1173518.9075630254</v>
      </c>
      <c r="O63" s="6">
        <f t="shared" ref="O63" si="30">O29*$E63</f>
        <v>638548.31932773103</v>
      </c>
      <c r="R63" s="6">
        <f t="shared" si="8"/>
        <v>482539.91596638662</v>
      </c>
      <c r="U63" s="6">
        <f t="shared" si="8"/>
        <v>200737.3949579832</v>
      </c>
    </row>
    <row r="64" spans="1:24" s="6" customFormat="1" x14ac:dyDescent="0.25">
      <c r="A64" s="10">
        <v>10</v>
      </c>
      <c r="B64" s="1">
        <v>1020000</v>
      </c>
      <c r="C64">
        <v>149777</v>
      </c>
      <c r="D64" s="6">
        <v>1050000</v>
      </c>
      <c r="E64" s="6">
        <f t="shared" si="9"/>
        <v>154182.20588235295</v>
      </c>
      <c r="H64" s="6">
        <f t="shared" ref="H64" si="31">H30*$E64</f>
        <v>402294.1176470588</v>
      </c>
      <c r="J64" s="6">
        <f t="shared" ref="J64:K64" si="32">J30*$E64</f>
        <v>293382.3529411765</v>
      </c>
      <c r="K64" s="6">
        <f t="shared" si="32"/>
        <v>106029.4117647059</v>
      </c>
      <c r="M64" s="6">
        <f t="shared" si="6"/>
        <v>442235.29411764705</v>
      </c>
      <c r="O64" s="6">
        <f t="shared" ref="O64" si="33">O30*$E64</f>
        <v>469205.8823529412</v>
      </c>
      <c r="R64" s="6">
        <f t="shared" si="8"/>
        <v>334558.82352941175</v>
      </c>
      <c r="U64" s="6">
        <f t="shared" si="8"/>
        <v>103044.11764705884</v>
      </c>
    </row>
    <row r="65" spans="1:21" s="6" customFormat="1" x14ac:dyDescent="0.25">
      <c r="A65" s="10">
        <v>11</v>
      </c>
      <c r="B65" s="1">
        <v>1460000</v>
      </c>
      <c r="C65">
        <v>191579</v>
      </c>
      <c r="D65" s="6">
        <v>1300000</v>
      </c>
      <c r="E65" s="6">
        <f t="shared" si="9"/>
        <v>170584.0410958904</v>
      </c>
      <c r="H65" s="6">
        <f t="shared" ref="H65" si="34">H31*$E65</f>
        <v>593191.78082191781</v>
      </c>
      <c r="J65" s="6">
        <f t="shared" ref="J65:K65" si="35">J31*$E65</f>
        <v>370143.83561643836</v>
      </c>
      <c r="K65" s="6">
        <f t="shared" si="35"/>
        <v>215924.65753424654</v>
      </c>
      <c r="M65" s="6">
        <f t="shared" si="6"/>
        <v>1242034.2465753425</v>
      </c>
      <c r="O65" s="6">
        <f t="shared" ref="O65" si="36">O31*$E65</f>
        <v>737972.60273972584</v>
      </c>
      <c r="R65" s="6">
        <f t="shared" si="8"/>
        <v>231150.68493150684</v>
      </c>
      <c r="U65" s="6">
        <f t="shared" si="8"/>
        <v>117089.0410958904</v>
      </c>
    </row>
    <row r="66" spans="1:21" s="6" customFormat="1" x14ac:dyDescent="0.25">
      <c r="A66" s="10">
        <v>12</v>
      </c>
      <c r="B66" s="1">
        <v>693000</v>
      </c>
      <c r="C66">
        <v>78610</v>
      </c>
      <c r="D66" s="6">
        <v>725000</v>
      </c>
      <c r="E66" s="6">
        <f t="shared" si="9"/>
        <v>82239.898989898982</v>
      </c>
      <c r="H66" s="6">
        <f t="shared" ref="H66" si="37">H32*$E66</f>
        <v>171049.78354978352</v>
      </c>
      <c r="J66" s="6">
        <f t="shared" ref="J66:K66" si="38">J32*$E66</f>
        <v>58167.388167388162</v>
      </c>
      <c r="K66" s="6">
        <f t="shared" si="38"/>
        <v>109220.77922077921</v>
      </c>
      <c r="M66" s="6">
        <f t="shared" si="6"/>
        <v>217499.99999999997</v>
      </c>
      <c r="O66" s="6">
        <f t="shared" ref="O66" si="39">O32*$E66</f>
        <v>141024.531024531</v>
      </c>
      <c r="R66" s="6">
        <f t="shared" si="8"/>
        <v>199401.1544011544</v>
      </c>
      <c r="U66" s="6">
        <f t="shared" si="8"/>
        <v>69152.236652236636</v>
      </c>
    </row>
    <row r="67" spans="1:21" s="6" customFormat="1" x14ac:dyDescent="0.25">
      <c r="A67" s="10">
        <v>13</v>
      </c>
      <c r="B67" s="1">
        <v>937000</v>
      </c>
      <c r="C67">
        <v>113630</v>
      </c>
      <c r="D67" s="6">
        <v>710000</v>
      </c>
      <c r="E67" s="6">
        <f t="shared" si="9"/>
        <v>86101.707577374604</v>
      </c>
      <c r="H67" s="6">
        <f t="shared" ref="H67" si="40">H33*$E67</f>
        <v>216106.72358591249</v>
      </c>
      <c r="J67" s="6">
        <f t="shared" ref="J67:K67" si="41">J33*$E67</f>
        <v>167156.88367129135</v>
      </c>
      <c r="K67" s="6">
        <f t="shared" si="41"/>
        <v>47585.912486659552</v>
      </c>
      <c r="M67" s="6">
        <f t="shared" si="6"/>
        <v>626876.2006403415</v>
      </c>
      <c r="O67" s="6">
        <f t="shared" ref="O67" si="42">O33*$E67</f>
        <v>226639.27427961581</v>
      </c>
      <c r="R67" s="6">
        <f t="shared" si="8"/>
        <v>246340.44823906085</v>
      </c>
      <c r="U67" s="6">
        <f t="shared" si="8"/>
        <v>64635.005336179303</v>
      </c>
    </row>
    <row r="68" spans="1:21" s="6" customFormat="1" x14ac:dyDescent="0.25">
      <c r="A68" s="10">
        <v>14</v>
      </c>
      <c r="B68" s="1">
        <v>1180000</v>
      </c>
      <c r="C68">
        <v>159821</v>
      </c>
      <c r="D68" s="6">
        <v>1430000</v>
      </c>
      <c r="E68" s="6">
        <f t="shared" si="9"/>
        <v>193681.38135593219</v>
      </c>
      <c r="H68" s="6">
        <f t="shared" ref="H68" si="43">H34*$E68</f>
        <v>647983.89830508467</v>
      </c>
      <c r="J68" s="6">
        <f t="shared" ref="J68:K68" si="44">J34*$E68</f>
        <v>440633.89830508473</v>
      </c>
      <c r="K68" s="6">
        <f t="shared" si="44"/>
        <v>203714.40677966099</v>
      </c>
      <c r="M68" s="6">
        <f t="shared" si="6"/>
        <v>1288938.9830508474</v>
      </c>
      <c r="O68" s="6">
        <f t="shared" ref="O68" si="45">O34*$E68</f>
        <v>595510.16949152539</v>
      </c>
      <c r="R68" s="6">
        <f t="shared" si="8"/>
        <v>361014.40677966102</v>
      </c>
      <c r="U68" s="6">
        <f t="shared" si="8"/>
        <v>198624.57627118641</v>
      </c>
    </row>
    <row r="69" spans="1:21" s="6" customFormat="1" x14ac:dyDescent="0.25">
      <c r="A69" s="10">
        <v>15</v>
      </c>
      <c r="B69" s="1">
        <v>755000</v>
      </c>
      <c r="C69">
        <v>94137</v>
      </c>
      <c r="D69" s="6">
        <v>575000</v>
      </c>
      <c r="E69" s="6">
        <f t="shared" si="9"/>
        <v>71693.741721854298</v>
      </c>
      <c r="H69" s="6">
        <f t="shared" ref="H69" si="46">H35*$E69</f>
        <v>162675.4966887417</v>
      </c>
      <c r="J69" s="6">
        <f t="shared" ref="J69:K69" si="47">J35*$E69</f>
        <v>76615.894039735082</v>
      </c>
      <c r="K69" s="6">
        <f t="shared" si="47"/>
        <v>83165.562913907284</v>
      </c>
      <c r="M69" s="6">
        <f t="shared" si="6"/>
        <v>317506.62251655629</v>
      </c>
      <c r="O69" s="6">
        <f t="shared" ref="O69" si="48">O35*$E69</f>
        <v>169453.64238410594</v>
      </c>
      <c r="R69" s="6">
        <f t="shared" si="8"/>
        <v>176460.26490066227</v>
      </c>
      <c r="U69" s="6">
        <f t="shared" si="8"/>
        <v>81185.430463576151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FB72-9501-6E45-AC49-CCC3CCA12470}">
  <dimension ref="A1:X72"/>
  <sheetViews>
    <sheetView topLeftCell="A16" workbookViewId="0">
      <selection activeCell="J43" sqref="J43"/>
    </sheetView>
  </sheetViews>
  <sheetFormatPr defaultColWidth="11" defaultRowHeight="15.75" x14ac:dyDescent="0.25"/>
  <cols>
    <col min="9" max="22" width="10.875"/>
  </cols>
  <sheetData>
    <row r="1" spans="1:21" x14ac:dyDescent="0.25">
      <c r="A1" t="s">
        <v>31</v>
      </c>
      <c r="B1" t="s">
        <v>32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  <c r="H1" t="s">
        <v>448</v>
      </c>
      <c r="I1" s="29" t="s">
        <v>449</v>
      </c>
      <c r="J1" t="s">
        <v>450</v>
      </c>
      <c r="K1" t="s">
        <v>451</v>
      </c>
      <c r="L1" t="s">
        <v>452</v>
      </c>
      <c r="M1" t="s">
        <v>453</v>
      </c>
      <c r="N1" t="s">
        <v>454</v>
      </c>
      <c r="O1" t="s">
        <v>455</v>
      </c>
      <c r="P1" t="s">
        <v>456</v>
      </c>
      <c r="Q1" t="s">
        <v>457</v>
      </c>
      <c r="R1" t="s">
        <v>458</v>
      </c>
      <c r="S1" t="s">
        <v>459</v>
      </c>
      <c r="T1" t="s">
        <v>460</v>
      </c>
      <c r="U1" t="s">
        <v>461</v>
      </c>
    </row>
    <row r="2" spans="1:21" x14ac:dyDescent="0.25">
      <c r="I2" s="29"/>
    </row>
    <row r="3" spans="1:21" x14ac:dyDescent="0.25">
      <c r="A3" t="s">
        <v>462</v>
      </c>
      <c r="B3" s="1">
        <v>1190000</v>
      </c>
      <c r="C3" s="1">
        <v>557000</v>
      </c>
      <c r="D3" s="1">
        <v>540000</v>
      </c>
      <c r="E3">
        <v>226318</v>
      </c>
      <c r="F3">
        <v>87049</v>
      </c>
      <c r="G3">
        <v>20139</v>
      </c>
      <c r="H3">
        <v>7418</v>
      </c>
      <c r="I3" s="29">
        <v>238399</v>
      </c>
      <c r="J3">
        <v>4899</v>
      </c>
      <c r="K3">
        <v>2455</v>
      </c>
      <c r="L3">
        <v>10548</v>
      </c>
      <c r="M3">
        <v>8535</v>
      </c>
      <c r="N3">
        <v>10028</v>
      </c>
      <c r="O3">
        <v>7550</v>
      </c>
      <c r="P3">
        <v>66604</v>
      </c>
      <c r="Q3">
        <v>4083</v>
      </c>
      <c r="R3">
        <v>2733</v>
      </c>
      <c r="S3">
        <v>83050</v>
      </c>
      <c r="T3">
        <v>10600</v>
      </c>
      <c r="U3">
        <v>1234</v>
      </c>
    </row>
    <row r="4" spans="1:21" x14ac:dyDescent="0.25">
      <c r="A4" t="s">
        <v>463</v>
      </c>
      <c r="B4" s="1">
        <v>1040000</v>
      </c>
      <c r="C4" s="1">
        <v>595000</v>
      </c>
      <c r="D4" s="1">
        <v>572000</v>
      </c>
      <c r="E4">
        <v>235419</v>
      </c>
      <c r="F4">
        <v>149098</v>
      </c>
      <c r="G4">
        <v>49590</v>
      </c>
      <c r="H4">
        <v>23899</v>
      </c>
      <c r="I4" s="29">
        <v>248699</v>
      </c>
      <c r="J4">
        <v>17164</v>
      </c>
      <c r="K4">
        <v>6509</v>
      </c>
      <c r="L4">
        <v>16489</v>
      </c>
      <c r="M4">
        <v>12512</v>
      </c>
      <c r="N4">
        <v>31226</v>
      </c>
      <c r="O4">
        <v>26198</v>
      </c>
      <c r="P4">
        <v>98222</v>
      </c>
      <c r="Q4">
        <v>6141</v>
      </c>
      <c r="R4">
        <v>3007</v>
      </c>
      <c r="S4">
        <v>134721</v>
      </c>
      <c r="T4">
        <v>19549</v>
      </c>
      <c r="U4">
        <v>2655</v>
      </c>
    </row>
    <row r="5" spans="1:21" x14ac:dyDescent="0.25">
      <c r="A5" t="s">
        <v>464</v>
      </c>
      <c r="B5" s="1">
        <v>1200000</v>
      </c>
      <c r="C5" s="1">
        <v>648000</v>
      </c>
      <c r="D5" s="1">
        <v>621000</v>
      </c>
      <c r="E5">
        <v>209644</v>
      </c>
      <c r="F5">
        <v>117274</v>
      </c>
      <c r="G5">
        <v>46245</v>
      </c>
      <c r="H5">
        <v>17606</v>
      </c>
      <c r="I5" s="30">
        <v>497000</v>
      </c>
      <c r="J5">
        <v>14779</v>
      </c>
      <c r="K5">
        <v>2678</v>
      </c>
      <c r="L5">
        <v>18363</v>
      </c>
      <c r="M5">
        <v>16675</v>
      </c>
      <c r="N5">
        <v>31415</v>
      </c>
      <c r="O5">
        <v>23623</v>
      </c>
      <c r="P5">
        <v>70174</v>
      </c>
      <c r="Q5">
        <v>4510</v>
      </c>
      <c r="R5">
        <v>2350</v>
      </c>
      <c r="S5">
        <v>107233</v>
      </c>
      <c r="T5">
        <v>19505</v>
      </c>
      <c r="U5">
        <v>2115</v>
      </c>
    </row>
    <row r="6" spans="1:21" x14ac:dyDescent="0.25">
      <c r="A6" t="s">
        <v>465</v>
      </c>
      <c r="B6" s="1">
        <v>1200000</v>
      </c>
      <c r="C6" s="1">
        <v>699000</v>
      </c>
      <c r="D6" s="1">
        <v>671000</v>
      </c>
      <c r="E6">
        <v>258233</v>
      </c>
      <c r="F6">
        <v>160215</v>
      </c>
      <c r="G6">
        <v>40411</v>
      </c>
      <c r="H6">
        <v>14906</v>
      </c>
      <c r="I6" s="29">
        <v>170345</v>
      </c>
      <c r="J6">
        <v>8796</v>
      </c>
      <c r="K6">
        <v>5986</v>
      </c>
      <c r="L6">
        <v>18483</v>
      </c>
      <c r="M6">
        <v>12207</v>
      </c>
      <c r="N6">
        <v>26344</v>
      </c>
      <c r="O6">
        <v>20836</v>
      </c>
      <c r="P6">
        <v>118742</v>
      </c>
      <c r="Q6">
        <v>8198</v>
      </c>
      <c r="R6">
        <v>3800</v>
      </c>
      <c r="S6">
        <v>137449</v>
      </c>
      <c r="T6">
        <v>26079</v>
      </c>
      <c r="U6">
        <v>3260</v>
      </c>
    </row>
    <row r="7" spans="1:21" x14ac:dyDescent="0.25">
      <c r="A7" t="s">
        <v>466</v>
      </c>
      <c r="B7" s="1">
        <v>1200000</v>
      </c>
      <c r="C7" s="1">
        <v>711000</v>
      </c>
      <c r="D7" s="1">
        <v>669000</v>
      </c>
      <c r="E7">
        <v>247374</v>
      </c>
      <c r="F7">
        <v>156522</v>
      </c>
      <c r="G7">
        <v>65666</v>
      </c>
      <c r="H7">
        <v>28241</v>
      </c>
      <c r="I7" s="30">
        <v>961000</v>
      </c>
      <c r="J7">
        <v>25369</v>
      </c>
      <c r="K7">
        <v>2727</v>
      </c>
      <c r="L7">
        <v>20529</v>
      </c>
      <c r="M7">
        <v>17935</v>
      </c>
      <c r="N7">
        <v>47513</v>
      </c>
      <c r="O7">
        <v>35234</v>
      </c>
      <c r="P7">
        <v>90045</v>
      </c>
      <c r="Q7">
        <v>6169</v>
      </c>
      <c r="R7">
        <v>2987</v>
      </c>
      <c r="S7">
        <v>127822</v>
      </c>
      <c r="T7">
        <v>23147</v>
      </c>
      <c r="U7">
        <v>184</v>
      </c>
    </row>
    <row r="8" spans="1:21" x14ac:dyDescent="0.25">
      <c r="A8" t="s">
        <v>467</v>
      </c>
      <c r="B8" s="1">
        <v>1200000</v>
      </c>
      <c r="C8" s="1">
        <v>670000</v>
      </c>
      <c r="D8" s="1">
        <v>632000</v>
      </c>
      <c r="E8">
        <v>271541</v>
      </c>
      <c r="F8">
        <v>159893</v>
      </c>
      <c r="G8">
        <v>45035</v>
      </c>
      <c r="H8">
        <v>20353</v>
      </c>
      <c r="I8" s="29">
        <v>72615</v>
      </c>
      <c r="J8">
        <v>10177</v>
      </c>
      <c r="K8">
        <v>9999</v>
      </c>
      <c r="L8">
        <v>13500</v>
      </c>
      <c r="M8">
        <v>10534</v>
      </c>
      <c r="N8">
        <v>27297</v>
      </c>
      <c r="O8">
        <v>19682</v>
      </c>
      <c r="P8">
        <v>113479</v>
      </c>
      <c r="Q8">
        <v>5503</v>
      </c>
      <c r="R8">
        <v>2077</v>
      </c>
      <c r="S8">
        <v>146362</v>
      </c>
      <c r="T8">
        <v>21283</v>
      </c>
      <c r="U8">
        <v>3238</v>
      </c>
    </row>
    <row r="9" spans="1:21" x14ac:dyDescent="0.25">
      <c r="A9" t="s">
        <v>468</v>
      </c>
      <c r="B9" s="1">
        <v>1200000</v>
      </c>
      <c r="C9" s="1">
        <v>694000</v>
      </c>
      <c r="D9" s="1">
        <v>658000</v>
      </c>
      <c r="E9">
        <v>309692</v>
      </c>
      <c r="F9">
        <v>153802</v>
      </c>
      <c r="G9">
        <v>59261</v>
      </c>
      <c r="H9">
        <v>23151</v>
      </c>
      <c r="I9" s="30">
        <v>581000</v>
      </c>
      <c r="J9">
        <v>21503</v>
      </c>
      <c r="K9">
        <v>1554</v>
      </c>
      <c r="L9">
        <v>21031</v>
      </c>
      <c r="M9">
        <v>16403</v>
      </c>
      <c r="N9">
        <v>32771</v>
      </c>
      <c r="O9">
        <v>31188</v>
      </c>
      <c r="P9">
        <v>92949</v>
      </c>
      <c r="Q9">
        <v>6368</v>
      </c>
      <c r="R9">
        <v>2156</v>
      </c>
      <c r="S9">
        <v>138753</v>
      </c>
      <c r="T9">
        <v>19238</v>
      </c>
      <c r="U9">
        <v>920</v>
      </c>
    </row>
    <row r="10" spans="1:21" x14ac:dyDescent="0.25">
      <c r="A10" t="s">
        <v>469</v>
      </c>
      <c r="B10" s="1">
        <v>1200000</v>
      </c>
      <c r="C10" s="1">
        <v>705000</v>
      </c>
      <c r="D10" s="1">
        <v>673000</v>
      </c>
      <c r="E10">
        <v>289729</v>
      </c>
      <c r="F10">
        <v>177843</v>
      </c>
      <c r="G10">
        <v>70599</v>
      </c>
      <c r="H10">
        <v>31510</v>
      </c>
      <c r="I10" s="29">
        <v>396049</v>
      </c>
      <c r="J10">
        <v>23542</v>
      </c>
      <c r="K10">
        <v>7672</v>
      </c>
      <c r="L10">
        <v>23165</v>
      </c>
      <c r="M10">
        <v>18751</v>
      </c>
      <c r="N10">
        <v>53560</v>
      </c>
      <c r="O10">
        <v>46866</v>
      </c>
      <c r="P10">
        <v>106362</v>
      </c>
      <c r="Q10">
        <v>8809</v>
      </c>
      <c r="R10">
        <v>4114</v>
      </c>
      <c r="S10">
        <v>151771</v>
      </c>
      <c r="T10">
        <v>27704</v>
      </c>
      <c r="U10">
        <v>1125</v>
      </c>
    </row>
    <row r="11" spans="1:21" x14ac:dyDescent="0.25">
      <c r="A11" t="s">
        <v>470</v>
      </c>
      <c r="B11" s="1">
        <v>1010000</v>
      </c>
      <c r="C11" s="1">
        <v>573000</v>
      </c>
      <c r="D11" s="1">
        <v>546000</v>
      </c>
      <c r="E11">
        <v>244639</v>
      </c>
      <c r="F11">
        <v>127288</v>
      </c>
      <c r="G11">
        <v>50721</v>
      </c>
      <c r="H11">
        <v>29832</v>
      </c>
      <c r="I11" s="29">
        <v>1083</v>
      </c>
      <c r="J11">
        <v>75</v>
      </c>
      <c r="K11">
        <v>29668</v>
      </c>
      <c r="L11">
        <v>17572</v>
      </c>
      <c r="M11">
        <v>7289</v>
      </c>
      <c r="N11">
        <v>33844</v>
      </c>
      <c r="O11">
        <v>30757</v>
      </c>
      <c r="P11">
        <v>75603</v>
      </c>
      <c r="Q11">
        <v>11372</v>
      </c>
      <c r="R11">
        <v>5096</v>
      </c>
      <c r="S11">
        <v>88986</v>
      </c>
      <c r="T11">
        <v>21725</v>
      </c>
      <c r="U11">
        <v>2523</v>
      </c>
    </row>
    <row r="12" spans="1:21" x14ac:dyDescent="0.25">
      <c r="A12" t="s">
        <v>471</v>
      </c>
      <c r="B12" s="1">
        <v>611000</v>
      </c>
      <c r="C12">
        <v>326843</v>
      </c>
      <c r="D12">
        <v>311189</v>
      </c>
      <c r="E12">
        <v>98706</v>
      </c>
      <c r="F12">
        <v>52000</v>
      </c>
      <c r="G12">
        <v>15771</v>
      </c>
      <c r="H12">
        <v>5518</v>
      </c>
      <c r="I12" s="29">
        <v>301536</v>
      </c>
      <c r="J12">
        <v>4349</v>
      </c>
      <c r="K12">
        <v>1107</v>
      </c>
      <c r="L12">
        <v>8077</v>
      </c>
      <c r="M12">
        <v>6110</v>
      </c>
      <c r="N12">
        <v>8729</v>
      </c>
      <c r="O12">
        <v>7746</v>
      </c>
      <c r="P12">
        <v>35877</v>
      </c>
      <c r="Q12">
        <v>2707</v>
      </c>
      <c r="R12">
        <v>1445</v>
      </c>
      <c r="S12">
        <v>45634</v>
      </c>
      <c r="T12">
        <v>5258</v>
      </c>
      <c r="U12">
        <v>621</v>
      </c>
    </row>
    <row r="13" spans="1:21" x14ac:dyDescent="0.25">
      <c r="A13" t="s">
        <v>472</v>
      </c>
      <c r="B13" s="1">
        <v>1170000</v>
      </c>
      <c r="C13" s="1">
        <v>680000</v>
      </c>
      <c r="D13" s="1">
        <v>648000</v>
      </c>
      <c r="E13">
        <v>286540</v>
      </c>
      <c r="F13">
        <v>194350</v>
      </c>
      <c r="G13">
        <v>48794</v>
      </c>
      <c r="H13">
        <v>13020</v>
      </c>
      <c r="I13" s="29">
        <v>226324</v>
      </c>
      <c r="J13">
        <v>7715</v>
      </c>
      <c r="K13">
        <v>5193</v>
      </c>
      <c r="L13">
        <v>12480</v>
      </c>
      <c r="M13">
        <v>9208</v>
      </c>
      <c r="N13">
        <v>32368</v>
      </c>
      <c r="O13">
        <v>13921</v>
      </c>
      <c r="P13">
        <v>144181</v>
      </c>
      <c r="Q13">
        <v>4261</v>
      </c>
      <c r="R13">
        <v>1657</v>
      </c>
      <c r="S13">
        <v>181053</v>
      </c>
      <c r="T13">
        <v>29752</v>
      </c>
      <c r="U13">
        <v>2479</v>
      </c>
    </row>
    <row r="14" spans="1:21" x14ac:dyDescent="0.25">
      <c r="A14" t="s">
        <v>473</v>
      </c>
      <c r="B14" s="1">
        <v>1200000</v>
      </c>
      <c r="C14" s="1">
        <v>743000</v>
      </c>
      <c r="D14" s="1">
        <v>710000</v>
      </c>
      <c r="E14">
        <v>298154</v>
      </c>
      <c r="F14">
        <v>222049</v>
      </c>
      <c r="G14">
        <v>46572</v>
      </c>
      <c r="H14">
        <v>21301</v>
      </c>
      <c r="I14" s="29">
        <v>210744</v>
      </c>
      <c r="J14">
        <v>14910</v>
      </c>
      <c r="K14">
        <v>6136</v>
      </c>
      <c r="L14">
        <v>19377</v>
      </c>
      <c r="M14">
        <v>14295</v>
      </c>
      <c r="N14">
        <v>25711</v>
      </c>
      <c r="O14">
        <v>23251</v>
      </c>
      <c r="P14">
        <v>174548</v>
      </c>
      <c r="Q14">
        <v>12017</v>
      </c>
      <c r="R14">
        <v>6857</v>
      </c>
      <c r="S14">
        <v>207825</v>
      </c>
      <c r="T14">
        <v>22079</v>
      </c>
      <c r="U14">
        <v>289</v>
      </c>
    </row>
    <row r="15" spans="1:21" x14ac:dyDescent="0.25">
      <c r="A15" t="s">
        <v>474</v>
      </c>
      <c r="B15" s="1">
        <v>559000</v>
      </c>
      <c r="C15">
        <v>317888</v>
      </c>
      <c r="D15">
        <v>304443</v>
      </c>
      <c r="E15">
        <v>103850</v>
      </c>
      <c r="F15">
        <v>63601</v>
      </c>
      <c r="G15">
        <v>18649</v>
      </c>
      <c r="H15">
        <v>8062</v>
      </c>
      <c r="I15" s="29">
        <v>289925</v>
      </c>
      <c r="J15">
        <v>5364</v>
      </c>
      <c r="K15">
        <v>2638</v>
      </c>
      <c r="L15">
        <v>6949</v>
      </c>
      <c r="M15">
        <v>5789</v>
      </c>
      <c r="N15">
        <v>11727</v>
      </c>
      <c r="O15">
        <v>10283</v>
      </c>
      <c r="P15">
        <v>44514</v>
      </c>
      <c r="Q15">
        <v>3387</v>
      </c>
      <c r="R15">
        <v>1596</v>
      </c>
      <c r="S15">
        <v>53590</v>
      </c>
      <c r="T15">
        <v>6192</v>
      </c>
      <c r="U15">
        <v>802</v>
      </c>
    </row>
    <row r="16" spans="1:21" x14ac:dyDescent="0.25">
      <c r="A16" t="s">
        <v>475</v>
      </c>
      <c r="B16" s="1">
        <v>900000</v>
      </c>
      <c r="C16" s="1">
        <v>485000</v>
      </c>
      <c r="D16" s="1">
        <v>468000</v>
      </c>
      <c r="E16">
        <v>199312</v>
      </c>
      <c r="F16">
        <v>84903</v>
      </c>
      <c r="G16">
        <v>31701</v>
      </c>
      <c r="H16">
        <v>10754</v>
      </c>
      <c r="I16" s="29">
        <v>337094</v>
      </c>
      <c r="J16">
        <v>8384</v>
      </c>
      <c r="K16">
        <v>2334</v>
      </c>
      <c r="L16">
        <v>9182</v>
      </c>
      <c r="M16">
        <v>7320</v>
      </c>
      <c r="N16">
        <v>21961</v>
      </c>
      <c r="O16">
        <v>14343</v>
      </c>
      <c r="P16">
        <v>52611</v>
      </c>
      <c r="Q16">
        <v>3469</v>
      </c>
      <c r="R16">
        <v>712</v>
      </c>
      <c r="S16">
        <v>76001</v>
      </c>
      <c r="T16">
        <v>15438</v>
      </c>
      <c r="U16">
        <v>1652</v>
      </c>
    </row>
    <row r="17" spans="1:24" ht="15" customHeight="1" x14ac:dyDescent="0.25">
      <c r="A17" t="s">
        <v>476</v>
      </c>
      <c r="B17" s="1">
        <v>836000</v>
      </c>
      <c r="C17" s="1">
        <v>447000</v>
      </c>
      <c r="D17" s="1">
        <v>430000</v>
      </c>
      <c r="E17">
        <v>170665</v>
      </c>
      <c r="F17">
        <v>96017</v>
      </c>
      <c r="G17">
        <v>18197</v>
      </c>
      <c r="H17">
        <v>5648</v>
      </c>
      <c r="I17" s="30">
        <v>423000</v>
      </c>
      <c r="J17">
        <v>4649</v>
      </c>
      <c r="K17">
        <v>961</v>
      </c>
      <c r="L17">
        <v>6858</v>
      </c>
      <c r="M17">
        <v>5731</v>
      </c>
      <c r="N17">
        <v>11763</v>
      </c>
      <c r="O17">
        <v>7117</v>
      </c>
      <c r="P17">
        <v>77448</v>
      </c>
      <c r="Q17">
        <v>4845</v>
      </c>
      <c r="R17">
        <v>3122</v>
      </c>
      <c r="S17">
        <v>86787</v>
      </c>
      <c r="T17">
        <v>13059</v>
      </c>
      <c r="U17">
        <v>733</v>
      </c>
    </row>
    <row r="18" spans="1:24" x14ac:dyDescent="0.25">
      <c r="B18" s="1" t="s">
        <v>70</v>
      </c>
      <c r="C18" s="1"/>
      <c r="D18" s="1" t="s">
        <v>324</v>
      </c>
      <c r="E18" t="s">
        <v>325</v>
      </c>
      <c r="F18" s="1" t="s">
        <v>326</v>
      </c>
      <c r="G18" s="1" t="s">
        <v>327</v>
      </c>
      <c r="H18" s="3" t="s">
        <v>328</v>
      </c>
      <c r="I18" s="24" t="s">
        <v>329</v>
      </c>
      <c r="J18" s="3" t="s">
        <v>330</v>
      </c>
      <c r="K18" s="3" t="s">
        <v>331</v>
      </c>
      <c r="M18" s="3" t="s">
        <v>17</v>
      </c>
      <c r="O18" s="3" t="s">
        <v>332</v>
      </c>
      <c r="R18" s="4" t="s">
        <v>333</v>
      </c>
      <c r="U18" s="4" t="s">
        <v>334</v>
      </c>
    </row>
    <row r="19" spans="1:24" x14ac:dyDescent="0.25">
      <c r="B19" s="1"/>
      <c r="X19" s="4"/>
    </row>
    <row r="20" spans="1:24" s="7" customFormat="1" x14ac:dyDescent="0.25">
      <c r="A20" s="7" t="s">
        <v>85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1:24" x14ac:dyDescent="0.25">
      <c r="B21" s="1" t="s">
        <v>70</v>
      </c>
      <c r="C21" s="1"/>
      <c r="D21" s="1" t="s">
        <v>324</v>
      </c>
      <c r="E21" t="s">
        <v>325</v>
      </c>
      <c r="F21" s="1" t="s">
        <v>326</v>
      </c>
      <c r="G21" s="1" t="s">
        <v>327</v>
      </c>
      <c r="H21" s="3" t="s">
        <v>328</v>
      </c>
      <c r="I21" s="24" t="s">
        <v>329</v>
      </c>
      <c r="J21" s="3" t="s">
        <v>330</v>
      </c>
      <c r="K21" s="3" t="s">
        <v>331</v>
      </c>
      <c r="M21" s="3" t="s">
        <v>17</v>
      </c>
      <c r="O21" s="3" t="s">
        <v>332</v>
      </c>
      <c r="R21" s="4" t="s">
        <v>333</v>
      </c>
      <c r="U21" s="4" t="s">
        <v>334</v>
      </c>
    </row>
    <row r="22" spans="1:24" x14ac:dyDescent="0.25">
      <c r="A22" s="7">
        <v>16</v>
      </c>
      <c r="F22">
        <f>100*F3/$E3</f>
        <v>38.463135941462895</v>
      </c>
      <c r="G22">
        <f>100*G3/$E3</f>
        <v>8.898540990994972</v>
      </c>
      <c r="H22">
        <f>100*H3/$E3</f>
        <v>3.2776889155966384</v>
      </c>
      <c r="J22">
        <f t="shared" ref="J22:T22" si="0">100*J3/$E3</f>
        <v>2.164653275479635</v>
      </c>
      <c r="K22">
        <f t="shared" si="0"/>
        <v>1.0847568465610335</v>
      </c>
      <c r="L22">
        <f t="shared" si="0"/>
        <v>4.6606986629432923</v>
      </c>
      <c r="M22">
        <f t="shared" si="0"/>
        <v>3.771242234378176</v>
      </c>
      <c r="N22">
        <f t="shared" si="0"/>
        <v>4.4309334653010364</v>
      </c>
      <c r="O22">
        <f t="shared" si="0"/>
        <v>3.3360139273058262</v>
      </c>
      <c r="P22">
        <f t="shared" si="0"/>
        <v>29.429386968778445</v>
      </c>
      <c r="Q22">
        <f t="shared" si="0"/>
        <v>1.8040986576410183</v>
      </c>
      <c r="R22">
        <f t="shared" si="0"/>
        <v>1.207592856069778</v>
      </c>
      <c r="S22">
        <f t="shared" si="0"/>
        <v>36.696153200364087</v>
      </c>
      <c r="T22">
        <f t="shared" si="0"/>
        <v>4.6836751827075176</v>
      </c>
      <c r="U22">
        <f>100*U3/$E3</f>
        <v>0.54525048825104494</v>
      </c>
      <c r="X22" s="4"/>
    </row>
    <row r="23" spans="1:24" x14ac:dyDescent="0.25">
      <c r="A23" s="7">
        <v>17</v>
      </c>
      <c r="F23">
        <f t="shared" ref="F23:U36" si="1">100*F4/$E4</f>
        <v>63.333035991147696</v>
      </c>
      <c r="G23">
        <f t="shared" si="1"/>
        <v>21.064569979483391</v>
      </c>
      <c r="H23">
        <f t="shared" si="1"/>
        <v>10.151686992128928</v>
      </c>
      <c r="J23">
        <f t="shared" si="1"/>
        <v>7.2908303917695685</v>
      </c>
      <c r="K23">
        <f>100*K4/$E4</f>
        <v>2.7648575518543534</v>
      </c>
      <c r="L23">
        <f t="shared" si="1"/>
        <v>7.0041075699072719</v>
      </c>
      <c r="M23">
        <f t="shared" si="1"/>
        <v>5.3147791809497109</v>
      </c>
      <c r="N23">
        <f t="shared" si="1"/>
        <v>13.264010126625294</v>
      </c>
      <c r="O23">
        <f t="shared" si="1"/>
        <v>11.128243684664364</v>
      </c>
      <c r="P23">
        <f t="shared" si="1"/>
        <v>41.722205939197771</v>
      </c>
      <c r="Q23">
        <f t="shared" si="1"/>
        <v>2.6085405171205385</v>
      </c>
      <c r="R23">
        <f t="shared" si="1"/>
        <v>1.2772970745776679</v>
      </c>
      <c r="S23">
        <f t="shared" si="1"/>
        <v>57.226052272756235</v>
      </c>
      <c r="T23">
        <f t="shared" si="1"/>
        <v>8.3039176956830154</v>
      </c>
      <c r="U23">
        <f t="shared" si="1"/>
        <v>1.1277764326583666</v>
      </c>
      <c r="X23" s="4"/>
    </row>
    <row r="24" spans="1:24" x14ac:dyDescent="0.25">
      <c r="A24" s="7">
        <v>18</v>
      </c>
      <c r="F24">
        <f t="shared" si="1"/>
        <v>55.93959283356547</v>
      </c>
      <c r="G24">
        <f t="shared" si="1"/>
        <v>22.058823529411764</v>
      </c>
      <c r="H24">
        <f t="shared" si="1"/>
        <v>8.3980462116731225</v>
      </c>
      <c r="J24">
        <f t="shared" si="1"/>
        <v>7.049569746808876</v>
      </c>
      <c r="K24">
        <f t="shared" si="1"/>
        <v>1.2774035984812349</v>
      </c>
      <c r="L24">
        <f t="shared" si="1"/>
        <v>8.759134532827078</v>
      </c>
      <c r="M24">
        <f t="shared" si="1"/>
        <v>7.9539600465551121</v>
      </c>
      <c r="N24">
        <f t="shared" si="1"/>
        <v>14.984926828337562</v>
      </c>
      <c r="O24">
        <f t="shared" si="1"/>
        <v>11.268149815878346</v>
      </c>
      <c r="P24">
        <f t="shared" si="1"/>
        <v>33.472935070882066</v>
      </c>
      <c r="Q24">
        <f t="shared" si="1"/>
        <v>2.1512659556200036</v>
      </c>
      <c r="R24">
        <f t="shared" si="1"/>
        <v>1.1209478926179619</v>
      </c>
      <c r="S24">
        <f t="shared" si="1"/>
        <v>51.150044837915708</v>
      </c>
      <c r="T24">
        <f t="shared" si="1"/>
        <v>9.3038675087290841</v>
      </c>
      <c r="U24">
        <f t="shared" si="1"/>
        <v>1.0088531033561656</v>
      </c>
      <c r="X24" s="4"/>
    </row>
    <row r="25" spans="1:24" x14ac:dyDescent="0.25">
      <c r="A25" s="7">
        <v>19</v>
      </c>
      <c r="F25">
        <f t="shared" si="1"/>
        <v>62.042806302835039</v>
      </c>
      <c r="G25">
        <f t="shared" si="1"/>
        <v>15.649045629334749</v>
      </c>
      <c r="H25">
        <f t="shared" si="1"/>
        <v>5.772306405455538</v>
      </c>
      <c r="J25">
        <f t="shared" si="1"/>
        <v>3.4062261600957275</v>
      </c>
      <c r="K25">
        <f t="shared" si="1"/>
        <v>2.3180615955358146</v>
      </c>
      <c r="L25">
        <f>100*L6/$E6</f>
        <v>7.1574895540074275</v>
      </c>
      <c r="M25">
        <f t="shared" si="1"/>
        <v>4.7271262774316218</v>
      </c>
      <c r="N25">
        <f t="shared" si="1"/>
        <v>10.201639604543184</v>
      </c>
      <c r="O25">
        <f t="shared" si="1"/>
        <v>8.0686821591353546</v>
      </c>
      <c r="P25">
        <f t="shared" si="1"/>
        <v>45.982504172588321</v>
      </c>
      <c r="Q25">
        <f t="shared" si="1"/>
        <v>3.1746523488477458</v>
      </c>
      <c r="R25">
        <f t="shared" si="1"/>
        <v>1.4715392687998823</v>
      </c>
      <c r="S25">
        <f t="shared" si="1"/>
        <v>53.22673709401974</v>
      </c>
      <c r="T25">
        <f t="shared" si="1"/>
        <v>10.099019102903192</v>
      </c>
      <c r="U25">
        <f t="shared" si="1"/>
        <v>1.2624257937598991</v>
      </c>
      <c r="X25" s="4"/>
    </row>
    <row r="26" spans="1:24" x14ac:dyDescent="0.25">
      <c r="A26" s="7">
        <v>20</v>
      </c>
      <c r="F26">
        <f t="shared" si="1"/>
        <v>63.273424046181084</v>
      </c>
      <c r="G26">
        <f t="shared" si="1"/>
        <v>26.545231107553743</v>
      </c>
      <c r="H26">
        <f t="shared" si="1"/>
        <v>11.416316993701844</v>
      </c>
      <c r="J26">
        <f t="shared" si="1"/>
        <v>10.255321901250738</v>
      </c>
      <c r="K26">
        <f>100*K7/$E7</f>
        <v>1.1023793931456014</v>
      </c>
      <c r="L26">
        <f t="shared" si="1"/>
        <v>8.2987702830531909</v>
      </c>
      <c r="M26">
        <f t="shared" si="1"/>
        <v>7.2501556347878111</v>
      </c>
      <c r="N26">
        <f t="shared" si="1"/>
        <v>19.206949800706621</v>
      </c>
      <c r="O26">
        <f t="shared" si="1"/>
        <v>14.243210685035613</v>
      </c>
      <c r="P26">
        <f t="shared" si="1"/>
        <v>36.400349268718621</v>
      </c>
      <c r="Q26">
        <f t="shared" si="1"/>
        <v>2.4937948207976586</v>
      </c>
      <c r="R26">
        <f t="shared" si="1"/>
        <v>1.2074834056934034</v>
      </c>
      <c r="S26">
        <f t="shared" si="1"/>
        <v>51.67155804571216</v>
      </c>
      <c r="T26">
        <f t="shared" si="1"/>
        <v>9.3570868401691367</v>
      </c>
      <c r="U26">
        <f t="shared" si="1"/>
        <v>7.4381301187675344E-2</v>
      </c>
      <c r="X26" s="4"/>
    </row>
    <row r="27" spans="1:24" x14ac:dyDescent="0.25">
      <c r="A27" s="7">
        <v>21</v>
      </c>
      <c r="F27">
        <f t="shared" si="1"/>
        <v>58.883557179210506</v>
      </c>
      <c r="G27">
        <f t="shared" si="1"/>
        <v>16.584972435101882</v>
      </c>
      <c r="H27">
        <f t="shared" si="1"/>
        <v>7.4953690234623869</v>
      </c>
      <c r="J27">
        <f t="shared" si="1"/>
        <v>3.747868645987162</v>
      </c>
      <c r="K27">
        <f t="shared" si="1"/>
        <v>3.6823168508623008</v>
      </c>
      <c r="L27">
        <f t="shared" si="1"/>
        <v>4.9716249111552218</v>
      </c>
      <c r="M27">
        <f t="shared" si="1"/>
        <v>3.8793405047488223</v>
      </c>
      <c r="N27">
        <f t="shared" si="1"/>
        <v>10.052625570355858</v>
      </c>
      <c r="O27">
        <f t="shared" si="1"/>
        <v>7.2482608519523755</v>
      </c>
      <c r="P27">
        <f t="shared" si="1"/>
        <v>41.790742466146916</v>
      </c>
      <c r="Q27">
        <f t="shared" si="1"/>
        <v>2.0265816211916432</v>
      </c>
      <c r="R27">
        <f t="shared" si="1"/>
        <v>0.76489369929402928</v>
      </c>
      <c r="S27">
        <f t="shared" si="1"/>
        <v>53.900515944185223</v>
      </c>
      <c r="T27">
        <f t="shared" si="1"/>
        <v>7.837858739564191</v>
      </c>
      <c r="U27">
        <f t="shared" si="1"/>
        <v>1.1924534416533783</v>
      </c>
      <c r="X27" s="4"/>
    </row>
    <row r="28" spans="1:24" x14ac:dyDescent="0.25">
      <c r="A28" s="7">
        <v>22</v>
      </c>
      <c r="F28">
        <f t="shared" si="1"/>
        <v>49.662890872221432</v>
      </c>
      <c r="G28">
        <f t="shared" si="1"/>
        <v>19.135463621921133</v>
      </c>
      <c r="H28">
        <f t="shared" si="1"/>
        <v>7.4754917789287418</v>
      </c>
      <c r="J28">
        <f t="shared" si="1"/>
        <v>6.9433501672629578</v>
      </c>
      <c r="K28">
        <f t="shared" si="1"/>
        <v>0.50178887410717743</v>
      </c>
      <c r="L28">
        <f t="shared" si="1"/>
        <v>6.7909406765431459</v>
      </c>
      <c r="M28">
        <f t="shared" si="1"/>
        <v>5.2965527039768547</v>
      </c>
      <c r="N28">
        <f t="shared" si="1"/>
        <v>10.581803856735078</v>
      </c>
      <c r="O28">
        <f t="shared" si="1"/>
        <v>10.070650840189607</v>
      </c>
      <c r="P28">
        <f t="shared" si="1"/>
        <v>30.013368120584321</v>
      </c>
      <c r="Q28">
        <f t="shared" si="1"/>
        <v>2.0562365188639036</v>
      </c>
      <c r="R28">
        <f t="shared" si="1"/>
        <v>0.69617555506761553</v>
      </c>
      <c r="S28">
        <f t="shared" si="1"/>
        <v>44.80354674967387</v>
      </c>
      <c r="T28">
        <f t="shared" si="1"/>
        <v>6.211978352685894</v>
      </c>
      <c r="U28">
        <f t="shared" si="1"/>
        <v>0.29706934631827753</v>
      </c>
      <c r="X28" s="4"/>
    </row>
    <row r="29" spans="1:24" x14ac:dyDescent="0.25">
      <c r="A29" s="7">
        <v>23</v>
      </c>
      <c r="F29">
        <f t="shared" si="1"/>
        <v>61.38253333287313</v>
      </c>
      <c r="G29">
        <f t="shared" si="1"/>
        <v>24.367253536925887</v>
      </c>
      <c r="H29">
        <f t="shared" si="1"/>
        <v>10.875680377180055</v>
      </c>
      <c r="J29">
        <f t="shared" si="1"/>
        <v>8.1255241967493763</v>
      </c>
      <c r="K29">
        <f t="shared" si="1"/>
        <v>2.6479917440090568</v>
      </c>
      <c r="L29">
        <f t="shared" si="1"/>
        <v>7.995402600361027</v>
      </c>
      <c r="M29">
        <f t="shared" si="1"/>
        <v>6.4719099572358996</v>
      </c>
      <c r="N29">
        <f t="shared" si="1"/>
        <v>18.486240590344771</v>
      </c>
      <c r="O29">
        <f t="shared" si="1"/>
        <v>16.175805666674719</v>
      </c>
      <c r="P29">
        <f t="shared" si="1"/>
        <v>36.71085738742066</v>
      </c>
      <c r="Q29">
        <f t="shared" si="1"/>
        <v>3.04042743391238</v>
      </c>
      <c r="R29">
        <f t="shared" si="1"/>
        <v>1.4199476062113217</v>
      </c>
      <c r="S29">
        <f t="shared" si="1"/>
        <v>52.383779324817333</v>
      </c>
      <c r="T29">
        <f t="shared" si="1"/>
        <v>9.5620390088669058</v>
      </c>
      <c r="U29">
        <f t="shared" si="1"/>
        <v>0.38829388842677121</v>
      </c>
      <c r="X29" s="4"/>
    </row>
    <row r="30" spans="1:24" x14ac:dyDescent="0.25">
      <c r="A30" s="7">
        <v>24</v>
      </c>
      <c r="F30">
        <f t="shared" si="1"/>
        <v>52.030951728873973</v>
      </c>
      <c r="G30">
        <f t="shared" si="1"/>
        <v>20.732998418077248</v>
      </c>
      <c r="H30">
        <f t="shared" si="1"/>
        <v>12.194294450189872</v>
      </c>
      <c r="J30">
        <f t="shared" si="1"/>
        <v>3.0657417664395292E-2</v>
      </c>
      <c r="K30">
        <f t="shared" si="1"/>
        <v>12.127256896897061</v>
      </c>
      <c r="L30">
        <f t="shared" si="1"/>
        <v>7.1828285759833879</v>
      </c>
      <c r="M30">
        <f t="shared" si="1"/>
        <v>2.9794922314103638</v>
      </c>
      <c r="N30">
        <f t="shared" si="1"/>
        <v>13.834261912450591</v>
      </c>
      <c r="O30">
        <f t="shared" si="1"/>
        <v>12.572402601384081</v>
      </c>
      <c r="P30">
        <f t="shared" si="1"/>
        <v>30.903903302417032</v>
      </c>
      <c r="Q30">
        <f t="shared" si="1"/>
        <v>4.6484820490600436</v>
      </c>
      <c r="R30">
        <f t="shared" si="1"/>
        <v>2.0830693389034454</v>
      </c>
      <c r="S30">
        <f t="shared" si="1"/>
        <v>36.374412910451724</v>
      </c>
      <c r="T30">
        <f t="shared" si="1"/>
        <v>8.8804319834531693</v>
      </c>
      <c r="U30">
        <f t="shared" si="1"/>
        <v>1.0313155302302577</v>
      </c>
      <c r="X30" s="4"/>
    </row>
    <row r="31" spans="1:24" x14ac:dyDescent="0.25">
      <c r="A31" s="7">
        <v>25</v>
      </c>
      <c r="F31">
        <f t="shared" si="1"/>
        <v>52.681701213705345</v>
      </c>
      <c r="G31">
        <f t="shared" si="1"/>
        <v>15.977752112333597</v>
      </c>
      <c r="H31">
        <f t="shared" si="1"/>
        <v>5.5903389864851176</v>
      </c>
      <c r="J31">
        <f t="shared" si="1"/>
        <v>4.406013818815472</v>
      </c>
      <c r="K31">
        <f t="shared" si="1"/>
        <v>1.1215123700686889</v>
      </c>
      <c r="L31">
        <f t="shared" si="1"/>
        <v>8.182886551982655</v>
      </c>
      <c r="M31">
        <f t="shared" si="1"/>
        <v>6.1900998926103785</v>
      </c>
      <c r="N31">
        <f t="shared" si="1"/>
        <v>8.8434340364314235</v>
      </c>
      <c r="O31">
        <f t="shared" si="1"/>
        <v>7.8475472615646469</v>
      </c>
      <c r="P31">
        <f t="shared" si="1"/>
        <v>36.347334508540513</v>
      </c>
      <c r="Q31">
        <f t="shared" si="1"/>
        <v>2.7424877920288533</v>
      </c>
      <c r="R31">
        <f t="shared" si="1"/>
        <v>1.4639434279577737</v>
      </c>
      <c r="S31">
        <f t="shared" si="1"/>
        <v>46.23224525358134</v>
      </c>
      <c r="T31">
        <f t="shared" si="1"/>
        <v>5.3269304804165909</v>
      </c>
      <c r="U31">
        <f t="shared" si="1"/>
        <v>0.62914108564828886</v>
      </c>
      <c r="X31" s="4"/>
    </row>
    <row r="32" spans="1:24" x14ac:dyDescent="0.25">
      <c r="A32" s="7">
        <v>26</v>
      </c>
      <c r="F32">
        <f t="shared" si="1"/>
        <v>67.826481468555869</v>
      </c>
      <c r="G32">
        <f t="shared" si="1"/>
        <v>17.028687094297482</v>
      </c>
      <c r="H32">
        <f t="shared" si="1"/>
        <v>4.5438682208417669</v>
      </c>
      <c r="J32">
        <f t="shared" si="1"/>
        <v>2.6924687652683743</v>
      </c>
      <c r="K32">
        <f t="shared" si="1"/>
        <v>1.8123124171145391</v>
      </c>
      <c r="L32">
        <f t="shared" si="1"/>
        <v>4.3554128568437216</v>
      </c>
      <c r="M32">
        <f t="shared" si="1"/>
        <v>3.2135129475814894</v>
      </c>
      <c r="N32">
        <f t="shared" si="1"/>
        <v>11.296154114608781</v>
      </c>
      <c r="O32">
        <f t="shared" si="1"/>
        <v>4.8583094855866547</v>
      </c>
      <c r="P32">
        <f t="shared" si="1"/>
        <v>50.317931178892998</v>
      </c>
      <c r="Q32">
        <f t="shared" si="1"/>
        <v>1.4870524185105047</v>
      </c>
      <c r="R32">
        <f t="shared" si="1"/>
        <v>0.57827877434215114</v>
      </c>
      <c r="S32">
        <f t="shared" si="1"/>
        <v>63.185942625811407</v>
      </c>
      <c r="T32">
        <f t="shared" si="1"/>
        <v>10.383192573462694</v>
      </c>
      <c r="U32">
        <f t="shared" si="1"/>
        <v>0.865149717316954</v>
      </c>
      <c r="X32" s="4"/>
    </row>
    <row r="33" spans="1:24" x14ac:dyDescent="0.25">
      <c r="A33" s="7">
        <v>27</v>
      </c>
      <c r="F33">
        <f t="shared" si="1"/>
        <v>74.474600374303208</v>
      </c>
      <c r="G33">
        <f t="shared" si="1"/>
        <v>15.620115779094025</v>
      </c>
      <c r="H33">
        <f t="shared" si="1"/>
        <v>7.144294559187534</v>
      </c>
      <c r="J33">
        <f t="shared" si="1"/>
        <v>5.0007714134306429</v>
      </c>
      <c r="K33">
        <f t="shared" si="1"/>
        <v>2.0579968740986203</v>
      </c>
      <c r="L33">
        <f t="shared" si="1"/>
        <v>6.4989904545972887</v>
      </c>
      <c r="M33">
        <f t="shared" si="1"/>
        <v>4.7945021700195198</v>
      </c>
      <c r="N33">
        <f t="shared" si="1"/>
        <v>8.623395963159977</v>
      </c>
      <c r="O33">
        <f t="shared" si="1"/>
        <v>7.7983189895154856</v>
      </c>
      <c r="P33">
        <f t="shared" si="1"/>
        <v>58.542900648658076</v>
      </c>
      <c r="Q33">
        <f t="shared" si="1"/>
        <v>4.0304674765389699</v>
      </c>
      <c r="R33">
        <f t="shared" si="1"/>
        <v>2.299818214748083</v>
      </c>
      <c r="S33">
        <f t="shared" si="1"/>
        <v>69.703911401490501</v>
      </c>
      <c r="T33">
        <f t="shared" si="1"/>
        <v>7.405233537031199</v>
      </c>
      <c r="U33">
        <f t="shared" si="1"/>
        <v>9.692977454603996E-2</v>
      </c>
      <c r="X33" s="4"/>
    </row>
    <row r="34" spans="1:24" x14ac:dyDescent="0.25">
      <c r="A34" s="7">
        <v>28</v>
      </c>
      <c r="F34">
        <f t="shared" si="1"/>
        <v>61.243139142994707</v>
      </c>
      <c r="G34">
        <f t="shared" si="1"/>
        <v>17.957631198844489</v>
      </c>
      <c r="H34">
        <f t="shared" si="1"/>
        <v>7.7631198844487237</v>
      </c>
      <c r="J34">
        <f t="shared" si="1"/>
        <v>5.1651420317766013</v>
      </c>
      <c r="K34">
        <f t="shared" si="1"/>
        <v>2.5402022147327878</v>
      </c>
      <c r="L34">
        <f t="shared" si="1"/>
        <v>6.6913818006740495</v>
      </c>
      <c r="M34">
        <f t="shared" si="1"/>
        <v>5.574386133846895</v>
      </c>
      <c r="N34">
        <f t="shared" si="1"/>
        <v>11.292248435243138</v>
      </c>
      <c r="O34">
        <f t="shared" si="1"/>
        <v>9.9017814155031303</v>
      </c>
      <c r="P34">
        <f t="shared" si="1"/>
        <v>42.863745787193068</v>
      </c>
      <c r="Q34">
        <f t="shared" si="1"/>
        <v>3.2614347616754933</v>
      </c>
      <c r="R34">
        <f t="shared" si="1"/>
        <v>1.5368319691863264</v>
      </c>
      <c r="S34">
        <f t="shared" si="1"/>
        <v>51.603273952816565</v>
      </c>
      <c r="T34">
        <f t="shared" si="1"/>
        <v>5.9624458353394321</v>
      </c>
      <c r="U34">
        <f t="shared" si="1"/>
        <v>0.77226769378911897</v>
      </c>
      <c r="X34" s="4"/>
    </row>
    <row r="35" spans="1:24" x14ac:dyDescent="0.25">
      <c r="A35" s="7">
        <v>29</v>
      </c>
      <c r="F35">
        <f t="shared" si="1"/>
        <v>42.598037248133579</v>
      </c>
      <c r="G35">
        <f t="shared" si="1"/>
        <v>15.905213935939633</v>
      </c>
      <c r="H35">
        <f t="shared" si="1"/>
        <v>5.3955607289074416</v>
      </c>
      <c r="J35">
        <f t="shared" si="1"/>
        <v>4.2064702576864414</v>
      </c>
      <c r="K35">
        <f t="shared" si="1"/>
        <v>1.1710283374809345</v>
      </c>
      <c r="L35">
        <f t="shared" si="1"/>
        <v>4.6068475555912336</v>
      </c>
      <c r="M35">
        <f t="shared" si="1"/>
        <v>3.6726338604800515</v>
      </c>
      <c r="N35">
        <f t="shared" si="1"/>
        <v>11.018403307377378</v>
      </c>
      <c r="O35">
        <f t="shared" si="1"/>
        <v>7.1962551176045597</v>
      </c>
      <c r="P35">
        <f t="shared" si="1"/>
        <v>26.396303283294532</v>
      </c>
      <c r="Q35">
        <f t="shared" si="1"/>
        <v>1.7404872762302319</v>
      </c>
      <c r="R35">
        <f t="shared" si="1"/>
        <v>0.3572288673035241</v>
      </c>
      <c r="S35">
        <f t="shared" si="1"/>
        <v>38.131672954965083</v>
      </c>
      <c r="T35">
        <f t="shared" si="1"/>
        <v>7.7456450188648951</v>
      </c>
      <c r="U35">
        <f t="shared" si="1"/>
        <v>0.82885124829413181</v>
      </c>
      <c r="X35" s="4"/>
    </row>
    <row r="36" spans="1:24" x14ac:dyDescent="0.25">
      <c r="A36" s="7">
        <v>30</v>
      </c>
      <c r="F36">
        <f t="shared" si="1"/>
        <v>56.260510356546447</v>
      </c>
      <c r="G36">
        <f t="shared" si="1"/>
        <v>10.66240881258606</v>
      </c>
      <c r="H36">
        <f t="shared" si="1"/>
        <v>3.3094073184308441</v>
      </c>
      <c r="J36">
        <f>100*J17/$E17</f>
        <v>2.7240500395511673</v>
      </c>
      <c r="K36">
        <f t="shared" si="1"/>
        <v>0.56309143643980897</v>
      </c>
      <c r="L36">
        <f t="shared" si="1"/>
        <v>4.0183986171739958</v>
      </c>
      <c r="M36">
        <f t="shared" si="1"/>
        <v>3.3580406058652916</v>
      </c>
      <c r="N36">
        <f t="shared" si="1"/>
        <v>6.8924501215832183</v>
      </c>
      <c r="O36">
        <f t="shared" si="1"/>
        <v>4.1701579116983565</v>
      </c>
      <c r="P36">
        <f t="shared" si="1"/>
        <v>45.380130665338527</v>
      </c>
      <c r="Q36">
        <f t="shared" si="1"/>
        <v>2.8388949110831159</v>
      </c>
      <c r="R36">
        <f t="shared" si="1"/>
        <v>1.8293147394017519</v>
      </c>
      <c r="S36">
        <f t="shared" si="1"/>
        <v>50.852254416547034</v>
      </c>
      <c r="T36">
        <f t="shared" si="1"/>
        <v>7.651832537427123</v>
      </c>
      <c r="U36">
        <f t="shared" si="1"/>
        <v>0.42949638180060351</v>
      </c>
      <c r="X36" s="4"/>
    </row>
    <row r="37" spans="1:24" s="7" customFormat="1" x14ac:dyDescent="0.25"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4" s="8" customFormat="1" x14ac:dyDescent="0.25">
      <c r="A38" s="8" t="s">
        <v>86</v>
      </c>
      <c r="B38" s="9" t="s">
        <v>70</v>
      </c>
      <c r="C38" s="9"/>
      <c r="D38" s="9" t="s">
        <v>324</v>
      </c>
      <c r="E38" s="8" t="s">
        <v>325</v>
      </c>
      <c r="F38" s="9" t="s">
        <v>326</v>
      </c>
      <c r="G38" s="9" t="s">
        <v>327</v>
      </c>
      <c r="H38" s="3" t="s">
        <v>328</v>
      </c>
      <c r="I38" s="24"/>
      <c r="J38" s="3" t="s">
        <v>330</v>
      </c>
      <c r="K38" s="3" t="s">
        <v>331</v>
      </c>
      <c r="M38" s="3" t="s">
        <v>17</v>
      </c>
      <c r="O38" s="3" t="s">
        <v>332</v>
      </c>
      <c r="R38" s="4" t="s">
        <v>333</v>
      </c>
      <c r="U38" s="4" t="s">
        <v>334</v>
      </c>
    </row>
    <row r="39" spans="1:24" x14ac:dyDescent="0.25">
      <c r="A39" s="8">
        <v>16</v>
      </c>
      <c r="G39">
        <f t="shared" ref="G39:U53" si="2">100*(G3/$F3)</f>
        <v>23.13524566623396</v>
      </c>
      <c r="H39">
        <f t="shared" si="2"/>
        <v>8.52163723879654</v>
      </c>
      <c r="J39">
        <f t="shared" si="2"/>
        <v>5.627864765821549</v>
      </c>
      <c r="K39">
        <f t="shared" si="2"/>
        <v>2.8202506634194533</v>
      </c>
      <c r="L39">
        <f t="shared" si="2"/>
        <v>12.117313237372054</v>
      </c>
      <c r="M39">
        <f>100*(M3/$F3)</f>
        <v>9.8048225711955332</v>
      </c>
      <c r="N39">
        <f t="shared" ref="N39:U39" si="3">100*(N3/$F3)</f>
        <v>11.519948534733311</v>
      </c>
      <c r="O39">
        <f t="shared" si="3"/>
        <v>8.6732759710048359</v>
      </c>
      <c r="P39">
        <f t="shared" si="3"/>
        <v>76.513228181828623</v>
      </c>
      <c r="Q39">
        <f t="shared" si="3"/>
        <v>4.6904616939884427</v>
      </c>
      <c r="R39">
        <f t="shared" si="3"/>
        <v>3.1396110236763204</v>
      </c>
      <c r="S39">
        <f t="shared" si="3"/>
        <v>95.406035681053197</v>
      </c>
      <c r="T39">
        <f t="shared" si="3"/>
        <v>12.177049707635929</v>
      </c>
      <c r="U39">
        <f t="shared" si="3"/>
        <v>1.417592390492711</v>
      </c>
      <c r="X39" s="4"/>
    </row>
    <row r="40" spans="1:24" x14ac:dyDescent="0.25">
      <c r="A40" s="8">
        <v>17</v>
      </c>
      <c r="G40">
        <f t="shared" si="2"/>
        <v>33.260003487638997</v>
      </c>
      <c r="H40">
        <f t="shared" si="2"/>
        <v>16.029054715690354</v>
      </c>
      <c r="J40">
        <f t="shared" si="2"/>
        <v>11.511891507599028</v>
      </c>
      <c r="K40">
        <f t="shared" si="2"/>
        <v>4.3655850514426753</v>
      </c>
      <c r="L40">
        <f t="shared" si="2"/>
        <v>11.059169137077626</v>
      </c>
      <c r="M40">
        <f t="shared" si="2"/>
        <v>8.3917959999463445</v>
      </c>
      <c r="N40">
        <f t="shared" si="2"/>
        <v>20.943272210224148</v>
      </c>
      <c r="O40">
        <f t="shared" si="2"/>
        <v>17.570993574695837</v>
      </c>
      <c r="P40">
        <f t="shared" si="2"/>
        <v>65.877476559041696</v>
      </c>
      <c r="Q40">
        <f t="shared" si="2"/>
        <v>4.1187675220324893</v>
      </c>
      <c r="R40">
        <f t="shared" si="2"/>
        <v>2.0167943231968235</v>
      </c>
      <c r="S40">
        <f t="shared" si="2"/>
        <v>90.357348857798229</v>
      </c>
      <c r="T40">
        <f t="shared" si="2"/>
        <v>13.111510550107983</v>
      </c>
      <c r="U40">
        <f t="shared" si="2"/>
        <v>1.7807079907175147</v>
      </c>
      <c r="X40" s="4"/>
    </row>
    <row r="41" spans="1:24" x14ac:dyDescent="0.25">
      <c r="A41" s="8">
        <v>18</v>
      </c>
      <c r="G41">
        <f t="shared" si="2"/>
        <v>39.433292972014257</v>
      </c>
      <c r="H41">
        <f t="shared" si="2"/>
        <v>15.012705288469737</v>
      </c>
      <c r="J41">
        <f t="shared" si="2"/>
        <v>12.602111294916179</v>
      </c>
      <c r="K41">
        <f t="shared" si="2"/>
        <v>2.2835411088561828</v>
      </c>
      <c r="L41">
        <f t="shared" si="2"/>
        <v>15.658202159046336</v>
      </c>
      <c r="M41">
        <f t="shared" si="2"/>
        <v>14.218837935092177</v>
      </c>
      <c r="N41">
        <f t="shared" si="2"/>
        <v>26.787693776966758</v>
      </c>
      <c r="O41">
        <f t="shared" si="2"/>
        <v>20.143424800040929</v>
      </c>
      <c r="P41">
        <f t="shared" si="2"/>
        <v>59.837645172843089</v>
      </c>
      <c r="Q41">
        <f t="shared" si="2"/>
        <v>3.8456946978869997</v>
      </c>
      <c r="R41">
        <f t="shared" si="2"/>
        <v>2.0038542217371282</v>
      </c>
      <c r="S41">
        <f t="shared" si="2"/>
        <v>91.437999897675525</v>
      </c>
      <c r="T41">
        <f t="shared" si="2"/>
        <v>16.631990040418167</v>
      </c>
      <c r="U41">
        <f t="shared" si="2"/>
        <v>1.8034687995634155</v>
      </c>
      <c r="X41" s="4"/>
    </row>
    <row r="42" spans="1:24" x14ac:dyDescent="0.25">
      <c r="A42" s="8">
        <v>19</v>
      </c>
      <c r="G42">
        <f t="shared" si="2"/>
        <v>25.222981618450209</v>
      </c>
      <c r="H42">
        <f t="shared" si="2"/>
        <v>9.3037480885060688</v>
      </c>
      <c r="J42">
        <f t="shared" si="2"/>
        <v>5.4901226476921643</v>
      </c>
      <c r="K42">
        <f t="shared" si="2"/>
        <v>3.736229441687732</v>
      </c>
      <c r="L42">
        <f t="shared" si="2"/>
        <v>11.536372998782886</v>
      </c>
      <c r="M42">
        <f t="shared" si="2"/>
        <v>7.6191367849452298</v>
      </c>
      <c r="N42">
        <f t="shared" si="2"/>
        <v>16.442904846612365</v>
      </c>
      <c r="O42">
        <f t="shared" si="2"/>
        <v>13.00502449833037</v>
      </c>
      <c r="P42">
        <f t="shared" si="2"/>
        <v>74.114159098711113</v>
      </c>
      <c r="Q42">
        <f t="shared" si="2"/>
        <v>5.1168742002933563</v>
      </c>
      <c r="R42">
        <f t="shared" si="2"/>
        <v>2.3718128764472741</v>
      </c>
      <c r="S42">
        <f t="shared" si="2"/>
        <v>85.790344224947717</v>
      </c>
      <c r="T42">
        <f t="shared" si="2"/>
        <v>16.277502106544333</v>
      </c>
      <c r="U42">
        <f t="shared" si="2"/>
        <v>2.0347657834784507</v>
      </c>
      <c r="X42" s="4"/>
    </row>
    <row r="43" spans="1:24" x14ac:dyDescent="0.25">
      <c r="A43" s="8">
        <v>20</v>
      </c>
      <c r="G43">
        <f t="shared" si="2"/>
        <v>41.953207855764688</v>
      </c>
      <c r="H43">
        <f t="shared" si="2"/>
        <v>18.042831039726046</v>
      </c>
      <c r="J43">
        <f t="shared" si="2"/>
        <v>16.207945208980206</v>
      </c>
      <c r="K43">
        <f t="shared" si="2"/>
        <v>1.7422470962548393</v>
      </c>
      <c r="L43">
        <f t="shared" si="2"/>
        <v>13.115728140453097</v>
      </c>
      <c r="M43">
        <f t="shared" si="2"/>
        <v>11.458453124800348</v>
      </c>
      <c r="N43">
        <f t="shared" si="2"/>
        <v>30.355477185315806</v>
      </c>
      <c r="O43">
        <f t="shared" si="2"/>
        <v>22.510573593488456</v>
      </c>
      <c r="P43">
        <f t="shared" si="2"/>
        <v>57.528654118909806</v>
      </c>
      <c r="Q43">
        <f t="shared" si="2"/>
        <v>3.9412989867239108</v>
      </c>
      <c r="R43">
        <f t="shared" si="2"/>
        <v>1.9083579305145604</v>
      </c>
      <c r="S43">
        <f t="shared" si="2"/>
        <v>81.66391944902314</v>
      </c>
      <c r="T43">
        <f t="shared" si="2"/>
        <v>14.788336463883672</v>
      </c>
      <c r="U43">
        <f t="shared" si="2"/>
        <v>0.11755535962995618</v>
      </c>
      <c r="X43" s="4"/>
    </row>
    <row r="44" spans="1:24" x14ac:dyDescent="0.25">
      <c r="A44" s="8">
        <v>21</v>
      </c>
      <c r="G44">
        <f t="shared" si="2"/>
        <v>28.165710819110281</v>
      </c>
      <c r="H44">
        <f t="shared" si="2"/>
        <v>12.729137610777208</v>
      </c>
      <c r="J44">
        <f t="shared" si="2"/>
        <v>6.364881514512831</v>
      </c>
      <c r="K44">
        <f t="shared" si="2"/>
        <v>6.2535570662880806</v>
      </c>
      <c r="L44">
        <f t="shared" si="2"/>
        <v>8.4431463541243197</v>
      </c>
      <c r="M44">
        <f t="shared" si="2"/>
        <v>6.588155829210784</v>
      </c>
      <c r="N44">
        <f t="shared" si="2"/>
        <v>17.072041928039379</v>
      </c>
      <c r="O44">
        <f t="shared" si="2"/>
        <v>12.309481966064805</v>
      </c>
      <c r="P44">
        <f t="shared" si="2"/>
        <v>70.971837416272137</v>
      </c>
      <c r="Q44">
        <f t="shared" si="2"/>
        <v>3.4416766212404548</v>
      </c>
      <c r="R44">
        <f t="shared" si="2"/>
        <v>1.2989937020382381</v>
      </c>
      <c r="S44">
        <f t="shared" si="2"/>
        <v>91.537465680173611</v>
      </c>
      <c r="T44">
        <f t="shared" si="2"/>
        <v>13.310776581839104</v>
      </c>
      <c r="U44">
        <f t="shared" si="2"/>
        <v>2.0251042884929298</v>
      </c>
      <c r="X44" s="4"/>
    </row>
    <row r="45" spans="1:24" x14ac:dyDescent="0.25">
      <c r="A45" s="8">
        <v>22</v>
      </c>
      <c r="G45">
        <f t="shared" si="2"/>
        <v>38.530708313285913</v>
      </c>
      <c r="H45">
        <f t="shared" si="2"/>
        <v>15.052470058906906</v>
      </c>
      <c r="J45">
        <f t="shared" si="2"/>
        <v>13.980962536247905</v>
      </c>
      <c r="K45">
        <f t="shared" si="2"/>
        <v>1.0103899819248123</v>
      </c>
      <c r="L45">
        <f t="shared" si="2"/>
        <v>13.674074459369839</v>
      </c>
      <c r="M45">
        <f t="shared" si="2"/>
        <v>10.665010858116279</v>
      </c>
      <c r="N45">
        <f t="shared" si="2"/>
        <v>21.307265185108125</v>
      </c>
      <c r="O45">
        <f t="shared" si="2"/>
        <v>20.278019791680212</v>
      </c>
      <c r="P45">
        <f t="shared" si="2"/>
        <v>60.434194613854174</v>
      </c>
      <c r="Q45">
        <f t="shared" si="2"/>
        <v>4.1403882914396428</v>
      </c>
      <c r="R45">
        <f t="shared" si="2"/>
        <v>1.4018023172650551</v>
      </c>
      <c r="S45">
        <f t="shared" si="2"/>
        <v>90.215341803097488</v>
      </c>
      <c r="T45">
        <f t="shared" si="2"/>
        <v>12.508289879195328</v>
      </c>
      <c r="U45">
        <f t="shared" si="2"/>
        <v>0.59817167527080273</v>
      </c>
      <c r="X45" s="4"/>
    </row>
    <row r="46" spans="1:24" x14ac:dyDescent="0.25">
      <c r="A46" s="8">
        <v>23</v>
      </c>
      <c r="G46">
        <f t="shared" si="2"/>
        <v>39.697373526087617</v>
      </c>
      <c r="H46">
        <f t="shared" si="2"/>
        <v>17.71787475469937</v>
      </c>
      <c r="J46">
        <f t="shared" si="2"/>
        <v>13.237518485405667</v>
      </c>
      <c r="K46">
        <f t="shared" si="2"/>
        <v>4.3139173315789776</v>
      </c>
      <c r="L46">
        <f t="shared" si="2"/>
        <v>13.025533757302791</v>
      </c>
      <c r="M46">
        <f t="shared" si="2"/>
        <v>10.543569328002789</v>
      </c>
      <c r="N46">
        <f t="shared" si="2"/>
        <v>30.116451027029456</v>
      </c>
      <c r="O46">
        <f t="shared" si="2"/>
        <v>26.352456942359272</v>
      </c>
      <c r="P46">
        <f t="shared" si="2"/>
        <v>59.80668342301918</v>
      </c>
      <c r="Q46">
        <f t="shared" si="2"/>
        <v>4.9532452781385832</v>
      </c>
      <c r="R46">
        <f t="shared" si="2"/>
        <v>2.3132763167512915</v>
      </c>
      <c r="S46">
        <f t="shared" si="2"/>
        <v>85.339878432100221</v>
      </c>
      <c r="T46">
        <f t="shared" si="2"/>
        <v>15.577784900164751</v>
      </c>
      <c r="U46">
        <f t="shared" si="2"/>
        <v>0.63258042205765763</v>
      </c>
      <c r="X46" s="4"/>
    </row>
    <row r="47" spans="1:24" x14ac:dyDescent="0.25">
      <c r="A47" s="8">
        <v>24</v>
      </c>
      <c r="G47">
        <f t="shared" si="2"/>
        <v>39.847432593803028</v>
      </c>
      <c r="H47">
        <f t="shared" si="2"/>
        <v>23.436616177487274</v>
      </c>
      <c r="J47">
        <f t="shared" si="2"/>
        <v>5.8921500848469616E-2</v>
      </c>
      <c r="K47">
        <f t="shared" si="2"/>
        <v>23.307774495631953</v>
      </c>
      <c r="L47">
        <f t="shared" si="2"/>
        <v>13.804914838790774</v>
      </c>
      <c r="M47">
        <f t="shared" si="2"/>
        <v>5.7263842624599333</v>
      </c>
      <c r="N47">
        <f t="shared" si="2"/>
        <v>26.588523662874742</v>
      </c>
      <c r="O47">
        <f t="shared" si="2"/>
        <v>24.163314687951733</v>
      </c>
      <c r="P47">
        <f t="shared" si="2"/>
        <v>59.395229715291308</v>
      </c>
      <c r="Q47">
        <f t="shared" si="2"/>
        <v>8.9340707686506189</v>
      </c>
      <c r="R47">
        <f t="shared" si="2"/>
        <v>4.0035195776506818</v>
      </c>
      <c r="S47">
        <f t="shared" si="2"/>
        <v>69.909182326692218</v>
      </c>
      <c r="T47">
        <f t="shared" si="2"/>
        <v>17.067594745773366</v>
      </c>
      <c r="U47">
        <f t="shared" si="2"/>
        <v>1.9821192885425178</v>
      </c>
      <c r="X47" s="4"/>
    </row>
    <row r="48" spans="1:24" x14ac:dyDescent="0.25">
      <c r="A48" s="8">
        <v>25</v>
      </c>
      <c r="G48">
        <f t="shared" si="2"/>
        <v>30.328846153846158</v>
      </c>
      <c r="H48">
        <f t="shared" si="2"/>
        <v>10.611538461538462</v>
      </c>
      <c r="J48">
        <f t="shared" si="2"/>
        <v>8.3634615384615394</v>
      </c>
      <c r="K48">
        <f t="shared" si="2"/>
        <v>2.1288461538461538</v>
      </c>
      <c r="L48">
        <f t="shared" si="2"/>
        <v>15.532692307692308</v>
      </c>
      <c r="M48">
        <f t="shared" si="2"/>
        <v>11.75</v>
      </c>
      <c r="N48">
        <f t="shared" si="2"/>
        <v>16.786538461538463</v>
      </c>
      <c r="O48">
        <f t="shared" si="2"/>
        <v>14.896153846153846</v>
      </c>
      <c r="P48">
        <f t="shared" si="2"/>
        <v>68.994230769230768</v>
      </c>
      <c r="Q48">
        <f t="shared" si="2"/>
        <v>5.2057692307692305</v>
      </c>
      <c r="R48">
        <f t="shared" si="2"/>
        <v>2.7788461538461542</v>
      </c>
      <c r="S48">
        <f t="shared" si="2"/>
        <v>87.757692307692309</v>
      </c>
      <c r="T48">
        <f t="shared" si="2"/>
        <v>10.111538461538462</v>
      </c>
      <c r="U48">
        <f t="shared" si="2"/>
        <v>1.1942307692307692</v>
      </c>
      <c r="X48" s="4"/>
    </row>
    <row r="49" spans="1:24" x14ac:dyDescent="0.25">
      <c r="A49" s="8">
        <v>26</v>
      </c>
      <c r="G49">
        <f t="shared" si="2"/>
        <v>25.106251607923845</v>
      </c>
      <c r="H49">
        <f t="shared" si="2"/>
        <v>6.6992539233341901</v>
      </c>
      <c r="J49">
        <f t="shared" si="2"/>
        <v>3.9696423977360431</v>
      </c>
      <c r="K49">
        <f t="shared" si="2"/>
        <v>2.6719835348597889</v>
      </c>
      <c r="L49">
        <f t="shared" si="2"/>
        <v>6.4214046822742468</v>
      </c>
      <c r="M49">
        <f t="shared" si="2"/>
        <v>4.7378440957036281</v>
      </c>
      <c r="N49">
        <f t="shared" si="2"/>
        <v>16.654489323385643</v>
      </c>
      <c r="O49">
        <f t="shared" si="2"/>
        <v>7.1628505273990228</v>
      </c>
      <c r="P49">
        <f t="shared" si="2"/>
        <v>74.186261898636488</v>
      </c>
      <c r="Q49">
        <f t="shared" si="2"/>
        <v>2.1924363262155904</v>
      </c>
      <c r="R49">
        <f t="shared" si="2"/>
        <v>0.85258554154875221</v>
      </c>
      <c r="S49">
        <f t="shared" si="2"/>
        <v>93.158219706714689</v>
      </c>
      <c r="T49">
        <f t="shared" si="2"/>
        <v>15.308464111139697</v>
      </c>
      <c r="U49">
        <f t="shared" si="2"/>
        <v>1.2755338307177773</v>
      </c>
      <c r="X49" s="4"/>
    </row>
    <row r="50" spans="1:24" x14ac:dyDescent="0.25">
      <c r="A50" s="8">
        <v>27</v>
      </c>
      <c r="G50">
        <f t="shared" si="2"/>
        <v>20.973749037374635</v>
      </c>
      <c r="H50">
        <f t="shared" si="2"/>
        <v>9.5929276871321196</v>
      </c>
      <c r="J50">
        <f t="shared" si="2"/>
        <v>6.7147341352584338</v>
      </c>
      <c r="K50">
        <f t="shared" si="2"/>
        <v>2.7633540344698693</v>
      </c>
      <c r="L50">
        <f t="shared" si="2"/>
        <v>8.7264522695441098</v>
      </c>
      <c r="M50">
        <f t="shared" si="2"/>
        <v>6.4377682403433472</v>
      </c>
      <c r="N50">
        <f t="shared" si="2"/>
        <v>11.578975811645178</v>
      </c>
      <c r="O50">
        <f t="shared" si="2"/>
        <v>10.471112231984831</v>
      </c>
      <c r="P50">
        <f t="shared" si="2"/>
        <v>78.607874838436558</v>
      </c>
      <c r="Q50">
        <f t="shared" si="2"/>
        <v>5.4118685515359219</v>
      </c>
      <c r="R50">
        <f t="shared" si="2"/>
        <v>3.0880571405410517</v>
      </c>
      <c r="S50">
        <f t="shared" si="2"/>
        <v>93.594206684110262</v>
      </c>
      <c r="T50">
        <f t="shared" si="2"/>
        <v>9.9433008029759193</v>
      </c>
      <c r="U50">
        <f t="shared" si="2"/>
        <v>0.13015145305765846</v>
      </c>
      <c r="X50" s="4"/>
    </row>
    <row r="51" spans="1:24" x14ac:dyDescent="0.25">
      <c r="A51" s="8">
        <v>28</v>
      </c>
      <c r="G51">
        <f t="shared" si="2"/>
        <v>29.321866008396096</v>
      </c>
      <c r="H51">
        <f t="shared" si="2"/>
        <v>12.675901322306252</v>
      </c>
      <c r="J51">
        <f t="shared" si="2"/>
        <v>8.4338296567664042</v>
      </c>
      <c r="K51">
        <f t="shared" si="2"/>
        <v>4.1477335262024182</v>
      </c>
      <c r="L51">
        <f t="shared" si="2"/>
        <v>10.925928837596894</v>
      </c>
      <c r="M51">
        <f t="shared" si="2"/>
        <v>9.1020581437398782</v>
      </c>
      <c r="N51">
        <f t="shared" si="2"/>
        <v>18.438389333501046</v>
      </c>
      <c r="O51">
        <f t="shared" si="2"/>
        <v>16.167984780113521</v>
      </c>
      <c r="P51">
        <f t="shared" si="2"/>
        <v>69.989465574440658</v>
      </c>
      <c r="Q51">
        <f t="shared" si="2"/>
        <v>5.3253879655980256</v>
      </c>
      <c r="R51">
        <f t="shared" si="2"/>
        <v>2.5093945063756862</v>
      </c>
      <c r="S51">
        <f t="shared" si="2"/>
        <v>84.259681451549511</v>
      </c>
      <c r="T51">
        <f t="shared" si="2"/>
        <v>9.7356959796229621</v>
      </c>
      <c r="U51">
        <f t="shared" si="2"/>
        <v>1.2609864624770051</v>
      </c>
      <c r="X51" s="4"/>
    </row>
    <row r="52" spans="1:24" x14ac:dyDescent="0.25">
      <c r="A52" s="8">
        <v>29</v>
      </c>
      <c r="G52">
        <f t="shared" si="2"/>
        <v>37.33790325430197</v>
      </c>
      <c r="H52">
        <f t="shared" si="2"/>
        <v>12.666219097087264</v>
      </c>
      <c r="J52">
        <f t="shared" si="2"/>
        <v>9.8747982992355983</v>
      </c>
      <c r="K52">
        <f t="shared" si="2"/>
        <v>2.7490194692767043</v>
      </c>
      <c r="L52">
        <f t="shared" si="2"/>
        <v>10.81469441598059</v>
      </c>
      <c r="M52">
        <f t="shared" si="2"/>
        <v>8.6216034769089429</v>
      </c>
      <c r="N52">
        <f t="shared" si="2"/>
        <v>25.865988245409465</v>
      </c>
      <c r="O52">
        <f t="shared" si="2"/>
        <v>16.893395993074449</v>
      </c>
      <c r="P52">
        <f t="shared" si="2"/>
        <v>61.966008268259074</v>
      </c>
      <c r="Q52">
        <f t="shared" si="2"/>
        <v>4.0858391340706453</v>
      </c>
      <c r="R52">
        <f t="shared" si="2"/>
        <v>0.83860405403813765</v>
      </c>
      <c r="S52">
        <f t="shared" si="2"/>
        <v>89.515093695158001</v>
      </c>
      <c r="T52">
        <f t="shared" si="2"/>
        <v>18.183103070562879</v>
      </c>
      <c r="U52">
        <f t="shared" si="2"/>
        <v>1.9457498557177013</v>
      </c>
      <c r="X52" s="4"/>
    </row>
    <row r="53" spans="1:24" x14ac:dyDescent="0.25">
      <c r="A53" s="8">
        <v>30</v>
      </c>
      <c r="G53">
        <f>100*(G17/$F17)</f>
        <v>18.951852276159432</v>
      </c>
      <c r="H53">
        <f>100*(H17/$F17)</f>
        <v>5.8822916775154406</v>
      </c>
      <c r="J53">
        <f>100*(J17/$F17)</f>
        <v>4.8418509222325214</v>
      </c>
      <c r="K53">
        <f t="shared" si="2"/>
        <v>1.0008644302571419</v>
      </c>
      <c r="L53">
        <f t="shared" si="2"/>
        <v>7.1424851849151718</v>
      </c>
      <c r="M53">
        <f t="shared" si="2"/>
        <v>5.9687347032296358</v>
      </c>
      <c r="N53">
        <f t="shared" si="2"/>
        <v>12.250955559952924</v>
      </c>
      <c r="O53">
        <f t="shared" si="2"/>
        <v>7.4122290844329655</v>
      </c>
      <c r="P53">
        <f t="shared" si="2"/>
        <v>80.660716331482959</v>
      </c>
      <c r="Q53">
        <f t="shared" si="2"/>
        <v>5.0459814407865275</v>
      </c>
      <c r="R53">
        <f t="shared" si="2"/>
        <v>3.2515075455388107</v>
      </c>
      <c r="S53">
        <f t="shared" si="2"/>
        <v>90.387118947686346</v>
      </c>
      <c r="T53">
        <f t="shared" si="2"/>
        <v>13.600716539779414</v>
      </c>
      <c r="U53">
        <f t="shared" si="2"/>
        <v>0.76340648010248191</v>
      </c>
      <c r="X53" s="4"/>
    </row>
    <row r="54" spans="1:24" s="8" customFormat="1" x14ac:dyDescent="0.25"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4" s="10" customFormat="1" x14ac:dyDescent="0.25">
      <c r="A55" s="10" t="s">
        <v>87</v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1:24" s="10" customFormat="1" ht="27" customHeight="1" x14ac:dyDescent="0.25">
      <c r="A56" s="10" t="s">
        <v>87</v>
      </c>
      <c r="B56" s="22" t="s">
        <v>70</v>
      </c>
      <c r="C56" s="22" t="s">
        <v>335</v>
      </c>
      <c r="D56" s="22" t="s">
        <v>89</v>
      </c>
      <c r="E56" s="21" t="s">
        <v>336</v>
      </c>
      <c r="F56" s="22" t="s">
        <v>326</v>
      </c>
      <c r="G56" s="22" t="s">
        <v>327</v>
      </c>
      <c r="H56" s="17" t="s">
        <v>328</v>
      </c>
      <c r="I56" s="25"/>
      <c r="J56" s="17" t="s">
        <v>330</v>
      </c>
      <c r="K56" s="17" t="s">
        <v>331</v>
      </c>
      <c r="L56" s="21"/>
      <c r="M56" s="17" t="s">
        <v>17</v>
      </c>
      <c r="N56" s="21"/>
      <c r="O56" s="17" t="s">
        <v>332</v>
      </c>
      <c r="P56" s="21"/>
      <c r="Q56" s="21"/>
      <c r="R56" s="18" t="s">
        <v>333</v>
      </c>
      <c r="S56" s="21"/>
      <c r="U56" s="18" t="s">
        <v>334</v>
      </c>
      <c r="V56" s="21"/>
      <c r="W56" s="21"/>
    </row>
    <row r="57" spans="1:24" s="6" customFormat="1" x14ac:dyDescent="0.25">
      <c r="A57" s="12">
        <v>16</v>
      </c>
      <c r="B57" s="1">
        <v>1190000</v>
      </c>
      <c r="C57">
        <v>226318</v>
      </c>
      <c r="D57" s="6">
        <v>1875000</v>
      </c>
      <c r="E57" s="6">
        <f>(C57/B57)*D57</f>
        <v>356593.48739495798</v>
      </c>
      <c r="H57" s="6">
        <f>H22*$E57</f>
        <v>1168802.5210084033</v>
      </c>
      <c r="J57" s="6">
        <f t="shared" ref="J57:K57" si="4">J22*$E57</f>
        <v>771901.26050420175</v>
      </c>
      <c r="K57" s="6">
        <f t="shared" si="4"/>
        <v>386817.22689075628</v>
      </c>
      <c r="M57" s="6">
        <f>M22*$E57</f>
        <v>1344800.4201680673</v>
      </c>
      <c r="O57" s="6">
        <f>O22*$E57</f>
        <v>1189600.8403361344</v>
      </c>
      <c r="R57" s="6">
        <f>R22*$E57</f>
        <v>430619.74789915967</v>
      </c>
      <c r="U57" s="6">
        <f>U22*$E57</f>
        <v>194432.77310924369</v>
      </c>
    </row>
    <row r="58" spans="1:24" s="6" customFormat="1" x14ac:dyDescent="0.25">
      <c r="A58" s="12">
        <v>17</v>
      </c>
      <c r="B58" s="1">
        <v>1040000</v>
      </c>
      <c r="C58">
        <v>235419</v>
      </c>
      <c r="D58" s="6">
        <v>1155000</v>
      </c>
      <c r="E58" s="6">
        <f t="shared" ref="E58:E71" si="5">(C58/B58)*D58</f>
        <v>261450.90865384616</v>
      </c>
      <c r="H58" s="6">
        <f t="shared" ref="H58" si="6">H23*$E58</f>
        <v>2654167.7884615385</v>
      </c>
      <c r="J58" s="6">
        <f t="shared" ref="J58:K58" si="7">J23*$E58</f>
        <v>1906194.2307692308</v>
      </c>
      <c r="K58" s="6">
        <f t="shared" si="7"/>
        <v>722874.51923076925</v>
      </c>
      <c r="M58" s="6">
        <f t="shared" ref="M58:M71" si="8">M23*$E58</f>
        <v>1389553.8461538462</v>
      </c>
      <c r="O58" s="6">
        <f t="shared" ref="O58" si="9">O23*$E58</f>
        <v>2909489.423076923</v>
      </c>
      <c r="R58" s="6">
        <f t="shared" ref="R58:U69" si="10">R23*$E58</f>
        <v>333950.48076923081</v>
      </c>
      <c r="U58" s="6">
        <f t="shared" si="10"/>
        <v>294858.17307692306</v>
      </c>
    </row>
    <row r="59" spans="1:24" s="6" customFormat="1" x14ac:dyDescent="0.25">
      <c r="A59" s="12">
        <v>18</v>
      </c>
      <c r="B59" s="1">
        <v>1200000</v>
      </c>
      <c r="C59">
        <v>209644</v>
      </c>
      <c r="D59" s="6">
        <v>1290000</v>
      </c>
      <c r="E59" s="6">
        <f t="shared" si="5"/>
        <v>225367.3</v>
      </c>
      <c r="H59" s="6">
        <f t="shared" ref="H59" si="11">H24*$E59</f>
        <v>1892645</v>
      </c>
      <c r="J59" s="6">
        <f t="shared" ref="J59:K59" si="12">J24*$E59</f>
        <v>1588742.5</v>
      </c>
      <c r="K59" s="6">
        <f t="shared" si="12"/>
        <v>287885</v>
      </c>
      <c r="M59" s="6">
        <f t="shared" si="8"/>
        <v>1792562.4999999998</v>
      </c>
      <c r="O59" s="6">
        <f t="shared" ref="O59" si="13">O24*$E59</f>
        <v>2539472.4999999995</v>
      </c>
      <c r="R59" s="6">
        <f t="shared" si="10"/>
        <v>252625</v>
      </c>
      <c r="U59" s="6">
        <f t="shared" si="10"/>
        <v>227362.49999999997</v>
      </c>
    </row>
    <row r="60" spans="1:24" s="6" customFormat="1" x14ac:dyDescent="0.25">
      <c r="A60" s="12">
        <v>19</v>
      </c>
      <c r="B60" s="1">
        <v>1200000</v>
      </c>
      <c r="C60">
        <v>258233</v>
      </c>
      <c r="D60" s="6">
        <v>1670000</v>
      </c>
      <c r="E60" s="6">
        <f t="shared" si="5"/>
        <v>359374.2583333333</v>
      </c>
      <c r="H60" s="6">
        <f t="shared" ref="H60" si="14">H25*$E60</f>
        <v>2074418.333333333</v>
      </c>
      <c r="J60" s="6">
        <f t="shared" ref="J60:K60" si="15">J25*$E60</f>
        <v>1224110</v>
      </c>
      <c r="K60" s="6">
        <f t="shared" si="15"/>
        <v>833051.66666666663</v>
      </c>
      <c r="M60" s="6">
        <f t="shared" si="8"/>
        <v>1698807.4999999998</v>
      </c>
      <c r="O60" s="6">
        <f t="shared" ref="O60" si="16">O25*$E60</f>
        <v>2899676.6666666665</v>
      </c>
      <c r="R60" s="6">
        <f t="shared" si="10"/>
        <v>528833.33333333326</v>
      </c>
      <c r="U60" s="6">
        <f t="shared" si="10"/>
        <v>453683.33333333331</v>
      </c>
    </row>
    <row r="61" spans="1:24" s="6" customFormat="1" x14ac:dyDescent="0.25">
      <c r="A61" s="12">
        <v>20</v>
      </c>
      <c r="B61" s="1">
        <v>1200000</v>
      </c>
      <c r="C61">
        <v>247374</v>
      </c>
      <c r="D61" s="6">
        <v>1635000.0000000002</v>
      </c>
      <c r="E61" s="6">
        <f t="shared" si="5"/>
        <v>337047.07500000001</v>
      </c>
      <c r="H61" s="6">
        <f t="shared" ref="H61" si="17">H26*$E61</f>
        <v>3847836.2500000005</v>
      </c>
      <c r="J61" s="6">
        <f t="shared" ref="J61:K61" si="18">J26*$E61</f>
        <v>3456526.2500000005</v>
      </c>
      <c r="K61" s="6">
        <f t="shared" si="18"/>
        <v>371553.75</v>
      </c>
      <c r="M61" s="6">
        <f t="shared" si="8"/>
        <v>2443643.75</v>
      </c>
      <c r="O61" s="6">
        <f t="shared" ref="O61" si="19">O26*$E61</f>
        <v>4800632.5</v>
      </c>
      <c r="R61" s="6">
        <f t="shared" si="10"/>
        <v>406978.75</v>
      </c>
      <c r="U61" s="6">
        <f t="shared" si="10"/>
        <v>25070</v>
      </c>
    </row>
    <row r="62" spans="1:24" s="6" customFormat="1" x14ac:dyDescent="0.25">
      <c r="A62" s="12">
        <v>21</v>
      </c>
      <c r="B62" s="1">
        <v>1200000</v>
      </c>
      <c r="C62">
        <v>271541</v>
      </c>
      <c r="D62" s="6">
        <v>2220000</v>
      </c>
      <c r="E62" s="6">
        <f t="shared" si="5"/>
        <v>502350.85000000003</v>
      </c>
      <c r="H62" s="6">
        <f t="shared" ref="H62" si="20">H27*$E62</f>
        <v>3765305.0000000005</v>
      </c>
      <c r="J62" s="6">
        <f t="shared" ref="J62:K62" si="21">J27*$E62</f>
        <v>1882745</v>
      </c>
      <c r="K62" s="6">
        <f t="shared" si="21"/>
        <v>1849815.0000000002</v>
      </c>
      <c r="M62" s="6">
        <f t="shared" si="8"/>
        <v>1948790</v>
      </c>
      <c r="O62" s="6">
        <f t="shared" ref="O62" si="22">O27*$E62</f>
        <v>3641170</v>
      </c>
      <c r="R62" s="6">
        <f t="shared" si="10"/>
        <v>384245.00000000006</v>
      </c>
      <c r="U62" s="6">
        <f t="shared" si="10"/>
        <v>599030</v>
      </c>
    </row>
    <row r="63" spans="1:24" s="6" customFormat="1" x14ac:dyDescent="0.25">
      <c r="A63" s="12">
        <v>22</v>
      </c>
      <c r="B63" s="1">
        <v>1200000</v>
      </c>
      <c r="C63">
        <v>309692</v>
      </c>
      <c r="D63" s="6">
        <v>1540000</v>
      </c>
      <c r="E63" s="6">
        <f t="shared" si="5"/>
        <v>397438.06666666671</v>
      </c>
      <c r="H63" s="6">
        <f t="shared" ref="H63" si="23">H28*$E63</f>
        <v>2971045</v>
      </c>
      <c r="J63" s="6">
        <f t="shared" ref="J63:K63" si="24">J28*$E63</f>
        <v>2759551.666666667</v>
      </c>
      <c r="K63" s="6">
        <f t="shared" si="24"/>
        <v>199430</v>
      </c>
      <c r="M63" s="6">
        <f t="shared" si="8"/>
        <v>2105051.666666667</v>
      </c>
      <c r="O63" s="6">
        <f t="shared" ref="O63" si="25">O28*$E63</f>
        <v>4002460.0000000005</v>
      </c>
      <c r="R63" s="6">
        <f t="shared" si="10"/>
        <v>276686.66666666669</v>
      </c>
      <c r="U63" s="6">
        <f t="shared" si="10"/>
        <v>118066.66666666669</v>
      </c>
    </row>
    <row r="64" spans="1:24" s="6" customFormat="1" x14ac:dyDescent="0.25">
      <c r="A64" s="12">
        <v>23</v>
      </c>
      <c r="B64" s="1">
        <v>1200000</v>
      </c>
      <c r="C64">
        <v>289729</v>
      </c>
      <c r="D64" s="6">
        <v>1675000</v>
      </c>
      <c r="E64" s="6">
        <f t="shared" si="5"/>
        <v>404413.39583333331</v>
      </c>
      <c r="H64" s="6">
        <f t="shared" ref="H64" si="26">H29*$E64</f>
        <v>4398270.833333333</v>
      </c>
      <c r="J64" s="6">
        <f t="shared" ref="J64:K64" si="27">J29*$E64</f>
        <v>3286070.833333333</v>
      </c>
      <c r="K64" s="6">
        <f t="shared" si="27"/>
        <v>1070883.3333333333</v>
      </c>
      <c r="M64" s="6">
        <f t="shared" si="8"/>
        <v>2617327.083333333</v>
      </c>
      <c r="O64" s="6">
        <f t="shared" ref="O64" si="28">O29*$E64</f>
        <v>6541712.4999999991</v>
      </c>
      <c r="R64" s="6">
        <f t="shared" si="10"/>
        <v>574245.83333333337</v>
      </c>
      <c r="U64" s="6">
        <f t="shared" si="10"/>
        <v>157031.24999999997</v>
      </c>
    </row>
    <row r="65" spans="1:22" s="6" customFormat="1" x14ac:dyDescent="0.25">
      <c r="A65" s="12">
        <v>24</v>
      </c>
      <c r="B65" s="1">
        <v>1010000</v>
      </c>
      <c r="C65">
        <v>244639</v>
      </c>
      <c r="D65" s="6">
        <v>1005000.0000000001</v>
      </c>
      <c r="E65" s="6">
        <f t="shared" si="5"/>
        <v>243427.91584158418</v>
      </c>
      <c r="H65" s="6">
        <f t="shared" ref="H65" si="29">H30*$E65</f>
        <v>2968431.6831683172</v>
      </c>
      <c r="J65" s="6">
        <f t="shared" ref="J65:K65" si="30">J30*$E65</f>
        <v>7462.8712871287134</v>
      </c>
      <c r="K65" s="6">
        <f t="shared" si="30"/>
        <v>2952112.8712871289</v>
      </c>
      <c r="M65" s="6">
        <f t="shared" si="8"/>
        <v>725291.58415841591</v>
      </c>
      <c r="O65" s="6">
        <f t="shared" ref="O65" si="31">O30*$E65</f>
        <v>3060473.7623762381</v>
      </c>
      <c r="R65" s="6">
        <f t="shared" si="10"/>
        <v>507077.22772277228</v>
      </c>
      <c r="U65" s="6">
        <f t="shared" si="10"/>
        <v>251050.99009900994</v>
      </c>
    </row>
    <row r="66" spans="1:22" s="6" customFormat="1" x14ac:dyDescent="0.25">
      <c r="A66" s="12">
        <v>25</v>
      </c>
      <c r="B66" s="1">
        <v>611000</v>
      </c>
      <c r="C66">
        <v>98706</v>
      </c>
      <c r="D66" s="6">
        <v>455999.99999999994</v>
      </c>
      <c r="E66" s="6">
        <f t="shared" si="5"/>
        <v>73666.016366612093</v>
      </c>
      <c r="H66" s="6">
        <f t="shared" ref="H66" si="32">H31*$E66</f>
        <v>411818.00327332236</v>
      </c>
      <c r="J66" s="6">
        <f t="shared" ref="J66:K66" si="33">J31*$E66</f>
        <v>324573.48608837964</v>
      </c>
      <c r="K66" s="6">
        <f t="shared" si="33"/>
        <v>82617.348608837958</v>
      </c>
      <c r="M66" s="6">
        <f t="shared" si="8"/>
        <v>455999.99999999988</v>
      </c>
      <c r="O66" s="6">
        <f t="shared" ref="O66" si="34">O31*$E66</f>
        <v>578097.54500818322</v>
      </c>
      <c r="R66" s="6">
        <f t="shared" si="10"/>
        <v>107842.88052373157</v>
      </c>
      <c r="U66" s="6">
        <f t="shared" si="10"/>
        <v>46346.317512274945</v>
      </c>
    </row>
    <row r="67" spans="1:22" s="6" customFormat="1" x14ac:dyDescent="0.25">
      <c r="A67" s="12">
        <v>26</v>
      </c>
      <c r="B67" s="1">
        <v>1170000</v>
      </c>
      <c r="C67">
        <v>286540</v>
      </c>
      <c r="D67" s="6">
        <v>1315000</v>
      </c>
      <c r="E67" s="6">
        <f t="shared" si="5"/>
        <v>322051.3675213675</v>
      </c>
      <c r="H67" s="6">
        <f t="shared" ref="H67" si="35">H32*$E67</f>
        <v>1463358.974358974</v>
      </c>
      <c r="J67" s="6">
        <f t="shared" ref="J67:K67" si="36">J32*$E67</f>
        <v>867113.24786324776</v>
      </c>
      <c r="K67" s="6">
        <f t="shared" si="36"/>
        <v>583657.69230769225</v>
      </c>
      <c r="M67" s="6">
        <f t="shared" si="8"/>
        <v>1034916.2393162393</v>
      </c>
      <c r="O67" s="6">
        <f t="shared" ref="O67" si="37">O32*$E67</f>
        <v>1564625.2136752135</v>
      </c>
      <c r="R67" s="6">
        <f t="shared" si="10"/>
        <v>186235.47008547006</v>
      </c>
      <c r="U67" s="6">
        <f t="shared" si="10"/>
        <v>278622.64957264956</v>
      </c>
    </row>
    <row r="68" spans="1:22" s="6" customFormat="1" x14ac:dyDescent="0.25">
      <c r="A68" s="12">
        <v>27</v>
      </c>
      <c r="B68" s="1">
        <v>1200000</v>
      </c>
      <c r="C68">
        <v>298154</v>
      </c>
      <c r="D68" s="6">
        <v>2340000</v>
      </c>
      <c r="E68" s="6">
        <f t="shared" si="5"/>
        <v>581400.30000000005</v>
      </c>
      <c r="H68" s="6">
        <f t="shared" ref="H68" si="38">H33*$E68</f>
        <v>4153695.0000000005</v>
      </c>
      <c r="J68" s="6">
        <f t="shared" ref="J68:K68" si="39">J33*$E68</f>
        <v>2907450</v>
      </c>
      <c r="K68" s="6">
        <f t="shared" si="39"/>
        <v>1196520.0000000002</v>
      </c>
      <c r="M68" s="6">
        <f t="shared" si="8"/>
        <v>2787525</v>
      </c>
      <c r="O68" s="6">
        <f t="shared" ref="O68" si="40">O33*$E68</f>
        <v>4533945.0000000009</v>
      </c>
      <c r="R68" s="6">
        <f t="shared" si="10"/>
        <v>1337115</v>
      </c>
      <c r="U68" s="6">
        <f t="shared" si="10"/>
        <v>56355</v>
      </c>
    </row>
    <row r="69" spans="1:22" s="6" customFormat="1" x14ac:dyDescent="0.25">
      <c r="A69" s="12">
        <v>28</v>
      </c>
      <c r="B69" s="1">
        <v>559000</v>
      </c>
      <c r="C69">
        <v>103850</v>
      </c>
      <c r="D69" s="6">
        <v>660000</v>
      </c>
      <c r="E69" s="6">
        <f t="shared" si="5"/>
        <v>122613.59570661897</v>
      </c>
      <c r="H69" s="6">
        <f t="shared" ref="H69" si="41">H34*$E69</f>
        <v>951864.04293381039</v>
      </c>
      <c r="J69" s="6">
        <f t="shared" ref="J69:K69" si="42">J34*$E69</f>
        <v>633316.63685152063</v>
      </c>
      <c r="K69" s="6">
        <f t="shared" si="42"/>
        <v>311463.32737030415</v>
      </c>
      <c r="M69" s="6">
        <f t="shared" si="8"/>
        <v>683495.52772808599</v>
      </c>
      <c r="O69" s="6">
        <f t="shared" ref="O69" si="43">O34*$E69</f>
        <v>1214093.0232558141</v>
      </c>
      <c r="R69" s="6">
        <f t="shared" si="10"/>
        <v>188436.49373881932</v>
      </c>
      <c r="U69" s="6">
        <f t="shared" si="10"/>
        <v>94690.518783542051</v>
      </c>
    </row>
    <row r="70" spans="1:22" s="6" customFormat="1" x14ac:dyDescent="0.25">
      <c r="A70" s="12">
        <v>29</v>
      </c>
      <c r="B70" s="1">
        <v>900000</v>
      </c>
      <c r="C70">
        <v>199312</v>
      </c>
      <c r="D70" s="6">
        <v>725000</v>
      </c>
      <c r="E70" s="6">
        <f t="shared" si="5"/>
        <v>160556.88888888891</v>
      </c>
      <c r="H70" s="6">
        <f>H35*$E70</f>
        <v>866294.4444444445</v>
      </c>
      <c r="J70" s="6">
        <f t="shared" ref="J70:K70" si="44">J35*$E70</f>
        <v>675377.77777777787</v>
      </c>
      <c r="K70" s="6">
        <f t="shared" si="44"/>
        <v>188016.66666666669</v>
      </c>
      <c r="M70" s="6">
        <f>M35*$E70</f>
        <v>589666.66666666674</v>
      </c>
      <c r="O70" s="6">
        <f>O35*$E70</f>
        <v>1155408.3333333335</v>
      </c>
      <c r="R70" s="6">
        <f>R35*$E70</f>
        <v>57355.555555555555</v>
      </c>
      <c r="U70" s="6">
        <f>U35*$E70</f>
        <v>133077.77777777778</v>
      </c>
    </row>
    <row r="71" spans="1:22" s="6" customFormat="1" x14ac:dyDescent="0.25">
      <c r="A71" s="12">
        <v>30</v>
      </c>
      <c r="B71" s="1">
        <v>836000</v>
      </c>
      <c r="C71">
        <v>170665</v>
      </c>
      <c r="D71" s="6">
        <v>660000</v>
      </c>
      <c r="E71" s="6">
        <f t="shared" si="5"/>
        <v>134735.52631578947</v>
      </c>
      <c r="H71" s="6">
        <f t="shared" ref="H71" si="45">H36*$E71</f>
        <v>445894.73684210522</v>
      </c>
      <c r="J71" s="6">
        <f t="shared" ref="J71:K71" si="46">J36*$E71</f>
        <v>367026.31578947365</v>
      </c>
      <c r="K71" s="6">
        <f t="shared" si="46"/>
        <v>75868.421052631573</v>
      </c>
      <c r="M71" s="6">
        <f t="shared" si="8"/>
        <v>452447.36842105258</v>
      </c>
      <c r="O71" s="6">
        <f t="shared" ref="O71" si="47">O36*$E71</f>
        <v>561868.42105263157</v>
      </c>
      <c r="R71" s="6">
        <f t="shared" ref="R71:U71" si="48">R36*$E71</f>
        <v>246473.68421052629</v>
      </c>
      <c r="U71" s="6">
        <f t="shared" si="48"/>
        <v>57868.421052631573</v>
      </c>
    </row>
    <row r="72" spans="1:22" s="10" customFormat="1" x14ac:dyDescent="0.25">
      <c r="I72"/>
      <c r="J72"/>
      <c r="K72"/>
      <c r="L72"/>
      <c r="M72"/>
      <c r="N72"/>
      <c r="O72"/>
      <c r="P72"/>
      <c r="Q72"/>
      <c r="R72"/>
      <c r="S72"/>
      <c r="T72"/>
      <c r="U72"/>
      <c r="V7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0F4F-D38C-BE44-BC29-32B18489A8F3}">
  <dimension ref="A1:X70"/>
  <sheetViews>
    <sheetView topLeftCell="A29" zoomScale="70" zoomScaleNormal="70" workbookViewId="0">
      <selection activeCell="A55" sqref="A55"/>
    </sheetView>
  </sheetViews>
  <sheetFormatPr defaultColWidth="11" defaultRowHeight="15.75" x14ac:dyDescent="0.25"/>
  <sheetData>
    <row r="1" spans="1:21" x14ac:dyDescent="0.25">
      <c r="A1" t="s">
        <v>31</v>
      </c>
      <c r="B1" t="s">
        <v>32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  <c r="H1" t="s">
        <v>448</v>
      </c>
      <c r="I1" t="s">
        <v>449</v>
      </c>
      <c r="J1" t="s">
        <v>450</v>
      </c>
      <c r="K1" t="s">
        <v>451</v>
      </c>
      <c r="L1" t="s">
        <v>452</v>
      </c>
      <c r="M1" t="s">
        <v>453</v>
      </c>
      <c r="N1" t="s">
        <v>454</v>
      </c>
      <c r="O1" t="s">
        <v>455</v>
      </c>
      <c r="P1" t="s">
        <v>456</v>
      </c>
      <c r="Q1" t="s">
        <v>457</v>
      </c>
      <c r="R1" t="s">
        <v>458</v>
      </c>
      <c r="S1" t="s">
        <v>459</v>
      </c>
      <c r="T1" t="s">
        <v>460</v>
      </c>
      <c r="U1" t="s">
        <v>461</v>
      </c>
    </row>
    <row r="3" spans="1:21" x14ac:dyDescent="0.25">
      <c r="A3" t="s">
        <v>477</v>
      </c>
      <c r="B3" s="1">
        <v>1030000</v>
      </c>
      <c r="C3" s="1">
        <v>620000</v>
      </c>
      <c r="D3" s="1">
        <v>601000</v>
      </c>
      <c r="E3">
        <v>334839</v>
      </c>
      <c r="F3">
        <v>138476</v>
      </c>
      <c r="G3">
        <v>33716</v>
      </c>
      <c r="H3">
        <v>11928</v>
      </c>
      <c r="I3" s="29">
        <v>295672</v>
      </c>
      <c r="J3">
        <v>8390</v>
      </c>
      <c r="K3">
        <v>3439</v>
      </c>
      <c r="L3">
        <v>8377</v>
      </c>
      <c r="M3">
        <v>5205</v>
      </c>
      <c r="N3">
        <v>18921</v>
      </c>
      <c r="O3">
        <v>14180</v>
      </c>
      <c r="P3">
        <v>102799</v>
      </c>
      <c r="Q3">
        <v>5604</v>
      </c>
      <c r="R3">
        <v>3059</v>
      </c>
      <c r="S3">
        <v>128309</v>
      </c>
      <c r="T3">
        <v>16919</v>
      </c>
      <c r="U3">
        <v>107</v>
      </c>
    </row>
    <row r="4" spans="1:21" x14ac:dyDescent="0.25">
      <c r="A4" t="s">
        <v>478</v>
      </c>
      <c r="B4" s="1">
        <v>945000</v>
      </c>
      <c r="C4" s="1">
        <v>573000</v>
      </c>
      <c r="D4" s="1">
        <v>548000</v>
      </c>
      <c r="E4">
        <v>303097</v>
      </c>
      <c r="F4">
        <v>121008</v>
      </c>
      <c r="G4">
        <v>30487</v>
      </c>
      <c r="H4">
        <v>8219</v>
      </c>
      <c r="I4" s="29">
        <v>319854</v>
      </c>
      <c r="J4">
        <v>6246</v>
      </c>
      <c r="K4">
        <v>1895</v>
      </c>
      <c r="L4">
        <v>12638</v>
      </c>
      <c r="M4">
        <v>9049</v>
      </c>
      <c r="N4">
        <v>16780</v>
      </c>
      <c r="O4">
        <v>14601</v>
      </c>
      <c r="P4">
        <v>89458</v>
      </c>
      <c r="Q4">
        <v>6332</v>
      </c>
      <c r="R4">
        <v>4050</v>
      </c>
      <c r="S4">
        <v>110226</v>
      </c>
      <c r="T4">
        <v>17595</v>
      </c>
      <c r="U4">
        <v>2436</v>
      </c>
    </row>
    <row r="5" spans="1:21" x14ac:dyDescent="0.25">
      <c r="A5" t="s">
        <v>479</v>
      </c>
      <c r="B5" s="1">
        <v>696000</v>
      </c>
      <c r="C5" s="1">
        <v>401000</v>
      </c>
      <c r="D5">
        <v>382103</v>
      </c>
      <c r="E5">
        <v>196054</v>
      </c>
      <c r="F5">
        <v>88598</v>
      </c>
      <c r="G5">
        <v>22697</v>
      </c>
      <c r="H5">
        <v>8197</v>
      </c>
      <c r="I5" s="29">
        <v>177042</v>
      </c>
      <c r="J5">
        <v>5154</v>
      </c>
      <c r="K5">
        <v>2981</v>
      </c>
      <c r="L5">
        <v>6878</v>
      </c>
      <c r="M5">
        <v>5680</v>
      </c>
      <c r="N5">
        <v>13935</v>
      </c>
      <c r="O5">
        <v>10361</v>
      </c>
      <c r="P5">
        <v>65245</v>
      </c>
      <c r="Q5">
        <v>4271</v>
      </c>
      <c r="R5">
        <v>2716</v>
      </c>
      <c r="S5">
        <v>80275</v>
      </c>
      <c r="T5">
        <v>11395</v>
      </c>
      <c r="U5">
        <v>75</v>
      </c>
    </row>
    <row r="6" spans="1:21" x14ac:dyDescent="0.25">
      <c r="A6" t="s">
        <v>480</v>
      </c>
      <c r="B6" s="1">
        <v>403000</v>
      </c>
      <c r="C6">
        <v>232596</v>
      </c>
      <c r="D6">
        <v>223874</v>
      </c>
      <c r="E6">
        <v>115807</v>
      </c>
      <c r="F6">
        <v>63857</v>
      </c>
      <c r="G6">
        <v>14231</v>
      </c>
      <c r="H6">
        <v>4935</v>
      </c>
      <c r="I6" s="29">
        <v>358809</v>
      </c>
      <c r="J6">
        <v>3893</v>
      </c>
      <c r="K6">
        <v>1006</v>
      </c>
      <c r="L6">
        <v>6009</v>
      </c>
      <c r="M6">
        <v>4214</v>
      </c>
      <c r="N6">
        <v>8742</v>
      </c>
      <c r="O6">
        <v>7766</v>
      </c>
      <c r="P6">
        <v>49265</v>
      </c>
      <c r="Q6">
        <v>3476</v>
      </c>
      <c r="R6">
        <v>1852</v>
      </c>
      <c r="S6">
        <v>56669</v>
      </c>
      <c r="T6">
        <v>6340</v>
      </c>
      <c r="U6">
        <v>1366</v>
      </c>
    </row>
    <row r="7" spans="1:21" x14ac:dyDescent="0.25">
      <c r="A7" t="s">
        <v>481</v>
      </c>
      <c r="B7" s="1">
        <v>457000</v>
      </c>
      <c r="C7">
        <v>242901</v>
      </c>
      <c r="D7">
        <v>234311</v>
      </c>
      <c r="E7">
        <v>103099</v>
      </c>
      <c r="F7">
        <v>27137</v>
      </c>
      <c r="G7">
        <v>6799</v>
      </c>
      <c r="H7">
        <v>2241</v>
      </c>
      <c r="I7" s="29">
        <v>32515</v>
      </c>
      <c r="J7">
        <v>967</v>
      </c>
      <c r="K7">
        <v>1249</v>
      </c>
      <c r="L7">
        <v>2272</v>
      </c>
      <c r="M7">
        <v>1507</v>
      </c>
      <c r="N7">
        <v>3936</v>
      </c>
      <c r="O7">
        <v>3060</v>
      </c>
      <c r="P7">
        <v>20158</v>
      </c>
      <c r="Q7">
        <v>3553</v>
      </c>
      <c r="R7">
        <v>2880</v>
      </c>
      <c r="S7">
        <v>25874</v>
      </c>
      <c r="T7">
        <v>6310</v>
      </c>
      <c r="U7">
        <v>940</v>
      </c>
    </row>
    <row r="8" spans="1:21" x14ac:dyDescent="0.25">
      <c r="A8" t="s">
        <v>482</v>
      </c>
      <c r="B8" s="1">
        <v>1200000</v>
      </c>
      <c r="C8" s="1">
        <v>776000</v>
      </c>
      <c r="D8" s="1">
        <v>717000</v>
      </c>
      <c r="E8" s="1">
        <v>417000</v>
      </c>
      <c r="F8">
        <v>205476</v>
      </c>
      <c r="G8">
        <v>32807</v>
      </c>
      <c r="H8">
        <v>12641</v>
      </c>
      <c r="I8" s="29">
        <v>175342</v>
      </c>
      <c r="J8">
        <v>8090</v>
      </c>
      <c r="K8">
        <v>4407</v>
      </c>
      <c r="L8">
        <v>12127</v>
      </c>
      <c r="M8">
        <v>9352</v>
      </c>
      <c r="N8">
        <v>20864</v>
      </c>
      <c r="O8">
        <v>17566</v>
      </c>
      <c r="P8">
        <v>171609</v>
      </c>
      <c r="Q8">
        <v>11835</v>
      </c>
      <c r="R8">
        <v>7117</v>
      </c>
      <c r="S8">
        <v>184159</v>
      </c>
      <c r="T8">
        <v>23179</v>
      </c>
      <c r="U8">
        <v>3462</v>
      </c>
    </row>
    <row r="9" spans="1:21" x14ac:dyDescent="0.25">
      <c r="A9" t="s">
        <v>483</v>
      </c>
      <c r="B9" s="1">
        <v>1200000</v>
      </c>
      <c r="C9" s="1">
        <v>739000</v>
      </c>
      <c r="D9" s="1">
        <v>707000</v>
      </c>
      <c r="E9" s="1">
        <v>402000</v>
      </c>
      <c r="F9">
        <v>203453</v>
      </c>
      <c r="G9">
        <v>32494</v>
      </c>
      <c r="H9">
        <v>15715</v>
      </c>
      <c r="I9" s="30">
        <v>496000</v>
      </c>
      <c r="J9">
        <v>11934</v>
      </c>
      <c r="K9">
        <v>3690</v>
      </c>
      <c r="L9">
        <v>18219</v>
      </c>
      <c r="M9">
        <v>7389</v>
      </c>
      <c r="N9">
        <v>20276</v>
      </c>
      <c r="O9">
        <v>14922</v>
      </c>
      <c r="P9">
        <v>170233</v>
      </c>
      <c r="Q9">
        <v>14980</v>
      </c>
      <c r="R9">
        <v>9819</v>
      </c>
      <c r="S9">
        <v>183085</v>
      </c>
      <c r="T9">
        <v>22445</v>
      </c>
      <c r="U9">
        <v>4684</v>
      </c>
    </row>
    <row r="10" spans="1:21" x14ac:dyDescent="0.25">
      <c r="A10" t="s">
        <v>484</v>
      </c>
      <c r="B10" s="1">
        <v>1200000</v>
      </c>
      <c r="C10" s="1">
        <v>811000</v>
      </c>
      <c r="D10" s="1">
        <v>760000</v>
      </c>
      <c r="E10" s="1">
        <v>465000</v>
      </c>
      <c r="F10">
        <v>234498</v>
      </c>
      <c r="G10">
        <v>84526</v>
      </c>
      <c r="H10">
        <v>46554</v>
      </c>
      <c r="I10" s="29">
        <v>325142</v>
      </c>
      <c r="J10">
        <v>38035</v>
      </c>
      <c r="K10">
        <v>8152</v>
      </c>
      <c r="L10">
        <v>26045</v>
      </c>
      <c r="M10">
        <v>18647</v>
      </c>
      <c r="N10">
        <v>63573</v>
      </c>
      <c r="O10">
        <v>53190</v>
      </c>
      <c r="P10">
        <v>147132</v>
      </c>
      <c r="Q10">
        <v>13988</v>
      </c>
      <c r="R10">
        <v>5101</v>
      </c>
      <c r="S10">
        <v>166075</v>
      </c>
      <c r="T10">
        <v>28513</v>
      </c>
      <c r="U10">
        <v>3046</v>
      </c>
    </row>
    <row r="11" spans="1:21" x14ac:dyDescent="0.25">
      <c r="A11" t="s">
        <v>485</v>
      </c>
      <c r="B11" s="1">
        <v>1070000</v>
      </c>
      <c r="C11" s="1">
        <v>738000</v>
      </c>
      <c r="D11" s="1">
        <v>695000</v>
      </c>
      <c r="E11">
        <v>398293</v>
      </c>
      <c r="F11">
        <v>249021</v>
      </c>
      <c r="G11">
        <v>39848</v>
      </c>
      <c r="H11">
        <v>12539</v>
      </c>
      <c r="I11" s="29">
        <v>58984</v>
      </c>
      <c r="J11">
        <v>5546</v>
      </c>
      <c r="K11">
        <v>6634</v>
      </c>
      <c r="L11">
        <v>17730</v>
      </c>
      <c r="M11">
        <v>13568</v>
      </c>
      <c r="N11">
        <v>17200</v>
      </c>
      <c r="O11">
        <v>11312</v>
      </c>
      <c r="P11">
        <v>207474</v>
      </c>
      <c r="Q11">
        <v>6900</v>
      </c>
      <c r="R11">
        <v>3537</v>
      </c>
      <c r="S11">
        <v>226284</v>
      </c>
      <c r="T11">
        <v>19923</v>
      </c>
      <c r="U11">
        <v>1902</v>
      </c>
    </row>
    <row r="12" spans="1:21" x14ac:dyDescent="0.25">
      <c r="A12" t="s">
        <v>486</v>
      </c>
      <c r="B12" s="1">
        <v>1200000</v>
      </c>
      <c r="C12" s="1">
        <v>735000</v>
      </c>
      <c r="D12" s="1">
        <v>695000</v>
      </c>
      <c r="E12" s="1">
        <v>470000</v>
      </c>
      <c r="F12">
        <v>263408</v>
      </c>
      <c r="G12">
        <v>163026</v>
      </c>
      <c r="H12">
        <v>76916</v>
      </c>
      <c r="I12" s="30">
        <v>572000</v>
      </c>
      <c r="J12">
        <v>68241</v>
      </c>
      <c r="K12">
        <v>8135</v>
      </c>
      <c r="L12">
        <v>72927</v>
      </c>
      <c r="M12">
        <v>53926</v>
      </c>
      <c r="N12">
        <v>131763</v>
      </c>
      <c r="O12">
        <v>113886</v>
      </c>
      <c r="P12">
        <v>97553</v>
      </c>
      <c r="Q12">
        <v>12858</v>
      </c>
      <c r="R12">
        <v>1729</v>
      </c>
      <c r="S12">
        <v>161660</v>
      </c>
      <c r="T12">
        <v>25720</v>
      </c>
      <c r="U12">
        <v>1889</v>
      </c>
    </row>
    <row r="13" spans="1:21" x14ac:dyDescent="0.25">
      <c r="A13" t="s">
        <v>487</v>
      </c>
      <c r="B13" s="1">
        <v>1200000</v>
      </c>
      <c r="C13" s="1">
        <v>698000</v>
      </c>
      <c r="D13" s="1">
        <v>655000</v>
      </c>
      <c r="E13" s="1">
        <v>445000</v>
      </c>
      <c r="F13">
        <v>181288</v>
      </c>
      <c r="G13">
        <v>40503</v>
      </c>
      <c r="H13">
        <v>13106</v>
      </c>
      <c r="I13" s="29">
        <v>168172</v>
      </c>
      <c r="J13">
        <v>7666</v>
      </c>
      <c r="K13">
        <v>5316</v>
      </c>
      <c r="L13">
        <v>17728</v>
      </c>
      <c r="M13">
        <v>13540</v>
      </c>
      <c r="N13">
        <v>21906</v>
      </c>
      <c r="O13">
        <v>12486</v>
      </c>
      <c r="P13">
        <v>139889</v>
      </c>
      <c r="Q13">
        <v>9052</v>
      </c>
      <c r="R13">
        <v>4815</v>
      </c>
      <c r="S13">
        <v>168746</v>
      </c>
      <c r="T13">
        <v>24909</v>
      </c>
      <c r="U13">
        <v>341</v>
      </c>
    </row>
    <row r="14" spans="1:21" x14ac:dyDescent="0.25">
      <c r="A14" t="s">
        <v>488</v>
      </c>
      <c r="B14" s="1">
        <v>1200000</v>
      </c>
      <c r="C14" s="1">
        <v>762000</v>
      </c>
      <c r="D14" s="1">
        <v>724000</v>
      </c>
      <c r="E14" s="1">
        <v>474000</v>
      </c>
      <c r="F14">
        <v>263175</v>
      </c>
      <c r="G14">
        <v>73812</v>
      </c>
      <c r="H14">
        <v>31207</v>
      </c>
      <c r="I14" s="29">
        <v>346068</v>
      </c>
      <c r="J14">
        <v>23287</v>
      </c>
      <c r="K14">
        <v>7672</v>
      </c>
      <c r="L14">
        <v>17341</v>
      </c>
      <c r="M14">
        <v>10698</v>
      </c>
      <c r="N14">
        <v>50944</v>
      </c>
      <c r="O14">
        <v>31504</v>
      </c>
      <c r="P14">
        <v>187261</v>
      </c>
      <c r="Q14">
        <v>14384</v>
      </c>
      <c r="R14">
        <v>10639</v>
      </c>
      <c r="S14">
        <v>242011</v>
      </c>
      <c r="T14">
        <v>43287</v>
      </c>
      <c r="U14">
        <v>565</v>
      </c>
    </row>
    <row r="15" spans="1:21" x14ac:dyDescent="0.25">
      <c r="A15" t="s">
        <v>489</v>
      </c>
      <c r="B15" s="1">
        <v>1200000</v>
      </c>
      <c r="C15" s="1">
        <v>687000</v>
      </c>
      <c r="D15" s="1">
        <v>656000</v>
      </c>
      <c r="E15" s="1">
        <v>516000</v>
      </c>
      <c r="F15">
        <v>170525</v>
      </c>
      <c r="G15">
        <v>39059</v>
      </c>
      <c r="H15">
        <v>11762</v>
      </c>
      <c r="I15" s="29">
        <v>190040</v>
      </c>
      <c r="J15">
        <v>7316</v>
      </c>
      <c r="K15">
        <v>4289</v>
      </c>
      <c r="L15">
        <v>10303</v>
      </c>
      <c r="M15">
        <v>5381</v>
      </c>
      <c r="N15">
        <v>28394</v>
      </c>
      <c r="O15">
        <v>17277</v>
      </c>
      <c r="P15">
        <v>129638</v>
      </c>
      <c r="Q15">
        <v>15371</v>
      </c>
      <c r="R15">
        <v>8540</v>
      </c>
      <c r="S15">
        <v>146990</v>
      </c>
      <c r="T15">
        <v>31129</v>
      </c>
      <c r="U15">
        <v>2576</v>
      </c>
    </row>
    <row r="16" spans="1:21" x14ac:dyDescent="0.25">
      <c r="A16" t="s">
        <v>490</v>
      </c>
      <c r="B16" s="1">
        <v>1080000</v>
      </c>
      <c r="C16" s="1">
        <v>627000</v>
      </c>
      <c r="D16" s="1">
        <v>601000</v>
      </c>
      <c r="E16" s="1">
        <v>423000</v>
      </c>
      <c r="F16">
        <v>114013</v>
      </c>
      <c r="G16">
        <v>36219</v>
      </c>
      <c r="H16">
        <v>12159</v>
      </c>
      <c r="I16" s="29">
        <v>152282</v>
      </c>
      <c r="J16">
        <v>8102</v>
      </c>
      <c r="K16">
        <v>3846</v>
      </c>
      <c r="L16">
        <v>11799</v>
      </c>
      <c r="M16">
        <v>7632</v>
      </c>
      <c r="N16">
        <v>22236</v>
      </c>
      <c r="O16">
        <v>15187</v>
      </c>
      <c r="P16">
        <v>76103</v>
      </c>
      <c r="Q16">
        <v>14994</v>
      </c>
      <c r="R16">
        <v>9432</v>
      </c>
      <c r="S16">
        <v>95935</v>
      </c>
      <c r="T16">
        <v>25419</v>
      </c>
      <c r="U16">
        <v>2627</v>
      </c>
    </row>
    <row r="17" spans="1:24" x14ac:dyDescent="0.25">
      <c r="A17" t="s">
        <v>491</v>
      </c>
      <c r="B17" s="1">
        <v>827000</v>
      </c>
      <c r="C17" s="1">
        <v>504000</v>
      </c>
      <c r="D17" s="1">
        <v>483000</v>
      </c>
      <c r="E17">
        <v>293478</v>
      </c>
      <c r="F17">
        <v>161292</v>
      </c>
      <c r="G17">
        <v>35601</v>
      </c>
      <c r="H17">
        <v>10810</v>
      </c>
      <c r="I17" s="30">
        <v>411000</v>
      </c>
      <c r="J17">
        <v>8921</v>
      </c>
      <c r="K17">
        <v>1794</v>
      </c>
      <c r="L17">
        <v>13769</v>
      </c>
      <c r="M17">
        <v>11280</v>
      </c>
      <c r="N17">
        <v>20472</v>
      </c>
      <c r="O17">
        <v>15845</v>
      </c>
      <c r="P17">
        <v>124918</v>
      </c>
      <c r="Q17">
        <v>6333</v>
      </c>
      <c r="R17">
        <v>4162</v>
      </c>
      <c r="S17">
        <v>148613</v>
      </c>
      <c r="T17">
        <v>16889</v>
      </c>
      <c r="U17">
        <v>1644</v>
      </c>
    </row>
    <row r="18" spans="1:24" x14ac:dyDescent="0.25">
      <c r="B18" s="1" t="s">
        <v>70</v>
      </c>
      <c r="C18" s="1"/>
      <c r="D18" s="1" t="s">
        <v>324</v>
      </c>
      <c r="E18" t="s">
        <v>325</v>
      </c>
      <c r="F18" s="1" t="s">
        <v>326</v>
      </c>
      <c r="G18" s="1" t="s">
        <v>327</v>
      </c>
      <c r="H18" s="3" t="s">
        <v>328</v>
      </c>
      <c r="I18" s="24" t="s">
        <v>329</v>
      </c>
      <c r="J18" s="3" t="s">
        <v>330</v>
      </c>
      <c r="K18" s="3" t="s">
        <v>331</v>
      </c>
      <c r="M18" s="3" t="s">
        <v>17</v>
      </c>
      <c r="O18" s="3" t="s">
        <v>332</v>
      </c>
      <c r="R18" s="4" t="s">
        <v>333</v>
      </c>
      <c r="U18" s="4" t="s">
        <v>334</v>
      </c>
    </row>
    <row r="19" spans="1:24" x14ac:dyDescent="0.25">
      <c r="B19" s="1"/>
      <c r="I19" s="4"/>
      <c r="L19" s="4"/>
      <c r="M19" s="4"/>
      <c r="P19" s="4"/>
      <c r="R19" s="4"/>
      <c r="S19" s="4"/>
      <c r="T19" s="4"/>
      <c r="U19" s="4"/>
      <c r="X19" s="4"/>
    </row>
    <row r="20" spans="1:24" s="7" customFormat="1" x14ac:dyDescent="0.25">
      <c r="A20" s="7" t="s">
        <v>85</v>
      </c>
    </row>
    <row r="21" spans="1:24" x14ac:dyDescent="0.25">
      <c r="B21" s="1" t="s">
        <v>70</v>
      </c>
      <c r="C21" s="1"/>
      <c r="D21" s="1" t="s">
        <v>324</v>
      </c>
      <c r="E21" t="s">
        <v>325</v>
      </c>
      <c r="F21" s="1" t="s">
        <v>326</v>
      </c>
      <c r="G21" s="1" t="s">
        <v>327</v>
      </c>
      <c r="H21" s="3" t="s">
        <v>328</v>
      </c>
      <c r="I21" s="24" t="s">
        <v>329</v>
      </c>
      <c r="J21" s="3" t="s">
        <v>330</v>
      </c>
      <c r="K21" s="3" t="s">
        <v>331</v>
      </c>
      <c r="M21" s="3" t="s">
        <v>17</v>
      </c>
      <c r="O21" s="3" t="s">
        <v>332</v>
      </c>
      <c r="R21" s="4" t="s">
        <v>333</v>
      </c>
      <c r="U21" s="4" t="s">
        <v>334</v>
      </c>
    </row>
    <row r="22" spans="1:24" x14ac:dyDescent="0.25">
      <c r="A22" s="7">
        <v>31</v>
      </c>
      <c r="F22">
        <f>100*F3/$E3</f>
        <v>41.355994970717269</v>
      </c>
      <c r="G22">
        <f>100*G3/$E3</f>
        <v>10.069316895582654</v>
      </c>
      <c r="H22">
        <f>100*H3/$E3</f>
        <v>3.5623090500210548</v>
      </c>
      <c r="J22">
        <f t="shared" ref="J22:U22" si="0">100*J3/$E3</f>
        <v>2.5056818351506247</v>
      </c>
      <c r="K22">
        <f t="shared" si="0"/>
        <v>1.0270607665176399</v>
      </c>
      <c r="L22">
        <f t="shared" si="0"/>
        <v>2.5017993722356118</v>
      </c>
      <c r="M22">
        <f t="shared" si="0"/>
        <v>1.5544784209724674</v>
      </c>
      <c r="N22">
        <f t="shared" si="0"/>
        <v>5.6507754473045253</v>
      </c>
      <c r="O22">
        <f t="shared" si="0"/>
        <v>4.2348710872986715</v>
      </c>
      <c r="P22">
        <f t="shared" si="0"/>
        <v>30.701023476954596</v>
      </c>
      <c r="Q22">
        <f t="shared" si="0"/>
        <v>1.6736401673640167</v>
      </c>
      <c r="R22">
        <f t="shared" si="0"/>
        <v>0.91357338900187857</v>
      </c>
      <c r="S22">
        <f t="shared" si="0"/>
        <v>38.319610320183727</v>
      </c>
      <c r="T22">
        <f t="shared" si="0"/>
        <v>5.0528761583925412</v>
      </c>
      <c r="U22">
        <f t="shared" si="0"/>
        <v>3.1955656300490687E-2</v>
      </c>
      <c r="X22" s="4"/>
    </row>
    <row r="23" spans="1:24" x14ac:dyDescent="0.25">
      <c r="A23" s="7">
        <v>32</v>
      </c>
      <c r="F23">
        <f t="shared" ref="F23:U36" si="1">100*F4/$E4</f>
        <v>39.92385276000752</v>
      </c>
      <c r="G23">
        <f t="shared" si="1"/>
        <v>10.058496125002886</v>
      </c>
      <c r="H23">
        <f t="shared" si="1"/>
        <v>2.7116731607373219</v>
      </c>
      <c r="J23">
        <f t="shared" si="1"/>
        <v>2.0607264341118521</v>
      </c>
      <c r="K23">
        <f>100*K4/$E4</f>
        <v>0.62521239075279533</v>
      </c>
      <c r="L23">
        <f t="shared" si="1"/>
        <v>4.169622266139223</v>
      </c>
      <c r="M23">
        <f t="shared" si="1"/>
        <v>2.9855128886132163</v>
      </c>
      <c r="N23">
        <f t="shared" si="1"/>
        <v>5.5361814864548311</v>
      </c>
      <c r="O23">
        <f t="shared" si="1"/>
        <v>4.8172697189348623</v>
      </c>
      <c r="P23">
        <f t="shared" si="1"/>
        <v>29.5146438268937</v>
      </c>
      <c r="Q23">
        <f t="shared" si="1"/>
        <v>2.0891001890483905</v>
      </c>
      <c r="R23">
        <f t="shared" si="1"/>
        <v>1.336205901081172</v>
      </c>
      <c r="S23">
        <f t="shared" si="1"/>
        <v>36.366575716684757</v>
      </c>
      <c r="T23">
        <f t="shared" si="1"/>
        <v>5.8050723035859804</v>
      </c>
      <c r="U23">
        <f t="shared" si="1"/>
        <v>0.80370310494660124</v>
      </c>
      <c r="X23" s="4"/>
    </row>
    <row r="24" spans="1:24" x14ac:dyDescent="0.25">
      <c r="A24" s="7">
        <v>33</v>
      </c>
      <c r="F24">
        <f t="shared" si="1"/>
        <v>45.190610750099459</v>
      </c>
      <c r="G24">
        <f t="shared" si="1"/>
        <v>11.576912483295418</v>
      </c>
      <c r="H24">
        <f t="shared" si="1"/>
        <v>4.1809909514725536</v>
      </c>
      <c r="J24">
        <f t="shared" si="1"/>
        <v>2.6288675568975894</v>
      </c>
      <c r="K24">
        <f t="shared" si="1"/>
        <v>1.5204994542319974</v>
      </c>
      <c r="L24">
        <f t="shared" si="1"/>
        <v>3.5082171238536324</v>
      </c>
      <c r="M24">
        <f t="shared" si="1"/>
        <v>2.8971609862588878</v>
      </c>
      <c r="N24">
        <f t="shared" si="1"/>
        <v>7.1077356238587326</v>
      </c>
      <c r="O24">
        <f t="shared" si="1"/>
        <v>5.2847684821528764</v>
      </c>
      <c r="P24">
        <f t="shared" si="1"/>
        <v>33.2790965754333</v>
      </c>
      <c r="Q24">
        <f t="shared" si="1"/>
        <v>2.1784814387872729</v>
      </c>
      <c r="R24">
        <f t="shared" si="1"/>
        <v>1.3853326124435104</v>
      </c>
      <c r="S24">
        <f t="shared" si="1"/>
        <v>40.945351790833136</v>
      </c>
      <c r="T24">
        <f t="shared" si="1"/>
        <v>5.8121741969049348</v>
      </c>
      <c r="U24">
        <f t="shared" si="1"/>
        <v>3.825476654391137E-2</v>
      </c>
      <c r="X24" s="4"/>
    </row>
    <row r="25" spans="1:24" x14ac:dyDescent="0.25">
      <c r="A25" s="7">
        <v>34</v>
      </c>
      <c r="F25">
        <f t="shared" si="1"/>
        <v>55.140880948474617</v>
      </c>
      <c r="G25">
        <f t="shared" si="1"/>
        <v>12.288549051439032</v>
      </c>
      <c r="H25">
        <f t="shared" si="1"/>
        <v>4.2614004334798414</v>
      </c>
      <c r="J25">
        <f t="shared" si="1"/>
        <v>3.3616275354684948</v>
      </c>
      <c r="K25">
        <f t="shared" si="1"/>
        <v>0.86868669424128075</v>
      </c>
      <c r="L25">
        <f t="shared" si="1"/>
        <v>5.1888055126201351</v>
      </c>
      <c r="M25">
        <f t="shared" si="1"/>
        <v>3.6388128524182477</v>
      </c>
      <c r="N25">
        <f t="shared" si="1"/>
        <v>7.5487664821642904</v>
      </c>
      <c r="O25">
        <f t="shared" si="1"/>
        <v>6.7059849577313981</v>
      </c>
      <c r="P25">
        <f t="shared" si="1"/>
        <v>42.540606353674647</v>
      </c>
      <c r="Q25">
        <f t="shared" si="1"/>
        <v>3.0015456751319003</v>
      </c>
      <c r="R25">
        <f t="shared" si="1"/>
        <v>1.5992124828378249</v>
      </c>
      <c r="S25">
        <f t="shared" si="1"/>
        <v>48.93400226238483</v>
      </c>
      <c r="T25">
        <f t="shared" si="1"/>
        <v>5.4746258861726842</v>
      </c>
      <c r="U25">
        <f t="shared" si="1"/>
        <v>1.179548731941938</v>
      </c>
      <c r="X25" s="4"/>
    </row>
    <row r="26" spans="1:24" x14ac:dyDescent="0.25">
      <c r="A26" s="7">
        <v>35</v>
      </c>
      <c r="F26">
        <f t="shared" si="1"/>
        <v>26.321302825439627</v>
      </c>
      <c r="G26">
        <f t="shared" si="1"/>
        <v>6.5946323436696765</v>
      </c>
      <c r="H26">
        <f t="shared" si="1"/>
        <v>2.1736389295725469</v>
      </c>
      <c r="J26">
        <f t="shared" si="1"/>
        <v>0.93793344261341038</v>
      </c>
      <c r="K26">
        <f>100*K7/$E7</f>
        <v>1.2114569491459666</v>
      </c>
      <c r="L26">
        <f t="shared" si="1"/>
        <v>2.2037071164608775</v>
      </c>
      <c r="M26">
        <f t="shared" si="1"/>
        <v>1.4617018593778794</v>
      </c>
      <c r="N26">
        <f t="shared" si="1"/>
        <v>3.8176897933054637</v>
      </c>
      <c r="O26">
        <f t="shared" si="1"/>
        <v>2.9680210283319917</v>
      </c>
      <c r="P26">
        <f t="shared" si="1"/>
        <v>19.552081009515128</v>
      </c>
      <c r="Q26">
        <f t="shared" si="1"/>
        <v>3.4462021940077014</v>
      </c>
      <c r="R26">
        <f t="shared" si="1"/>
        <v>2.7934315560771688</v>
      </c>
      <c r="S26">
        <f t="shared" si="1"/>
        <v>25.096266695118285</v>
      </c>
      <c r="T26">
        <f t="shared" si="1"/>
        <v>6.1203309440440741</v>
      </c>
      <c r="U26">
        <f t="shared" si="1"/>
        <v>0.9117450217751869</v>
      </c>
      <c r="X26" s="4"/>
    </row>
    <row r="27" spans="1:24" x14ac:dyDescent="0.25">
      <c r="A27" s="7">
        <v>36</v>
      </c>
      <c r="F27">
        <f t="shared" si="1"/>
        <v>49.274820143884895</v>
      </c>
      <c r="G27">
        <f t="shared" si="1"/>
        <v>7.8673860911270985</v>
      </c>
      <c r="H27">
        <f t="shared" si="1"/>
        <v>3.0314148681055157</v>
      </c>
      <c r="J27">
        <f t="shared" si="1"/>
        <v>1.9400479616306954</v>
      </c>
      <c r="K27">
        <f t="shared" si="1"/>
        <v>1.0568345323741006</v>
      </c>
      <c r="L27">
        <f t="shared" si="1"/>
        <v>2.9081534772182254</v>
      </c>
      <c r="M27">
        <f t="shared" si="1"/>
        <v>2.2426858513189449</v>
      </c>
      <c r="N27">
        <f t="shared" si="1"/>
        <v>5.0033573141486807</v>
      </c>
      <c r="O27">
        <f t="shared" si="1"/>
        <v>4.2124700239808153</v>
      </c>
      <c r="P27">
        <f t="shared" si="1"/>
        <v>41.153237410071945</v>
      </c>
      <c r="Q27">
        <f t="shared" si="1"/>
        <v>2.8381294964028778</v>
      </c>
      <c r="R27">
        <f t="shared" si="1"/>
        <v>1.7067146282973622</v>
      </c>
      <c r="S27">
        <f t="shared" si="1"/>
        <v>44.16282973621103</v>
      </c>
      <c r="T27">
        <f t="shared" si="1"/>
        <v>5.5585131894484414</v>
      </c>
      <c r="U27">
        <f t="shared" si="1"/>
        <v>0.83021582733812949</v>
      </c>
      <c r="X27" s="4"/>
    </row>
    <row r="28" spans="1:24" x14ac:dyDescent="0.25">
      <c r="A28" s="7">
        <v>37</v>
      </c>
      <c r="F28">
        <f t="shared" si="1"/>
        <v>50.610199004975122</v>
      </c>
      <c r="G28">
        <f t="shared" si="1"/>
        <v>8.0830845771144286</v>
      </c>
      <c r="H28">
        <f t="shared" si="1"/>
        <v>3.9092039800995027</v>
      </c>
      <c r="J28">
        <f t="shared" si="1"/>
        <v>2.9686567164179105</v>
      </c>
      <c r="K28">
        <f t="shared" si="1"/>
        <v>0.91791044776119401</v>
      </c>
      <c r="L28">
        <f t="shared" si="1"/>
        <v>4.5320895522388058</v>
      </c>
      <c r="M28">
        <f t="shared" si="1"/>
        <v>1.8380597014925373</v>
      </c>
      <c r="N28">
        <f t="shared" si="1"/>
        <v>5.0437810945273629</v>
      </c>
      <c r="O28">
        <f t="shared" si="1"/>
        <v>3.7119402985074625</v>
      </c>
      <c r="P28">
        <f t="shared" si="1"/>
        <v>42.34651741293532</v>
      </c>
      <c r="Q28">
        <f t="shared" si="1"/>
        <v>3.7263681592039801</v>
      </c>
      <c r="R28">
        <f t="shared" si="1"/>
        <v>2.4425373134328359</v>
      </c>
      <c r="S28">
        <f t="shared" si="1"/>
        <v>45.543532338308459</v>
      </c>
      <c r="T28">
        <f t="shared" si="1"/>
        <v>5.583333333333333</v>
      </c>
      <c r="U28">
        <f t="shared" si="1"/>
        <v>1.1651741293532338</v>
      </c>
      <c r="X28" s="4"/>
    </row>
    <row r="29" spans="1:24" x14ac:dyDescent="0.25">
      <c r="A29" s="7">
        <v>38</v>
      </c>
      <c r="F29">
        <f t="shared" si="1"/>
        <v>50.429677419354839</v>
      </c>
      <c r="G29">
        <f t="shared" si="1"/>
        <v>18.177634408602149</v>
      </c>
      <c r="H29">
        <f t="shared" si="1"/>
        <v>10.011612903225807</v>
      </c>
      <c r="J29">
        <f t="shared" si="1"/>
        <v>8.1795698924731184</v>
      </c>
      <c r="K29">
        <f t="shared" si="1"/>
        <v>1.7531182795698925</v>
      </c>
      <c r="L29">
        <f t="shared" si="1"/>
        <v>5.6010752688172047</v>
      </c>
      <c r="M29">
        <f t="shared" si="1"/>
        <v>4.0101075268817201</v>
      </c>
      <c r="N29">
        <f t="shared" si="1"/>
        <v>13.671612903225807</v>
      </c>
      <c r="O29">
        <f t="shared" si="1"/>
        <v>11.438709677419356</v>
      </c>
      <c r="P29">
        <f t="shared" si="1"/>
        <v>31.641290322580645</v>
      </c>
      <c r="Q29">
        <f t="shared" si="1"/>
        <v>3.0081720430107528</v>
      </c>
      <c r="R29">
        <f t="shared" si="1"/>
        <v>1.0969892473118279</v>
      </c>
      <c r="S29">
        <f t="shared" si="1"/>
        <v>35.715053763440864</v>
      </c>
      <c r="T29">
        <f t="shared" si="1"/>
        <v>6.1318279569892473</v>
      </c>
      <c r="U29">
        <f t="shared" si="1"/>
        <v>0.65505376344086019</v>
      </c>
      <c r="X29" s="4"/>
    </row>
    <row r="30" spans="1:24" x14ac:dyDescent="0.25">
      <c r="A30" s="7">
        <v>39</v>
      </c>
      <c r="F30">
        <f t="shared" si="1"/>
        <v>62.522062903440435</v>
      </c>
      <c r="G30">
        <f t="shared" si="1"/>
        <v>10.004695036066414</v>
      </c>
      <c r="H30">
        <f t="shared" si="1"/>
        <v>3.148184878971009</v>
      </c>
      <c r="J30">
        <f t="shared" si="1"/>
        <v>1.3924422472903113</v>
      </c>
      <c r="K30">
        <f t="shared" si="1"/>
        <v>1.6656079820634557</v>
      </c>
      <c r="L30">
        <f t="shared" si="1"/>
        <v>4.4514967624336856</v>
      </c>
      <c r="M30">
        <f t="shared" si="1"/>
        <v>3.4065373983474476</v>
      </c>
      <c r="N30">
        <f t="shared" si="1"/>
        <v>4.3184288953107384</v>
      </c>
      <c r="O30">
        <f t="shared" si="1"/>
        <v>2.840120213009016</v>
      </c>
      <c r="P30">
        <f t="shared" si="1"/>
        <v>52.090797478238379</v>
      </c>
      <c r="Q30">
        <f t="shared" si="1"/>
        <v>1.7323929870723311</v>
      </c>
      <c r="R30">
        <f t="shared" si="1"/>
        <v>0.88803970946012112</v>
      </c>
      <c r="S30">
        <f t="shared" si="1"/>
        <v>56.813451403865997</v>
      </c>
      <c r="T30">
        <f t="shared" si="1"/>
        <v>5.0020964465858047</v>
      </c>
      <c r="U30">
        <f t="shared" si="1"/>
        <v>0.47753789295819909</v>
      </c>
      <c r="X30" s="4"/>
    </row>
    <row r="31" spans="1:24" x14ac:dyDescent="0.25">
      <c r="A31" s="7">
        <v>40</v>
      </c>
      <c r="F31">
        <f t="shared" si="1"/>
        <v>56.044255319148938</v>
      </c>
      <c r="G31">
        <f t="shared" si="1"/>
        <v>34.686382978723401</v>
      </c>
      <c r="H31">
        <f t="shared" si="1"/>
        <v>16.365106382978723</v>
      </c>
      <c r="J31">
        <f t="shared" si="1"/>
        <v>14.519361702127659</v>
      </c>
      <c r="K31">
        <f t="shared" si="1"/>
        <v>1.7308510638297872</v>
      </c>
      <c r="L31">
        <f t="shared" si="1"/>
        <v>15.516382978723405</v>
      </c>
      <c r="M31">
        <f t="shared" si="1"/>
        <v>11.473617021276596</v>
      </c>
      <c r="N31">
        <f t="shared" si="1"/>
        <v>28.034680851063829</v>
      </c>
      <c r="O31">
        <f t="shared" si="1"/>
        <v>24.231063829787235</v>
      </c>
      <c r="P31">
        <f t="shared" si="1"/>
        <v>20.755957446808512</v>
      </c>
      <c r="Q31">
        <f t="shared" si="1"/>
        <v>2.7357446808510639</v>
      </c>
      <c r="R31">
        <f t="shared" si="1"/>
        <v>0.36787234042553191</v>
      </c>
      <c r="S31">
        <f t="shared" si="1"/>
        <v>34.395744680851067</v>
      </c>
      <c r="T31">
        <f t="shared" si="1"/>
        <v>5.4723404255319146</v>
      </c>
      <c r="U31">
        <f t="shared" si="1"/>
        <v>0.40191489361702126</v>
      </c>
      <c r="X31" s="4"/>
    </row>
    <row r="32" spans="1:24" x14ac:dyDescent="0.25">
      <c r="A32" s="7">
        <v>41</v>
      </c>
      <c r="F32">
        <f t="shared" si="1"/>
        <v>40.738876404494384</v>
      </c>
      <c r="G32">
        <f t="shared" si="1"/>
        <v>9.101797752808988</v>
      </c>
      <c r="H32">
        <f t="shared" si="1"/>
        <v>2.9451685393258429</v>
      </c>
      <c r="J32">
        <f t="shared" si="1"/>
        <v>1.7226966292134831</v>
      </c>
      <c r="K32">
        <f t="shared" si="1"/>
        <v>1.1946067415730337</v>
      </c>
      <c r="L32">
        <f t="shared" si="1"/>
        <v>3.9838202247191012</v>
      </c>
      <c r="M32">
        <f t="shared" si="1"/>
        <v>3.0426966292134829</v>
      </c>
      <c r="N32">
        <f t="shared" si="1"/>
        <v>4.9226966292134833</v>
      </c>
      <c r="O32">
        <f t="shared" si="1"/>
        <v>2.8058426966292136</v>
      </c>
      <c r="P32">
        <f t="shared" si="1"/>
        <v>31.435730337078652</v>
      </c>
      <c r="Q32">
        <f t="shared" si="1"/>
        <v>2.0341573033707867</v>
      </c>
      <c r="R32">
        <f t="shared" si="1"/>
        <v>1.0820224719101124</v>
      </c>
      <c r="S32">
        <f t="shared" si="1"/>
        <v>37.920449438202247</v>
      </c>
      <c r="T32">
        <f t="shared" si="1"/>
        <v>5.5975280898876401</v>
      </c>
      <c r="U32">
        <f t="shared" si="1"/>
        <v>7.6629213483146066E-2</v>
      </c>
      <c r="X32" s="4"/>
    </row>
    <row r="33" spans="1:24" x14ac:dyDescent="0.25">
      <c r="A33" s="7">
        <v>42</v>
      </c>
      <c r="F33">
        <f t="shared" si="1"/>
        <v>55.52215189873418</v>
      </c>
      <c r="G33">
        <f t="shared" si="1"/>
        <v>15.572151898734177</v>
      </c>
      <c r="H33">
        <f t="shared" si="1"/>
        <v>6.5837552742616037</v>
      </c>
      <c r="J33">
        <f t="shared" si="1"/>
        <v>4.9128691983122366</v>
      </c>
      <c r="K33">
        <f t="shared" si="1"/>
        <v>1.6185654008438819</v>
      </c>
      <c r="L33">
        <f t="shared" si="1"/>
        <v>3.6584388185654007</v>
      </c>
      <c r="M33">
        <f t="shared" si="1"/>
        <v>2.2569620253164557</v>
      </c>
      <c r="N33">
        <f t="shared" si="1"/>
        <v>10.747679324894515</v>
      </c>
      <c r="O33">
        <f t="shared" si="1"/>
        <v>6.6464135021097048</v>
      </c>
      <c r="P33">
        <f t="shared" si="1"/>
        <v>39.506540084388185</v>
      </c>
      <c r="Q33">
        <f t="shared" si="1"/>
        <v>3.0345991561181433</v>
      </c>
      <c r="R33">
        <f t="shared" si="1"/>
        <v>2.2445147679324893</v>
      </c>
      <c r="S33">
        <f t="shared" si="1"/>
        <v>51.05717299578059</v>
      </c>
      <c r="T33">
        <f t="shared" si="1"/>
        <v>9.1322784810126585</v>
      </c>
      <c r="U33">
        <f t="shared" si="1"/>
        <v>0.11919831223628692</v>
      </c>
      <c r="X33" s="4"/>
    </row>
    <row r="34" spans="1:24" x14ac:dyDescent="0.25">
      <c r="A34" s="7">
        <v>43</v>
      </c>
      <c r="F34">
        <f t="shared" si="1"/>
        <v>33.047480620155042</v>
      </c>
      <c r="G34">
        <f t="shared" si="1"/>
        <v>7.5695736434108527</v>
      </c>
      <c r="H34">
        <f t="shared" si="1"/>
        <v>2.2794573643410851</v>
      </c>
      <c r="J34">
        <f t="shared" si="1"/>
        <v>1.4178294573643411</v>
      </c>
      <c r="K34">
        <f t="shared" si="1"/>
        <v>0.83120155038759691</v>
      </c>
      <c r="L34">
        <f t="shared" si="1"/>
        <v>1.9967054263565891</v>
      </c>
      <c r="M34">
        <f t="shared" si="1"/>
        <v>1.0428294573643411</v>
      </c>
      <c r="N34">
        <f t="shared" si="1"/>
        <v>5.5027131782945737</v>
      </c>
      <c r="O34">
        <f t="shared" si="1"/>
        <v>3.3482558139534886</v>
      </c>
      <c r="P34">
        <f t="shared" si="1"/>
        <v>25.123643410852715</v>
      </c>
      <c r="Q34">
        <f t="shared" si="1"/>
        <v>2.9788759689922482</v>
      </c>
      <c r="R34">
        <f t="shared" si="1"/>
        <v>1.6550387596899225</v>
      </c>
      <c r="S34">
        <f t="shared" si="1"/>
        <v>28.486434108527131</v>
      </c>
      <c r="T34">
        <f t="shared" si="1"/>
        <v>6.0327519379844965</v>
      </c>
      <c r="U34">
        <f t="shared" si="1"/>
        <v>0.49922480620155041</v>
      </c>
      <c r="X34" s="4"/>
    </row>
    <row r="35" spans="1:24" x14ac:dyDescent="0.25">
      <c r="A35" s="7">
        <v>44</v>
      </c>
      <c r="F35">
        <f t="shared" si="1"/>
        <v>26.953427895981086</v>
      </c>
      <c r="G35">
        <f t="shared" si="1"/>
        <v>8.562411347517731</v>
      </c>
      <c r="H35">
        <f t="shared" si="1"/>
        <v>2.8744680851063831</v>
      </c>
      <c r="J35">
        <f t="shared" si="1"/>
        <v>1.9153664302600473</v>
      </c>
      <c r="K35">
        <f t="shared" si="1"/>
        <v>0.90921985815602835</v>
      </c>
      <c r="L35">
        <f t="shared" si="1"/>
        <v>2.7893617021276595</v>
      </c>
      <c r="M35">
        <f t="shared" si="1"/>
        <v>1.8042553191489361</v>
      </c>
      <c r="N35">
        <f t="shared" si="1"/>
        <v>5.2567375886524825</v>
      </c>
      <c r="O35">
        <f t="shared" si="1"/>
        <v>3.590307328605201</v>
      </c>
      <c r="P35">
        <f t="shared" si="1"/>
        <v>17.991252955082743</v>
      </c>
      <c r="Q35">
        <f t="shared" si="1"/>
        <v>3.5446808510638297</v>
      </c>
      <c r="R35">
        <f t="shared" si="1"/>
        <v>2.2297872340425533</v>
      </c>
      <c r="S35">
        <f t="shared" si="1"/>
        <v>22.67966903073286</v>
      </c>
      <c r="T35">
        <f t="shared" si="1"/>
        <v>6.0092198581560288</v>
      </c>
      <c r="U35">
        <f t="shared" si="1"/>
        <v>0.62104018912529546</v>
      </c>
      <c r="X35" s="4"/>
    </row>
    <row r="36" spans="1:24" x14ac:dyDescent="0.25">
      <c r="A36" s="7">
        <v>45</v>
      </c>
      <c r="F36">
        <f t="shared" si="1"/>
        <v>54.958804407826143</v>
      </c>
      <c r="G36">
        <f t="shared" si="1"/>
        <v>12.130721893975016</v>
      </c>
      <c r="H36">
        <f t="shared" si="1"/>
        <v>3.6834106815502357</v>
      </c>
      <c r="J36">
        <f>100*J17/$E17</f>
        <v>3.0397508501489039</v>
      </c>
      <c r="K36">
        <f t="shared" si="1"/>
        <v>0.61128943225727317</v>
      </c>
      <c r="L36">
        <f t="shared" si="1"/>
        <v>4.6916634296267521</v>
      </c>
      <c r="M36">
        <f t="shared" si="1"/>
        <v>3.8435589720524197</v>
      </c>
      <c r="N36">
        <f t="shared" si="1"/>
        <v>6.975650645022796</v>
      </c>
      <c r="O36">
        <f t="shared" si="1"/>
        <v>5.3990418361853356</v>
      </c>
      <c r="P36">
        <f t="shared" si="1"/>
        <v>42.564689687131576</v>
      </c>
      <c r="Q36">
        <f t="shared" si="1"/>
        <v>2.1579130292560258</v>
      </c>
      <c r="R36">
        <f t="shared" si="1"/>
        <v>1.418164223553384</v>
      </c>
      <c r="S36">
        <f t="shared" si="1"/>
        <v>50.638548715747007</v>
      </c>
      <c r="T36">
        <f t="shared" si="1"/>
        <v>5.7547754857263573</v>
      </c>
      <c r="U36">
        <f>100*U17/$E17</f>
        <v>0.5601782757140229</v>
      </c>
      <c r="X36" s="4"/>
    </row>
    <row r="37" spans="1:24" s="7" customFormat="1" x14ac:dyDescent="0.25"/>
    <row r="38" spans="1:24" s="8" customFormat="1" x14ac:dyDescent="0.25">
      <c r="A38" s="8" t="s">
        <v>86</v>
      </c>
      <c r="B38" s="9" t="s">
        <v>70</v>
      </c>
      <c r="C38" s="9"/>
      <c r="D38" s="9" t="s">
        <v>324</v>
      </c>
      <c r="E38" s="8" t="s">
        <v>325</v>
      </c>
      <c r="F38" s="9" t="s">
        <v>326</v>
      </c>
      <c r="G38" s="9" t="s">
        <v>327</v>
      </c>
      <c r="H38" s="3" t="s">
        <v>328</v>
      </c>
      <c r="I38" s="24"/>
      <c r="J38" s="3" t="s">
        <v>330</v>
      </c>
      <c r="K38" s="3" t="s">
        <v>331</v>
      </c>
      <c r="M38" s="3" t="s">
        <v>17</v>
      </c>
      <c r="O38" s="3" t="s">
        <v>332</v>
      </c>
      <c r="R38" s="4" t="s">
        <v>333</v>
      </c>
      <c r="U38" s="4" t="s">
        <v>334</v>
      </c>
    </row>
    <row r="39" spans="1:24" x14ac:dyDescent="0.25">
      <c r="A39" s="8">
        <v>31</v>
      </c>
      <c r="G39">
        <f>100*(G3/$F3)</f>
        <v>24.347901441405011</v>
      </c>
      <c r="H39">
        <f t="shared" ref="G39:U53" si="2">100*(H3/$F3)</f>
        <v>8.6137670065570919</v>
      </c>
      <c r="I39" s="4"/>
      <c r="J39">
        <f t="shared" si="2"/>
        <v>6.0588116352292092</v>
      </c>
      <c r="K39">
        <f t="shared" si="2"/>
        <v>2.4834628383257749</v>
      </c>
      <c r="L39">
        <f t="shared" si="2"/>
        <v>6.0494237268551947</v>
      </c>
      <c r="M39">
        <f>100*(M3/$F3)</f>
        <v>3.7587740835957133</v>
      </c>
      <c r="N39">
        <f t="shared" ref="N39:U39" si="3">100*(N3/$F3)</f>
        <v>13.663739564978769</v>
      </c>
      <c r="O39">
        <f t="shared" si="3"/>
        <v>10.240041595655565</v>
      </c>
      <c r="P39">
        <f t="shared" si="3"/>
        <v>74.235968687714831</v>
      </c>
      <c r="Q39">
        <f t="shared" si="3"/>
        <v>4.0469106559981514</v>
      </c>
      <c r="R39">
        <f t="shared" si="3"/>
        <v>2.209047055085358</v>
      </c>
      <c r="S39">
        <f t="shared" si="3"/>
        <v>92.657933504722848</v>
      </c>
      <c r="T39">
        <f t="shared" si="3"/>
        <v>12.218001675380572</v>
      </c>
      <c r="U39">
        <f t="shared" si="3"/>
        <v>7.726970738611745E-2</v>
      </c>
      <c r="X39" s="4"/>
    </row>
    <row r="40" spans="1:24" x14ac:dyDescent="0.25">
      <c r="A40" s="8">
        <v>32</v>
      </c>
      <c r="G40">
        <f t="shared" si="2"/>
        <v>25.194202036229008</v>
      </c>
      <c r="H40">
        <f t="shared" si="2"/>
        <v>6.7921129181541726</v>
      </c>
      <c r="I40" s="4"/>
      <c r="J40">
        <f t="shared" si="2"/>
        <v>5.1616422054740179</v>
      </c>
      <c r="K40">
        <f t="shared" si="2"/>
        <v>1.5660121644849927</v>
      </c>
      <c r="L40">
        <f t="shared" si="2"/>
        <v>10.443937590903081</v>
      </c>
      <c r="M40">
        <f t="shared" si="2"/>
        <v>7.4780179822821635</v>
      </c>
      <c r="N40">
        <f t="shared" si="2"/>
        <v>13.866851778394818</v>
      </c>
      <c r="O40">
        <f t="shared" si="2"/>
        <v>12.066144387147958</v>
      </c>
      <c r="P40">
        <f t="shared" si="2"/>
        <v>73.927343646701047</v>
      </c>
      <c r="Q40">
        <f t="shared" si="2"/>
        <v>5.2327118868174001</v>
      </c>
      <c r="R40">
        <f t="shared" si="2"/>
        <v>3.3468861562871877</v>
      </c>
      <c r="S40">
        <f t="shared" si="2"/>
        <v>91.089845299484324</v>
      </c>
      <c r="T40">
        <f t="shared" si="2"/>
        <v>14.540360967869892</v>
      </c>
      <c r="U40">
        <f t="shared" si="2"/>
        <v>2.0130900436334787</v>
      </c>
      <c r="X40" s="4"/>
    </row>
    <row r="41" spans="1:24" x14ac:dyDescent="0.25">
      <c r="A41" s="8">
        <v>33</v>
      </c>
      <c r="G41">
        <f t="shared" si="2"/>
        <v>25.617959773358319</v>
      </c>
      <c r="H41">
        <f t="shared" si="2"/>
        <v>9.2519018488001983</v>
      </c>
      <c r="I41" s="4"/>
      <c r="J41">
        <f t="shared" si="2"/>
        <v>5.8172870719429328</v>
      </c>
      <c r="K41">
        <f t="shared" si="2"/>
        <v>3.3646357705591545</v>
      </c>
      <c r="L41">
        <f t="shared" si="2"/>
        <v>7.7631549244903955</v>
      </c>
      <c r="M41">
        <f t="shared" si="2"/>
        <v>6.410979931826903</v>
      </c>
      <c r="N41">
        <f t="shared" si="2"/>
        <v>15.728346012325334</v>
      </c>
      <c r="O41">
        <f t="shared" si="2"/>
        <v>11.694394907334251</v>
      </c>
      <c r="P41">
        <f t="shared" si="2"/>
        <v>73.641617192261677</v>
      </c>
      <c r="Q41">
        <f t="shared" si="2"/>
        <v>4.8206505790198424</v>
      </c>
      <c r="R41">
        <f t="shared" si="2"/>
        <v>3.0655319533172305</v>
      </c>
      <c r="S41">
        <f t="shared" si="2"/>
        <v>90.605882751303639</v>
      </c>
      <c r="T41">
        <f t="shared" si="2"/>
        <v>12.86146414140274</v>
      </c>
      <c r="U41">
        <f t="shared" si="2"/>
        <v>8.4652023747714397E-2</v>
      </c>
      <c r="X41" s="4"/>
    </row>
    <row r="42" spans="1:24" x14ac:dyDescent="0.25">
      <c r="A42" s="8">
        <v>34</v>
      </c>
      <c r="G42">
        <f t="shared" si="2"/>
        <v>22.285732182846047</v>
      </c>
      <c r="H42">
        <f t="shared" si="2"/>
        <v>7.7282052085127697</v>
      </c>
      <c r="I42" s="4"/>
      <c r="J42">
        <f t="shared" si="2"/>
        <v>6.0964342202107833</v>
      </c>
      <c r="K42">
        <f t="shared" si="2"/>
        <v>1.5753950232550857</v>
      </c>
      <c r="L42">
        <f t="shared" si="2"/>
        <v>9.4100881657453375</v>
      </c>
      <c r="M42">
        <f t="shared" si="2"/>
        <v>6.5991199085456573</v>
      </c>
      <c r="N42">
        <f t="shared" si="2"/>
        <v>13.689963512222622</v>
      </c>
      <c r="O42">
        <f t="shared" si="2"/>
        <v>12.161548459839954</v>
      </c>
      <c r="P42">
        <f t="shared" si="2"/>
        <v>77.148942167655861</v>
      </c>
      <c r="Q42">
        <f t="shared" si="2"/>
        <v>5.4434126250841723</v>
      </c>
      <c r="R42">
        <f t="shared" si="2"/>
        <v>2.900230201857275</v>
      </c>
      <c r="S42">
        <f t="shared" si="2"/>
        <v>88.743598978968635</v>
      </c>
      <c r="T42">
        <f t="shared" si="2"/>
        <v>9.9284338443710158</v>
      </c>
      <c r="U42">
        <f t="shared" si="2"/>
        <v>2.1391546737241023</v>
      </c>
      <c r="X42" s="4"/>
    </row>
    <row r="43" spans="1:24" x14ac:dyDescent="0.25">
      <c r="A43" s="8">
        <v>35</v>
      </c>
      <c r="G43">
        <f t="shared" si="2"/>
        <v>25.054353834248445</v>
      </c>
      <c r="H43">
        <f t="shared" si="2"/>
        <v>8.2580978000515906</v>
      </c>
      <c r="I43" s="4"/>
      <c r="J43">
        <f t="shared" si="2"/>
        <v>3.5634005232708112</v>
      </c>
      <c r="K43">
        <f t="shared" si="2"/>
        <v>4.6025721339868078</v>
      </c>
      <c r="L43">
        <f t="shared" si="2"/>
        <v>8.3723329771161143</v>
      </c>
      <c r="M43">
        <f t="shared" si="2"/>
        <v>5.5533036076205917</v>
      </c>
      <c r="N43">
        <f t="shared" si="2"/>
        <v>14.504182481482847</v>
      </c>
      <c r="O43">
        <f t="shared" si="2"/>
        <v>11.276117477982091</v>
      </c>
      <c r="P43">
        <f t="shared" si="2"/>
        <v>74.282345137634962</v>
      </c>
      <c r="Q43">
        <f t="shared" si="2"/>
        <v>13.092825293879207</v>
      </c>
      <c r="R43">
        <f t="shared" si="2"/>
        <v>10.612816449865498</v>
      </c>
      <c r="S43">
        <f t="shared" si="2"/>
        <v>95.345837786048577</v>
      </c>
      <c r="T43">
        <f t="shared" si="2"/>
        <v>23.252386041198363</v>
      </c>
      <c r="U43">
        <f t="shared" si="2"/>
        <v>3.4639053690533217</v>
      </c>
      <c r="X43" s="4"/>
    </row>
    <row r="44" spans="1:24" x14ac:dyDescent="0.25">
      <c r="A44" s="8">
        <v>36</v>
      </c>
      <c r="G44">
        <f t="shared" si="2"/>
        <v>15.966341567871673</v>
      </c>
      <c r="H44">
        <f t="shared" si="2"/>
        <v>6.1520566878856897</v>
      </c>
      <c r="I44" s="4"/>
      <c r="J44">
        <f t="shared" si="2"/>
        <v>3.9371994782845685</v>
      </c>
      <c r="K44">
        <f t="shared" si="2"/>
        <v>2.1447760322373415</v>
      </c>
      <c r="L44">
        <f t="shared" si="2"/>
        <v>5.9019058186844209</v>
      </c>
      <c r="M44">
        <f t="shared" si="2"/>
        <v>4.5513831299032494</v>
      </c>
      <c r="N44">
        <f t="shared" si="2"/>
        <v>10.153983920263194</v>
      </c>
      <c r="O44">
        <f t="shared" si="2"/>
        <v>8.5489302886955159</v>
      </c>
      <c r="P44">
        <f t="shared" si="2"/>
        <v>83.517783098756055</v>
      </c>
      <c r="Q44">
        <f t="shared" si="2"/>
        <v>5.7597967645856452</v>
      </c>
      <c r="R44">
        <f t="shared" si="2"/>
        <v>3.4636648562362518</v>
      </c>
      <c r="S44">
        <f t="shared" si="2"/>
        <v>89.625552375946583</v>
      </c>
      <c r="T44">
        <f t="shared" si="2"/>
        <v>11.280636181354513</v>
      </c>
      <c r="U44">
        <f t="shared" si="2"/>
        <v>1.6848683057875371</v>
      </c>
      <c r="X44" s="4"/>
    </row>
    <row r="45" spans="1:24" x14ac:dyDescent="0.25">
      <c r="A45" s="8">
        <v>37</v>
      </c>
      <c r="G45">
        <f t="shared" si="2"/>
        <v>15.971256260659711</v>
      </c>
      <c r="H45">
        <f t="shared" si="2"/>
        <v>7.7241426766869985</v>
      </c>
      <c r="I45" s="4"/>
      <c r="J45">
        <f t="shared" si="2"/>
        <v>5.8657282025824147</v>
      </c>
      <c r="K45">
        <f t="shared" si="2"/>
        <v>1.813686699139359</v>
      </c>
      <c r="L45">
        <f t="shared" si="2"/>
        <v>8.9548937592466071</v>
      </c>
      <c r="M45">
        <f t="shared" si="2"/>
        <v>3.6317970243741797</v>
      </c>
      <c r="N45">
        <f t="shared" si="2"/>
        <v>9.9659380790649443</v>
      </c>
      <c r="O45">
        <f t="shared" si="2"/>
        <v>7.3343720662757486</v>
      </c>
      <c r="P45">
        <f t="shared" si="2"/>
        <v>83.6719045676397</v>
      </c>
      <c r="Q45">
        <f t="shared" si="2"/>
        <v>7.3628798788909471</v>
      </c>
      <c r="R45">
        <f t="shared" si="2"/>
        <v>4.8261760701488798</v>
      </c>
      <c r="S45">
        <f t="shared" si="2"/>
        <v>89.988842631959216</v>
      </c>
      <c r="T45">
        <f t="shared" si="2"/>
        <v>11.03203196807125</v>
      </c>
      <c r="U45">
        <f t="shared" si="2"/>
        <v>2.3022516256825902</v>
      </c>
      <c r="X45" s="4"/>
    </row>
    <row r="46" spans="1:24" x14ac:dyDescent="0.25">
      <c r="A46" s="8">
        <v>38</v>
      </c>
      <c r="G46">
        <f t="shared" si="2"/>
        <v>36.045509983027571</v>
      </c>
      <c r="H46">
        <f t="shared" si="2"/>
        <v>19.852621344318504</v>
      </c>
      <c r="I46" s="4"/>
      <c r="J46">
        <f t="shared" si="2"/>
        <v>16.219754539484345</v>
      </c>
      <c r="K46">
        <f t="shared" si="2"/>
        <v>3.4763622717464542</v>
      </c>
      <c r="L46">
        <f t="shared" si="2"/>
        <v>11.106704534793474</v>
      </c>
      <c r="M46">
        <f t="shared" si="2"/>
        <v>7.9518801866114002</v>
      </c>
      <c r="N46">
        <f t="shared" si="2"/>
        <v>27.11025253946729</v>
      </c>
      <c r="O46">
        <f t="shared" si="2"/>
        <v>22.682496225980607</v>
      </c>
      <c r="P46">
        <f t="shared" si="2"/>
        <v>62.743392267737896</v>
      </c>
      <c r="Q46">
        <f t="shared" si="2"/>
        <v>5.9650828578495334</v>
      </c>
      <c r="R46">
        <f t="shared" si="2"/>
        <v>2.1752850770582266</v>
      </c>
      <c r="S46">
        <f t="shared" si="2"/>
        <v>70.821499543706139</v>
      </c>
      <c r="T46">
        <f t="shared" si="2"/>
        <v>12.159165536593063</v>
      </c>
      <c r="U46">
        <f t="shared" si="2"/>
        <v>1.2989449803409836</v>
      </c>
      <c r="X46" s="4"/>
    </row>
    <row r="47" spans="1:24" x14ac:dyDescent="0.25">
      <c r="A47" s="8">
        <v>39</v>
      </c>
      <c r="G47">
        <f t="shared" si="2"/>
        <v>16.001863296669757</v>
      </c>
      <c r="H47">
        <f t="shared" si="2"/>
        <v>5.0353183064882083</v>
      </c>
      <c r="I47" s="4"/>
      <c r="J47">
        <f t="shared" si="2"/>
        <v>2.2271214074315018</v>
      </c>
      <c r="K47">
        <f t="shared" si="2"/>
        <v>2.6640323506852837</v>
      </c>
      <c r="L47">
        <f t="shared" si="2"/>
        <v>7.1198814557808383</v>
      </c>
      <c r="M47">
        <f t="shared" si="2"/>
        <v>5.4485364688118674</v>
      </c>
      <c r="N47">
        <f t="shared" si="2"/>
        <v>6.9070479999678742</v>
      </c>
      <c r="O47">
        <f t="shared" si="2"/>
        <v>4.5425887776532905</v>
      </c>
      <c r="P47">
        <f t="shared" si="2"/>
        <v>83.315864927054335</v>
      </c>
      <c r="Q47">
        <f t="shared" si="2"/>
        <v>2.7708506511499031</v>
      </c>
      <c r="R47">
        <f t="shared" si="2"/>
        <v>1.4203621381329286</v>
      </c>
      <c r="S47">
        <f t="shared" si="2"/>
        <v>90.869444745623866</v>
      </c>
      <c r="T47">
        <f t="shared" si="2"/>
        <v>8.0005300757767426</v>
      </c>
      <c r="U47">
        <f t="shared" si="2"/>
        <v>0.76379100557784285</v>
      </c>
      <c r="X47" s="4"/>
    </row>
    <row r="48" spans="1:24" x14ac:dyDescent="0.25">
      <c r="A48" s="8">
        <v>40</v>
      </c>
      <c r="G48">
        <f t="shared" si="2"/>
        <v>61.891058737775616</v>
      </c>
      <c r="H48">
        <f t="shared" si="2"/>
        <v>29.20032800826095</v>
      </c>
      <c r="I48" s="4"/>
      <c r="J48">
        <f t="shared" si="2"/>
        <v>25.906958027091054</v>
      </c>
      <c r="K48">
        <f t="shared" si="2"/>
        <v>3.0883648180768999</v>
      </c>
      <c r="L48">
        <f t="shared" si="2"/>
        <v>27.685947275709168</v>
      </c>
      <c r="M48">
        <f t="shared" si="2"/>
        <v>20.472423009172083</v>
      </c>
      <c r="N48">
        <f t="shared" si="2"/>
        <v>50.022398712263858</v>
      </c>
      <c r="O48">
        <f t="shared" si="2"/>
        <v>43.23558889631294</v>
      </c>
      <c r="P48">
        <f t="shared" si="2"/>
        <v>37.034941991131625</v>
      </c>
      <c r="Q48">
        <f t="shared" si="2"/>
        <v>4.8814007167587921</v>
      </c>
      <c r="R48">
        <f t="shared" si="2"/>
        <v>0.65639616108850141</v>
      </c>
      <c r="S48">
        <f t="shared" si="2"/>
        <v>61.372471602988519</v>
      </c>
      <c r="T48">
        <f t="shared" si="2"/>
        <v>9.764319990281237</v>
      </c>
      <c r="U48">
        <f t="shared" si="2"/>
        <v>0.71713843163457447</v>
      </c>
      <c r="X48" s="4"/>
    </row>
    <row r="49" spans="1:24" x14ac:dyDescent="0.25">
      <c r="A49" s="8">
        <v>41</v>
      </c>
      <c r="G49">
        <f t="shared" si="2"/>
        <v>22.341798684965358</v>
      </c>
      <c r="H49">
        <f t="shared" si="2"/>
        <v>7.2293808746304231</v>
      </c>
      <c r="I49" s="4"/>
      <c r="J49">
        <f t="shared" si="2"/>
        <v>4.2286306870835357</v>
      </c>
      <c r="K49">
        <f t="shared" si="2"/>
        <v>2.9323507347425091</v>
      </c>
      <c r="L49">
        <f t="shared" si="2"/>
        <v>9.7789153170645591</v>
      </c>
      <c r="M49">
        <f t="shared" si="2"/>
        <v>7.4687789594457428</v>
      </c>
      <c r="N49">
        <f t="shared" si="2"/>
        <v>12.083535589779798</v>
      </c>
      <c r="O49">
        <f t="shared" si="2"/>
        <v>6.8873836106085342</v>
      </c>
      <c r="P49">
        <f t="shared" si="2"/>
        <v>77.163960107673972</v>
      </c>
      <c r="Q49">
        <f t="shared" si="2"/>
        <v>4.9931600547195618</v>
      </c>
      <c r="R49">
        <f t="shared" si="2"/>
        <v>2.6559948810732097</v>
      </c>
      <c r="S49">
        <f t="shared" si="2"/>
        <v>93.081726313931426</v>
      </c>
      <c r="T49">
        <f t="shared" si="2"/>
        <v>13.740015886324523</v>
      </c>
      <c r="U49">
        <f t="shared" si="2"/>
        <v>0.18809849521203831</v>
      </c>
      <c r="X49" s="4"/>
    </row>
    <row r="50" spans="1:24" x14ac:dyDescent="0.25">
      <c r="A50" s="8">
        <v>42</v>
      </c>
      <c r="G50">
        <f t="shared" si="2"/>
        <v>28.046736962097462</v>
      </c>
      <c r="H50">
        <f t="shared" si="2"/>
        <v>11.857889237199581</v>
      </c>
      <c r="I50" s="4"/>
      <c r="J50">
        <f t="shared" si="2"/>
        <v>8.8484848484848477</v>
      </c>
      <c r="K50">
        <f t="shared" si="2"/>
        <v>2.9151705139165953</v>
      </c>
      <c r="L50">
        <f t="shared" si="2"/>
        <v>6.5891517051391668</v>
      </c>
      <c r="M50">
        <f t="shared" si="2"/>
        <v>4.0649757765745225</v>
      </c>
      <c r="N50">
        <f t="shared" si="2"/>
        <v>19.357461764985278</v>
      </c>
      <c r="O50">
        <f t="shared" si="2"/>
        <v>11.970741901776384</v>
      </c>
      <c r="P50">
        <f t="shared" si="2"/>
        <v>71.154554953927999</v>
      </c>
      <c r="Q50">
        <f t="shared" si="2"/>
        <v>5.4655647382920103</v>
      </c>
      <c r="R50">
        <f t="shared" si="2"/>
        <v>4.0425572337798048</v>
      </c>
      <c r="S50">
        <f t="shared" si="2"/>
        <v>91.958202716823408</v>
      </c>
      <c r="T50">
        <f t="shared" si="2"/>
        <v>16.447990880592762</v>
      </c>
      <c r="U50">
        <f t="shared" si="2"/>
        <v>0.21468604540704853</v>
      </c>
      <c r="X50" s="4"/>
    </row>
    <row r="51" spans="1:24" x14ac:dyDescent="0.25">
      <c r="A51" s="8">
        <v>43</v>
      </c>
      <c r="G51">
        <f t="shared" si="2"/>
        <v>22.905145873039142</v>
      </c>
      <c r="H51">
        <f t="shared" si="2"/>
        <v>6.8975223574255979</v>
      </c>
      <c r="I51" s="4"/>
      <c r="J51">
        <f t="shared" si="2"/>
        <v>4.2902800175927283</v>
      </c>
      <c r="K51">
        <f t="shared" si="2"/>
        <v>2.5151737281923472</v>
      </c>
      <c r="L51">
        <f t="shared" si="2"/>
        <v>6.0419293358745056</v>
      </c>
      <c r="M51">
        <f t="shared" si="2"/>
        <v>3.1555490397302446</v>
      </c>
      <c r="N51">
        <f t="shared" si="2"/>
        <v>16.650930948541269</v>
      </c>
      <c r="O51">
        <f t="shared" si="2"/>
        <v>10.131652250403167</v>
      </c>
      <c r="P51">
        <f t="shared" si="2"/>
        <v>76.022870546840636</v>
      </c>
      <c r="Q51">
        <f t="shared" si="2"/>
        <v>9.013927576601672</v>
      </c>
      <c r="R51">
        <f t="shared" si="2"/>
        <v>5.0080633338220197</v>
      </c>
      <c r="S51">
        <f t="shared" si="2"/>
        <v>86.198504618091192</v>
      </c>
      <c r="T51">
        <f t="shared" si="2"/>
        <v>18.254801348775839</v>
      </c>
      <c r="U51">
        <f t="shared" si="2"/>
        <v>1.5106289400381177</v>
      </c>
      <c r="X51" s="4"/>
    </row>
    <row r="52" spans="1:24" x14ac:dyDescent="0.25">
      <c r="A52" s="8">
        <v>44</v>
      </c>
      <c r="G52">
        <f t="shared" si="2"/>
        <v>31.767430029908873</v>
      </c>
      <c r="H52">
        <f t="shared" si="2"/>
        <v>10.664573338128108</v>
      </c>
      <c r="I52" s="4"/>
      <c r="J52">
        <f t="shared" si="2"/>
        <v>7.1062071868997396</v>
      </c>
      <c r="K52">
        <f t="shared" si="2"/>
        <v>3.3732995360178224</v>
      </c>
      <c r="L52">
        <f t="shared" si="2"/>
        <v>10.348819871418172</v>
      </c>
      <c r="M52">
        <f t="shared" si="2"/>
        <v>6.6939734942506561</v>
      </c>
      <c r="N52">
        <f t="shared" si="2"/>
        <v>19.503039127117084</v>
      </c>
      <c r="O52">
        <f t="shared" si="2"/>
        <v>13.32041083034391</v>
      </c>
      <c r="P52">
        <f t="shared" si="2"/>
        <v>66.749405769517509</v>
      </c>
      <c r="Q52">
        <f t="shared" si="2"/>
        <v>13.151131888468859</v>
      </c>
      <c r="R52">
        <f t="shared" si="2"/>
        <v>8.2727408278003391</v>
      </c>
      <c r="S52">
        <f t="shared" si="2"/>
        <v>84.143913413382691</v>
      </c>
      <c r="T52">
        <f t="shared" si="2"/>
        <v>22.294826028610775</v>
      </c>
      <c r="U52">
        <f t="shared" si="2"/>
        <v>2.3041232140194539</v>
      </c>
      <c r="X52" s="4"/>
    </row>
    <row r="53" spans="1:24" x14ac:dyDescent="0.25">
      <c r="A53" s="8">
        <v>45</v>
      </c>
      <c r="G53">
        <f>100*(G17/$F17)</f>
        <v>22.072390447139352</v>
      </c>
      <c r="H53">
        <f t="shared" si="2"/>
        <v>6.702130297844902</v>
      </c>
      <c r="I53" s="4"/>
      <c r="J53">
        <f t="shared" si="2"/>
        <v>5.5309624779902293</v>
      </c>
      <c r="K53">
        <f t="shared" si="2"/>
        <v>1.112268432408303</v>
      </c>
      <c r="L53">
        <f t="shared" si="2"/>
        <v>8.5366912184113275</v>
      </c>
      <c r="M53">
        <f t="shared" si="2"/>
        <v>6.9935272673164199</v>
      </c>
      <c r="N53">
        <f t="shared" si="2"/>
        <v>12.692507997916822</v>
      </c>
      <c r="O53">
        <f t="shared" si="2"/>
        <v>9.8237978325025406</v>
      </c>
      <c r="P53">
        <f t="shared" si="2"/>
        <v>77.44835453711282</v>
      </c>
      <c r="Q53">
        <f t="shared" si="2"/>
        <v>3.9264191652406812</v>
      </c>
      <c r="R53">
        <f>100*(R17/$F17)</f>
        <v>2.5804131637030974</v>
      </c>
      <c r="S53">
        <f t="shared" si="2"/>
        <v>92.139101753341762</v>
      </c>
      <c r="T53">
        <f t="shared" si="2"/>
        <v>10.471071100860552</v>
      </c>
      <c r="U53">
        <f t="shared" si="2"/>
        <v>1.0192693995982443</v>
      </c>
      <c r="X53" s="4"/>
    </row>
    <row r="54" spans="1:24" s="10" customFormat="1" x14ac:dyDescent="0.25">
      <c r="A54" s="10" t="s">
        <v>87</v>
      </c>
    </row>
    <row r="55" spans="1:24" s="10" customFormat="1" ht="27" customHeight="1" x14ac:dyDescent="0.25">
      <c r="A55" s="10" t="s">
        <v>87</v>
      </c>
      <c r="B55" s="22" t="s">
        <v>70</v>
      </c>
      <c r="C55" s="22" t="s">
        <v>335</v>
      </c>
      <c r="D55" s="22" t="s">
        <v>89</v>
      </c>
      <c r="E55" s="21" t="s">
        <v>336</v>
      </c>
      <c r="F55" s="22" t="s">
        <v>326</v>
      </c>
      <c r="G55" s="22" t="s">
        <v>327</v>
      </c>
      <c r="H55" s="17" t="s">
        <v>328</v>
      </c>
      <c r="I55" s="25"/>
      <c r="J55" s="17" t="s">
        <v>330</v>
      </c>
      <c r="K55" s="17" t="s">
        <v>331</v>
      </c>
      <c r="L55" s="21"/>
      <c r="M55" s="17" t="s">
        <v>17</v>
      </c>
      <c r="N55" s="21"/>
      <c r="O55" s="17" t="s">
        <v>332</v>
      </c>
      <c r="P55" s="21"/>
      <c r="Q55" s="21"/>
      <c r="R55" s="18" t="s">
        <v>333</v>
      </c>
      <c r="S55" s="21"/>
      <c r="U55" s="18" t="s">
        <v>334</v>
      </c>
      <c r="V55" s="21"/>
      <c r="W55" s="21"/>
    </row>
    <row r="56" spans="1:24" s="6" customFormat="1" ht="20.100000000000001" customHeight="1" x14ac:dyDescent="0.25">
      <c r="A56" s="12">
        <v>31</v>
      </c>
      <c r="B56" s="1">
        <v>1030000</v>
      </c>
      <c r="C56">
        <v>334839</v>
      </c>
      <c r="D56" s="6">
        <v>1015000</v>
      </c>
      <c r="E56" s="6">
        <f>(C56/B56)*D56</f>
        <v>329962.70388349512</v>
      </c>
      <c r="H56" s="6">
        <f>H22*$E56</f>
        <v>1175429.126213592</v>
      </c>
      <c r="J56" s="6">
        <f t="shared" ref="J56:K56" si="4">J22*$E56</f>
        <v>826781.55339805817</v>
      </c>
      <c r="K56" s="6">
        <f t="shared" si="4"/>
        <v>338891.74757281551</v>
      </c>
      <c r="M56" s="6">
        <f>M22*$E56</f>
        <v>512919.90291262133</v>
      </c>
      <c r="O56" s="6">
        <f>O22*$E56</f>
        <v>1397349.5145631065</v>
      </c>
      <c r="R56" s="6">
        <f>R22*$E56</f>
        <v>301445.14563106798</v>
      </c>
      <c r="U56" s="6">
        <f>U22*$E56</f>
        <v>10544.174757281553</v>
      </c>
    </row>
    <row r="57" spans="1:24" s="6" customFormat="1" x14ac:dyDescent="0.25">
      <c r="A57" s="12">
        <v>32</v>
      </c>
      <c r="B57" s="1">
        <v>945000</v>
      </c>
      <c r="C57">
        <v>303097</v>
      </c>
      <c r="D57" s="6">
        <v>885000</v>
      </c>
      <c r="E57" s="6">
        <f t="shared" ref="E57:E70" si="5">(C57/B57)*D57</f>
        <v>283852.74603174604</v>
      </c>
      <c r="H57" s="6">
        <f t="shared" ref="H57" si="6">H23*$E57</f>
        <v>769715.87301587313</v>
      </c>
      <c r="J57" s="6">
        <f t="shared" ref="J57:K57" si="7">J23*$E57</f>
        <v>584942.85714285716</v>
      </c>
      <c r="K57" s="6">
        <f t="shared" si="7"/>
        <v>177468.25396825396</v>
      </c>
      <c r="M57" s="6">
        <f t="shared" ref="M57:M70" si="8">M23*$E57</f>
        <v>847446.03174603172</v>
      </c>
      <c r="O57" s="6">
        <f t="shared" ref="O57" si="9">O23*$E57</f>
        <v>1367395.2380952381</v>
      </c>
      <c r="R57" s="6">
        <f t="shared" ref="R57:U70" si="10">R23*$E57</f>
        <v>379285.71428571426</v>
      </c>
      <c r="U57" s="6">
        <f t="shared" si="10"/>
        <v>228133.33333333334</v>
      </c>
    </row>
    <row r="58" spans="1:24" s="6" customFormat="1" x14ac:dyDescent="0.25">
      <c r="A58" s="12">
        <v>33</v>
      </c>
      <c r="B58" s="1">
        <v>696000</v>
      </c>
      <c r="C58">
        <v>196054</v>
      </c>
      <c r="D58" s="6">
        <v>690000</v>
      </c>
      <c r="E58" s="6">
        <f t="shared" si="5"/>
        <v>194363.87931034484</v>
      </c>
      <c r="H58" s="6">
        <f t="shared" ref="H58" si="11">H24*$E58</f>
        <v>812633.6206896553</v>
      </c>
      <c r="J58" s="6">
        <f t="shared" ref="J58:K58" si="12">J24*$E58</f>
        <v>510956.89655172417</v>
      </c>
      <c r="K58" s="6">
        <f t="shared" si="12"/>
        <v>295530.17241379316</v>
      </c>
      <c r="M58" s="6">
        <f t="shared" si="8"/>
        <v>563103.44827586215</v>
      </c>
      <c r="O58" s="6">
        <f t="shared" ref="O58" si="13">O24*$E58</f>
        <v>1027168.1034482759</v>
      </c>
      <c r="R58" s="6">
        <f t="shared" si="10"/>
        <v>269258.62068965519</v>
      </c>
      <c r="U58" s="6">
        <f t="shared" si="10"/>
        <v>7435.3448275862074</v>
      </c>
    </row>
    <row r="59" spans="1:24" s="6" customFormat="1" x14ac:dyDescent="0.25">
      <c r="A59" s="12">
        <v>34</v>
      </c>
      <c r="B59" s="1">
        <v>403000</v>
      </c>
      <c r="C59">
        <v>115807</v>
      </c>
      <c r="D59" s="6">
        <v>725000</v>
      </c>
      <c r="E59" s="6">
        <f t="shared" si="5"/>
        <v>208337.65508684865</v>
      </c>
      <c r="H59" s="6">
        <f t="shared" ref="H59" si="14">H25*$E59</f>
        <v>887810.17369727057</v>
      </c>
      <c r="J59" s="6">
        <f t="shared" ref="J59:K59" si="15">J25*$E59</f>
        <v>700353.59801488835</v>
      </c>
      <c r="K59" s="6">
        <f t="shared" si="15"/>
        <v>180980.1488833747</v>
      </c>
      <c r="M59" s="6">
        <f t="shared" si="8"/>
        <v>758101.73697270476</v>
      </c>
      <c r="O59" s="6">
        <f t="shared" ref="O59" si="16">O25*$E59</f>
        <v>1397109.1811414394</v>
      </c>
      <c r="R59" s="6">
        <f t="shared" si="10"/>
        <v>333176.17866004963</v>
      </c>
      <c r="U59" s="6">
        <f t="shared" si="10"/>
        <v>245744.41687344917</v>
      </c>
    </row>
    <row r="60" spans="1:24" s="6" customFormat="1" x14ac:dyDescent="0.25">
      <c r="A60" s="12">
        <v>35</v>
      </c>
      <c r="B60" s="1">
        <v>457000</v>
      </c>
      <c r="C60">
        <v>103099</v>
      </c>
      <c r="D60" s="6">
        <v>287500</v>
      </c>
      <c r="E60" s="6">
        <f t="shared" si="5"/>
        <v>64859.87417943107</v>
      </c>
      <c r="H60" s="6">
        <f t="shared" ref="H60" si="17">H26*$E60</f>
        <v>140981.94748358862</v>
      </c>
      <c r="J60" s="6">
        <f t="shared" ref="J60:K60" si="18">J26*$E60</f>
        <v>60834.245076586427</v>
      </c>
      <c r="K60" s="6">
        <f t="shared" si="18"/>
        <v>78574.945295404817</v>
      </c>
      <c r="M60" s="6">
        <f t="shared" si="8"/>
        <v>94805.798687089715</v>
      </c>
      <c r="O60" s="6">
        <f t="shared" ref="O60" si="19">O26*$E60</f>
        <v>192505.4704595186</v>
      </c>
      <c r="R60" s="6">
        <f t="shared" si="10"/>
        <v>181181.61925601753</v>
      </c>
      <c r="U60" s="6">
        <f t="shared" si="10"/>
        <v>59135.667396061261</v>
      </c>
    </row>
    <row r="61" spans="1:24" s="6" customFormat="1" x14ac:dyDescent="0.25">
      <c r="A61" s="12">
        <v>36</v>
      </c>
      <c r="B61" s="1">
        <v>1200000</v>
      </c>
      <c r="C61" s="1">
        <v>417000</v>
      </c>
      <c r="D61" s="6">
        <v>2075000</v>
      </c>
      <c r="E61" s="6">
        <f t="shared" si="5"/>
        <v>721062.5</v>
      </c>
      <c r="H61" s="6">
        <f t="shared" ref="H61" si="20">H27*$E61</f>
        <v>2185839.5833333335</v>
      </c>
      <c r="J61" s="6">
        <f t="shared" ref="J61:K61" si="21">J27*$E61</f>
        <v>1398895.8333333333</v>
      </c>
      <c r="K61" s="6">
        <f t="shared" si="21"/>
        <v>762043.74999999988</v>
      </c>
      <c r="M61" s="6">
        <f t="shared" si="8"/>
        <v>1617116.6666666667</v>
      </c>
      <c r="O61" s="6">
        <f t="shared" ref="O61" si="22">O27*$E61</f>
        <v>3037454.1666666665</v>
      </c>
      <c r="R61" s="6">
        <f t="shared" si="10"/>
        <v>1230647.9166666667</v>
      </c>
      <c r="U61" s="6">
        <f t="shared" si="10"/>
        <v>598637.5</v>
      </c>
    </row>
    <row r="62" spans="1:24" s="6" customFormat="1" x14ac:dyDescent="0.25">
      <c r="A62" s="12">
        <v>37</v>
      </c>
      <c r="B62" s="1">
        <v>1200000</v>
      </c>
      <c r="C62" s="1">
        <v>402000</v>
      </c>
      <c r="D62" s="6">
        <v>965000</v>
      </c>
      <c r="E62" s="6">
        <f t="shared" si="5"/>
        <v>323275</v>
      </c>
      <c r="H62" s="6">
        <f t="shared" ref="H62" si="23">H28*$E62</f>
        <v>1263747.9166666667</v>
      </c>
      <c r="J62" s="6">
        <f t="shared" ref="J62:K62" si="24">J28*$E62</f>
        <v>959692.5</v>
      </c>
      <c r="K62" s="6">
        <f t="shared" si="24"/>
        <v>296737.5</v>
      </c>
      <c r="M62" s="6">
        <f t="shared" si="8"/>
        <v>594198.75</v>
      </c>
      <c r="O62" s="6">
        <f t="shared" ref="O62" si="25">O28*$E62</f>
        <v>1199977.5</v>
      </c>
      <c r="R62" s="6">
        <f t="shared" si="10"/>
        <v>789611.25</v>
      </c>
      <c r="U62" s="6">
        <f t="shared" si="10"/>
        <v>376671.66666666669</v>
      </c>
    </row>
    <row r="63" spans="1:24" s="6" customFormat="1" x14ac:dyDescent="0.25">
      <c r="A63" s="12">
        <v>38</v>
      </c>
      <c r="B63" s="1">
        <v>1200000</v>
      </c>
      <c r="C63" s="1">
        <v>465000</v>
      </c>
      <c r="D63" s="6">
        <v>1930000</v>
      </c>
      <c r="E63" s="6">
        <f t="shared" si="5"/>
        <v>747875</v>
      </c>
      <c r="H63" s="6">
        <f t="shared" ref="H63" si="26">H29*$E63</f>
        <v>7487435</v>
      </c>
      <c r="J63" s="6">
        <f t="shared" ref="J63:K63" si="27">J29*$E63</f>
        <v>6117295.833333333</v>
      </c>
      <c r="K63" s="6">
        <f t="shared" si="27"/>
        <v>1311113.3333333333</v>
      </c>
      <c r="M63" s="6">
        <f t="shared" si="8"/>
        <v>2999059.1666666665</v>
      </c>
      <c r="O63" s="6">
        <f t="shared" ref="O63" si="28">O29*$E63</f>
        <v>8554725</v>
      </c>
      <c r="R63" s="6">
        <f t="shared" si="10"/>
        <v>820410.83333333326</v>
      </c>
      <c r="U63" s="6">
        <f t="shared" si="10"/>
        <v>489898.33333333331</v>
      </c>
    </row>
    <row r="64" spans="1:24" s="6" customFormat="1" x14ac:dyDescent="0.25">
      <c r="A64" s="12">
        <v>39</v>
      </c>
      <c r="B64" s="1">
        <v>1070000</v>
      </c>
      <c r="C64">
        <v>398293</v>
      </c>
      <c r="D64" s="6">
        <v>1365000</v>
      </c>
      <c r="E64" s="6">
        <f t="shared" si="5"/>
        <v>508102.75233644858</v>
      </c>
      <c r="H64" s="6">
        <f t="shared" ref="H64" si="29">H30*$E64</f>
        <v>1599601.401869159</v>
      </c>
      <c r="J64" s="6">
        <f t="shared" ref="J64:K64" si="30">J30*$E64</f>
        <v>707503.73831775691</v>
      </c>
      <c r="K64" s="6">
        <f t="shared" si="30"/>
        <v>846299.99999999988</v>
      </c>
      <c r="M64" s="6">
        <f t="shared" si="8"/>
        <v>1730871.028037383</v>
      </c>
      <c r="O64" s="6">
        <f t="shared" ref="O64" si="31">O30*$E64</f>
        <v>1443072.8971962617</v>
      </c>
      <c r="R64" s="6">
        <f t="shared" si="10"/>
        <v>451215.42056074768</v>
      </c>
      <c r="U64" s="6">
        <f t="shared" si="10"/>
        <v>242638.31775700932</v>
      </c>
    </row>
    <row r="65" spans="1:21" s="6" customFormat="1" x14ac:dyDescent="0.25">
      <c r="A65" s="12">
        <v>40</v>
      </c>
      <c r="B65" s="1">
        <v>1200000</v>
      </c>
      <c r="C65" s="1">
        <v>470000</v>
      </c>
      <c r="D65" s="6">
        <v>5900000</v>
      </c>
      <c r="E65" s="6">
        <f t="shared" si="5"/>
        <v>2310833.3333333335</v>
      </c>
      <c r="H65" s="6">
        <f t="shared" ref="H65" si="32">H31*$E65</f>
        <v>37817033.333333336</v>
      </c>
      <c r="J65" s="6">
        <f t="shared" ref="J65:K65" si="33">J31*$E65</f>
        <v>33551825</v>
      </c>
      <c r="K65" s="6">
        <f t="shared" si="33"/>
        <v>3999708.3333333335</v>
      </c>
      <c r="M65" s="6">
        <f t="shared" si="8"/>
        <v>26513616.666666668</v>
      </c>
      <c r="O65" s="6">
        <f t="shared" ref="O65" si="34">O31*$E65</f>
        <v>55993950.000000007</v>
      </c>
      <c r="R65" s="6">
        <f t="shared" si="10"/>
        <v>850091.66666666674</v>
      </c>
      <c r="U65" s="6">
        <f t="shared" si="10"/>
        <v>928758.33333333337</v>
      </c>
    </row>
    <row r="66" spans="1:21" s="6" customFormat="1" x14ac:dyDescent="0.25">
      <c r="A66" s="12">
        <v>41</v>
      </c>
      <c r="B66" s="1">
        <v>1200000</v>
      </c>
      <c r="C66" s="1">
        <v>445000</v>
      </c>
      <c r="D66" s="6">
        <v>2335000</v>
      </c>
      <c r="E66" s="6">
        <f t="shared" si="5"/>
        <v>865895.83333333337</v>
      </c>
      <c r="H66" s="6">
        <f t="shared" ref="H66" si="35">H32*$E66</f>
        <v>2550209.166666667</v>
      </c>
      <c r="J66" s="6">
        <f t="shared" ref="J66:K66" si="36">J32*$E66</f>
        <v>1491675.8333333333</v>
      </c>
      <c r="K66" s="6">
        <f t="shared" si="36"/>
        <v>1034405</v>
      </c>
      <c r="M66" s="6">
        <f t="shared" si="8"/>
        <v>2634658.3333333335</v>
      </c>
      <c r="O66" s="6">
        <f t="shared" ref="O66" si="37">O32*$E66</f>
        <v>2429567.5</v>
      </c>
      <c r="R66" s="6">
        <f t="shared" si="10"/>
        <v>936918.75</v>
      </c>
      <c r="U66" s="6">
        <f t="shared" si="10"/>
        <v>66352.916666666672</v>
      </c>
    </row>
    <row r="67" spans="1:21" s="6" customFormat="1" x14ac:dyDescent="0.25">
      <c r="A67" s="12">
        <v>42</v>
      </c>
      <c r="B67" s="1">
        <v>1200000</v>
      </c>
      <c r="C67" s="1">
        <v>474000</v>
      </c>
      <c r="D67" s="6">
        <v>2615000</v>
      </c>
      <c r="E67" s="6">
        <f t="shared" si="5"/>
        <v>1032925</v>
      </c>
      <c r="H67" s="6">
        <f t="shared" ref="H67" si="38">H33*$E67</f>
        <v>6800525.416666667</v>
      </c>
      <c r="J67" s="6">
        <f t="shared" ref="J67:K67" si="39">J33*$E67</f>
        <v>5074625.416666667</v>
      </c>
      <c r="K67" s="6">
        <f t="shared" si="39"/>
        <v>1671856.6666666667</v>
      </c>
      <c r="M67" s="6">
        <f t="shared" si="8"/>
        <v>2331272.5</v>
      </c>
      <c r="O67" s="6">
        <f t="shared" ref="O67" si="40">O33*$E67</f>
        <v>6865246.666666667</v>
      </c>
      <c r="R67" s="6">
        <f t="shared" si="10"/>
        <v>2318415.4166666665</v>
      </c>
      <c r="U67" s="6">
        <f t="shared" si="10"/>
        <v>123122.91666666667</v>
      </c>
    </row>
    <row r="68" spans="1:21" s="6" customFormat="1" x14ac:dyDescent="0.25">
      <c r="A68" s="12">
        <v>43</v>
      </c>
      <c r="B68" s="1">
        <v>1200000</v>
      </c>
      <c r="C68" s="1">
        <v>516000</v>
      </c>
      <c r="D68" s="6">
        <v>1730000</v>
      </c>
      <c r="E68" s="6">
        <f t="shared" si="5"/>
        <v>743900</v>
      </c>
      <c r="H68" s="6">
        <f t="shared" ref="H68" si="41">H34*$E68</f>
        <v>1695688.3333333333</v>
      </c>
      <c r="J68" s="6">
        <f t="shared" ref="J68:K68" si="42">J34*$E68</f>
        <v>1054723.3333333333</v>
      </c>
      <c r="K68" s="6">
        <f t="shared" si="42"/>
        <v>618330.83333333337</v>
      </c>
      <c r="M68" s="6">
        <f t="shared" si="8"/>
        <v>775760.83333333337</v>
      </c>
      <c r="O68" s="6">
        <f t="shared" ref="O68" si="43">O34*$E68</f>
        <v>2490767.5</v>
      </c>
      <c r="R68" s="6">
        <f t="shared" si="10"/>
        <v>1231183.3333333335</v>
      </c>
      <c r="U68" s="6">
        <f t="shared" si="10"/>
        <v>371373.33333333337</v>
      </c>
    </row>
    <row r="69" spans="1:21" s="6" customFormat="1" x14ac:dyDescent="0.25">
      <c r="A69" s="12">
        <v>44</v>
      </c>
      <c r="B69" s="1">
        <v>1080000</v>
      </c>
      <c r="C69" s="1">
        <v>423000</v>
      </c>
      <c r="D69" s="6">
        <v>1125000</v>
      </c>
      <c r="E69" s="6">
        <f t="shared" si="5"/>
        <v>440625</v>
      </c>
      <c r="H69" s="6">
        <f t="shared" ref="H69" si="44">H35*$E69</f>
        <v>1266562.5</v>
      </c>
      <c r="J69" s="6">
        <f t="shared" ref="J69:K69" si="45">J35*$E69</f>
        <v>843958.33333333337</v>
      </c>
      <c r="K69" s="6">
        <f t="shared" si="45"/>
        <v>400625</v>
      </c>
      <c r="M69" s="6">
        <f t="shared" si="8"/>
        <v>795000</v>
      </c>
      <c r="O69" s="6">
        <f t="shared" ref="O69" si="46">O35*$E69</f>
        <v>1581979.1666666667</v>
      </c>
      <c r="R69" s="6">
        <f t="shared" si="10"/>
        <v>982500</v>
      </c>
      <c r="U69" s="6">
        <f t="shared" si="10"/>
        <v>273645.83333333331</v>
      </c>
    </row>
    <row r="70" spans="1:21" s="6" customFormat="1" x14ac:dyDescent="0.25">
      <c r="A70" s="12">
        <v>45</v>
      </c>
      <c r="B70" s="1">
        <v>827000</v>
      </c>
      <c r="C70">
        <v>293478</v>
      </c>
      <c r="D70" s="6">
        <v>1814999.9999999998</v>
      </c>
      <c r="E70" s="6">
        <f t="shared" si="5"/>
        <v>644090.16928657796</v>
      </c>
      <c r="H70" s="6">
        <f t="shared" ref="H70" si="47">H36*$E70</f>
        <v>2372448.6094316808</v>
      </c>
      <c r="J70" s="6">
        <f t="shared" ref="J70:K70" si="48">J36*$E70</f>
        <v>1957873.6396614269</v>
      </c>
      <c r="K70" s="6">
        <f t="shared" si="48"/>
        <v>393725.51390568318</v>
      </c>
      <c r="M70" s="6">
        <f t="shared" si="8"/>
        <v>2475598.5489721885</v>
      </c>
      <c r="O70" s="6">
        <f t="shared" ref="O70" si="49">O36*$E70</f>
        <v>3477469.7702539293</v>
      </c>
      <c r="R70" s="6">
        <f t="shared" si="10"/>
        <v>913425.63482466748</v>
      </c>
      <c r="U70" s="6">
        <f t="shared" si="10"/>
        <v>360805.32043530833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BEBF-FE55-7B47-B1DE-40E69FB9BFD2}">
  <dimension ref="A1:X71"/>
  <sheetViews>
    <sheetView topLeftCell="A34" workbookViewId="0">
      <selection activeCell="A55" sqref="A55"/>
    </sheetView>
  </sheetViews>
  <sheetFormatPr defaultColWidth="11" defaultRowHeight="15.75" x14ac:dyDescent="0.25"/>
  <cols>
    <col min="9" max="21" width="10.875"/>
  </cols>
  <sheetData>
    <row r="1" spans="1:21" x14ac:dyDescent="0.25">
      <c r="A1" t="s">
        <v>31</v>
      </c>
      <c r="B1" t="s">
        <v>32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  <c r="H1" t="s">
        <v>448</v>
      </c>
      <c r="I1" s="29" t="s">
        <v>449</v>
      </c>
      <c r="J1" t="s">
        <v>450</v>
      </c>
      <c r="K1" t="s">
        <v>451</v>
      </c>
      <c r="L1" t="s">
        <v>452</v>
      </c>
      <c r="M1" t="s">
        <v>453</v>
      </c>
      <c r="N1" t="s">
        <v>454</v>
      </c>
      <c r="O1" t="s">
        <v>455</v>
      </c>
      <c r="P1" t="s">
        <v>456</v>
      </c>
      <c r="Q1" t="s">
        <v>457</v>
      </c>
      <c r="R1" t="s">
        <v>458</v>
      </c>
      <c r="S1" t="s">
        <v>459</v>
      </c>
      <c r="T1" t="s">
        <v>460</v>
      </c>
      <c r="U1" t="s">
        <v>461</v>
      </c>
    </row>
    <row r="2" spans="1:21" x14ac:dyDescent="0.25">
      <c r="I2" s="29"/>
    </row>
    <row r="3" spans="1:21" x14ac:dyDescent="0.25">
      <c r="A3" t="s">
        <v>492</v>
      </c>
      <c r="B3" s="1">
        <v>1200000</v>
      </c>
      <c r="C3" s="1">
        <v>801000</v>
      </c>
      <c r="D3" s="1">
        <v>777000</v>
      </c>
      <c r="E3">
        <v>269259</v>
      </c>
      <c r="F3">
        <v>221844</v>
      </c>
      <c r="G3">
        <v>49967</v>
      </c>
      <c r="H3">
        <v>16566</v>
      </c>
      <c r="I3" s="29">
        <v>108185</v>
      </c>
      <c r="J3">
        <v>15688</v>
      </c>
      <c r="K3">
        <v>790</v>
      </c>
      <c r="L3">
        <v>20650</v>
      </c>
      <c r="M3">
        <v>9598</v>
      </c>
      <c r="N3">
        <v>32868</v>
      </c>
      <c r="O3">
        <v>23692</v>
      </c>
      <c r="P3">
        <v>169506</v>
      </c>
      <c r="Q3">
        <v>22751</v>
      </c>
      <c r="R3">
        <v>377</v>
      </c>
      <c r="S3">
        <v>181732</v>
      </c>
      <c r="T3">
        <v>45513</v>
      </c>
      <c r="U3">
        <v>2988</v>
      </c>
    </row>
    <row r="4" spans="1:21" x14ac:dyDescent="0.25">
      <c r="A4" t="s">
        <v>493</v>
      </c>
      <c r="B4" s="1">
        <v>1040000</v>
      </c>
      <c r="C4" s="1">
        <v>618000</v>
      </c>
      <c r="D4" s="1">
        <v>584000</v>
      </c>
      <c r="E4">
        <v>204069</v>
      </c>
      <c r="F4">
        <v>144653</v>
      </c>
      <c r="G4">
        <v>26025</v>
      </c>
      <c r="H4">
        <v>2709</v>
      </c>
      <c r="I4" s="29">
        <v>108185</v>
      </c>
      <c r="J4">
        <v>1728</v>
      </c>
      <c r="K4">
        <v>939</v>
      </c>
      <c r="L4">
        <v>9139</v>
      </c>
      <c r="M4">
        <v>4544</v>
      </c>
      <c r="N4">
        <v>10502</v>
      </c>
      <c r="O4">
        <v>6203</v>
      </c>
      <c r="P4">
        <v>117038</v>
      </c>
      <c r="Q4">
        <v>10952</v>
      </c>
      <c r="R4">
        <v>3227</v>
      </c>
      <c r="S4">
        <v>128667</v>
      </c>
      <c r="T4">
        <v>29592</v>
      </c>
      <c r="U4">
        <v>173</v>
      </c>
    </row>
    <row r="5" spans="1:21" x14ac:dyDescent="0.25">
      <c r="A5" t="s">
        <v>494</v>
      </c>
      <c r="B5" s="1">
        <v>1200000</v>
      </c>
      <c r="C5" s="1">
        <v>719000</v>
      </c>
      <c r="D5" s="1">
        <v>678000</v>
      </c>
      <c r="E5">
        <v>199539</v>
      </c>
      <c r="F5">
        <v>131561</v>
      </c>
      <c r="G5">
        <v>25063</v>
      </c>
      <c r="H5">
        <v>5401</v>
      </c>
      <c r="I5" s="29">
        <v>108185</v>
      </c>
      <c r="J5">
        <v>3073</v>
      </c>
      <c r="K5">
        <v>2250</v>
      </c>
      <c r="L5">
        <v>11210</v>
      </c>
      <c r="M5">
        <v>7572</v>
      </c>
      <c r="N5">
        <v>10301</v>
      </c>
      <c r="O5">
        <v>7101</v>
      </c>
      <c r="P5">
        <v>105769</v>
      </c>
      <c r="Q5">
        <v>5735</v>
      </c>
      <c r="R5">
        <v>1677</v>
      </c>
      <c r="S5">
        <v>122449</v>
      </c>
      <c r="T5">
        <v>18539</v>
      </c>
      <c r="U5">
        <v>3103</v>
      </c>
    </row>
    <row r="6" spans="1:21" x14ac:dyDescent="0.25">
      <c r="A6" t="s">
        <v>495</v>
      </c>
      <c r="B6" s="1">
        <v>1200000</v>
      </c>
      <c r="C6" s="1">
        <v>718000</v>
      </c>
      <c r="D6" s="1">
        <v>677000</v>
      </c>
      <c r="E6">
        <v>250689</v>
      </c>
      <c r="F6">
        <v>132391</v>
      </c>
      <c r="G6">
        <v>41840</v>
      </c>
      <c r="H6">
        <v>15458</v>
      </c>
      <c r="I6" s="29">
        <v>108185</v>
      </c>
      <c r="J6">
        <v>12483</v>
      </c>
      <c r="K6">
        <v>2842</v>
      </c>
      <c r="L6">
        <v>16877</v>
      </c>
      <c r="M6">
        <v>11089</v>
      </c>
      <c r="N6">
        <v>24981</v>
      </c>
      <c r="O6">
        <v>21096</v>
      </c>
      <c r="P6">
        <v>89671</v>
      </c>
      <c r="Q6">
        <v>6468</v>
      </c>
      <c r="R6">
        <v>2928</v>
      </c>
      <c r="S6">
        <v>106757</v>
      </c>
      <c r="T6">
        <v>18882</v>
      </c>
      <c r="U6">
        <v>553</v>
      </c>
    </row>
    <row r="7" spans="1:21" x14ac:dyDescent="0.25">
      <c r="A7" t="s">
        <v>496</v>
      </c>
      <c r="B7" s="1">
        <v>1200000</v>
      </c>
      <c r="C7" s="1">
        <v>578000</v>
      </c>
      <c r="D7" s="1">
        <v>559000</v>
      </c>
      <c r="E7">
        <v>217731</v>
      </c>
      <c r="F7">
        <v>87234</v>
      </c>
      <c r="G7">
        <v>12372</v>
      </c>
      <c r="H7">
        <v>2833</v>
      </c>
      <c r="I7" s="29">
        <v>108185</v>
      </c>
      <c r="J7">
        <v>1897</v>
      </c>
      <c r="K7">
        <v>888</v>
      </c>
      <c r="L7">
        <v>5237</v>
      </c>
      <c r="M7">
        <v>3761</v>
      </c>
      <c r="N7">
        <v>4165</v>
      </c>
      <c r="O7">
        <v>2575</v>
      </c>
      <c r="P7">
        <v>74147</v>
      </c>
      <c r="Q7">
        <v>5084</v>
      </c>
      <c r="R7">
        <v>1495</v>
      </c>
      <c r="S7">
        <v>82029</v>
      </c>
      <c r="T7">
        <v>10639</v>
      </c>
      <c r="U7">
        <v>904</v>
      </c>
    </row>
    <row r="8" spans="1:21" x14ac:dyDescent="0.25">
      <c r="A8" t="s">
        <v>497</v>
      </c>
      <c r="B8" s="1">
        <v>1070000</v>
      </c>
      <c r="C8" s="1">
        <v>617000</v>
      </c>
      <c r="D8" s="1">
        <v>596000</v>
      </c>
      <c r="E8">
        <v>269276</v>
      </c>
      <c r="F8">
        <v>183246</v>
      </c>
      <c r="G8">
        <v>28261</v>
      </c>
      <c r="H8">
        <v>7547</v>
      </c>
      <c r="I8" s="29">
        <v>108185</v>
      </c>
      <c r="J8">
        <v>5665</v>
      </c>
      <c r="K8">
        <v>1780</v>
      </c>
      <c r="L8">
        <v>6340</v>
      </c>
      <c r="M8">
        <v>3993</v>
      </c>
      <c r="N8">
        <v>15026</v>
      </c>
      <c r="O8">
        <v>11910</v>
      </c>
      <c r="P8">
        <v>153050</v>
      </c>
      <c r="Q8">
        <v>10275</v>
      </c>
      <c r="R8">
        <v>2834</v>
      </c>
      <c r="S8">
        <v>172701</v>
      </c>
      <c r="T8">
        <v>29040</v>
      </c>
      <c r="U8">
        <v>2025</v>
      </c>
    </row>
    <row r="9" spans="1:21" x14ac:dyDescent="0.25">
      <c r="A9" t="s">
        <v>498</v>
      </c>
      <c r="B9" s="1">
        <v>861000</v>
      </c>
      <c r="C9" s="1">
        <v>518000</v>
      </c>
      <c r="D9" s="1">
        <v>503000</v>
      </c>
      <c r="E9">
        <v>247242</v>
      </c>
      <c r="F9">
        <v>180357</v>
      </c>
      <c r="G9">
        <v>28334</v>
      </c>
      <c r="H9">
        <v>7322</v>
      </c>
      <c r="I9" s="29">
        <v>108185</v>
      </c>
      <c r="J9">
        <v>5049</v>
      </c>
      <c r="K9">
        <v>2200</v>
      </c>
      <c r="L9">
        <v>9013</v>
      </c>
      <c r="M9">
        <v>6846</v>
      </c>
      <c r="N9">
        <v>9917</v>
      </c>
      <c r="O9">
        <v>7603</v>
      </c>
      <c r="P9">
        <v>149846</v>
      </c>
      <c r="Q9">
        <v>8871</v>
      </c>
      <c r="R9">
        <v>1736</v>
      </c>
      <c r="S9">
        <v>171159</v>
      </c>
      <c r="T9">
        <v>24194</v>
      </c>
      <c r="U9">
        <v>1818</v>
      </c>
    </row>
    <row r="10" spans="1:21" x14ac:dyDescent="0.25">
      <c r="A10" t="s">
        <v>499</v>
      </c>
      <c r="B10" s="1">
        <v>957000</v>
      </c>
      <c r="C10" s="1">
        <v>611000</v>
      </c>
      <c r="D10" s="1">
        <v>582000</v>
      </c>
      <c r="E10">
        <v>224367</v>
      </c>
      <c r="F10">
        <v>175592</v>
      </c>
      <c r="G10">
        <v>37223</v>
      </c>
      <c r="H10">
        <v>11452</v>
      </c>
      <c r="I10" s="29">
        <v>108185</v>
      </c>
      <c r="J10">
        <v>8105</v>
      </c>
      <c r="K10">
        <v>3235</v>
      </c>
      <c r="L10">
        <v>15135</v>
      </c>
      <c r="M10">
        <v>11576</v>
      </c>
      <c r="N10">
        <v>17023</v>
      </c>
      <c r="O10">
        <v>12175</v>
      </c>
      <c r="P10">
        <v>137196</v>
      </c>
      <c r="Q10">
        <v>5485</v>
      </c>
      <c r="R10">
        <v>1900</v>
      </c>
      <c r="S10">
        <v>155402</v>
      </c>
      <c r="T10">
        <v>23023</v>
      </c>
      <c r="U10">
        <v>1154</v>
      </c>
    </row>
    <row r="11" spans="1:21" x14ac:dyDescent="0.25">
      <c r="A11" t="s">
        <v>500</v>
      </c>
      <c r="B11" s="1">
        <v>447000</v>
      </c>
      <c r="C11">
        <v>254701</v>
      </c>
      <c r="D11">
        <v>244367</v>
      </c>
      <c r="E11">
        <v>80764</v>
      </c>
      <c r="F11">
        <v>44055</v>
      </c>
      <c r="G11">
        <v>4847</v>
      </c>
      <c r="H11">
        <v>858</v>
      </c>
      <c r="I11" s="29">
        <v>38712</v>
      </c>
      <c r="J11">
        <v>387</v>
      </c>
      <c r="K11">
        <v>452</v>
      </c>
      <c r="L11">
        <v>1969</v>
      </c>
      <c r="M11">
        <v>1093</v>
      </c>
      <c r="N11">
        <v>1066</v>
      </c>
      <c r="O11">
        <v>745</v>
      </c>
      <c r="P11">
        <v>38758</v>
      </c>
      <c r="Q11">
        <v>2879</v>
      </c>
      <c r="R11">
        <v>1067</v>
      </c>
      <c r="S11">
        <v>40864</v>
      </c>
      <c r="T11">
        <v>6150</v>
      </c>
      <c r="U11">
        <v>34</v>
      </c>
    </row>
    <row r="12" spans="1:21" x14ac:dyDescent="0.25">
      <c r="A12" t="s">
        <v>501</v>
      </c>
      <c r="B12" s="1">
        <v>1200000</v>
      </c>
      <c r="C12" s="1">
        <v>646000</v>
      </c>
      <c r="D12" s="1">
        <v>614000</v>
      </c>
      <c r="E12">
        <v>237128</v>
      </c>
      <c r="F12">
        <v>148952</v>
      </c>
      <c r="G12">
        <v>23960</v>
      </c>
      <c r="H12">
        <v>5498</v>
      </c>
      <c r="I12" s="29">
        <v>108185</v>
      </c>
      <c r="J12">
        <v>4339</v>
      </c>
      <c r="K12">
        <v>1105</v>
      </c>
      <c r="L12">
        <v>10847</v>
      </c>
      <c r="M12">
        <v>8099</v>
      </c>
      <c r="N12">
        <v>9703</v>
      </c>
      <c r="O12">
        <v>6967</v>
      </c>
      <c r="P12">
        <v>124606</v>
      </c>
      <c r="Q12">
        <v>3700</v>
      </c>
      <c r="R12">
        <v>1879</v>
      </c>
      <c r="S12">
        <v>137910</v>
      </c>
      <c r="T12">
        <v>11642</v>
      </c>
      <c r="U12">
        <v>107</v>
      </c>
    </row>
    <row r="13" spans="1:21" x14ac:dyDescent="0.25">
      <c r="A13" t="s">
        <v>502</v>
      </c>
      <c r="B13" s="1">
        <v>1010000</v>
      </c>
      <c r="C13" s="1">
        <v>556000</v>
      </c>
      <c r="D13" s="1">
        <v>531000</v>
      </c>
      <c r="E13">
        <v>189135</v>
      </c>
      <c r="F13">
        <v>145899</v>
      </c>
      <c r="G13">
        <v>20967</v>
      </c>
      <c r="H13">
        <v>2968</v>
      </c>
      <c r="I13" s="29">
        <v>108185</v>
      </c>
      <c r="J13">
        <v>2306</v>
      </c>
      <c r="K13">
        <v>636</v>
      </c>
      <c r="L13">
        <v>10606</v>
      </c>
      <c r="M13">
        <v>7716</v>
      </c>
      <c r="N13">
        <v>5689</v>
      </c>
      <c r="O13">
        <v>4272</v>
      </c>
      <c r="P13">
        <v>123995</v>
      </c>
      <c r="Q13">
        <v>6603</v>
      </c>
      <c r="R13">
        <v>1524</v>
      </c>
      <c r="S13">
        <v>136795</v>
      </c>
      <c r="T13">
        <v>14087</v>
      </c>
      <c r="U13">
        <v>70</v>
      </c>
    </row>
    <row r="14" spans="1:21" x14ac:dyDescent="0.25">
      <c r="A14" t="s">
        <v>503</v>
      </c>
      <c r="B14" s="1">
        <v>1200000</v>
      </c>
      <c r="C14" s="1">
        <v>730000</v>
      </c>
      <c r="D14" s="1">
        <v>711000</v>
      </c>
      <c r="E14">
        <v>291821</v>
      </c>
      <c r="F14">
        <v>222735</v>
      </c>
      <c r="G14">
        <v>60600</v>
      </c>
      <c r="H14">
        <v>9731</v>
      </c>
      <c r="I14" s="29">
        <v>108185</v>
      </c>
      <c r="J14">
        <v>8771</v>
      </c>
      <c r="K14">
        <v>912</v>
      </c>
      <c r="L14">
        <v>18296</v>
      </c>
      <c r="M14">
        <v>13086</v>
      </c>
      <c r="N14">
        <v>28841</v>
      </c>
      <c r="O14">
        <v>19303</v>
      </c>
      <c r="P14">
        <v>159424</v>
      </c>
      <c r="Q14">
        <v>8980</v>
      </c>
      <c r="R14">
        <v>1351</v>
      </c>
      <c r="S14">
        <v>195039</v>
      </c>
      <c r="T14">
        <v>34717</v>
      </c>
      <c r="U14">
        <v>161</v>
      </c>
    </row>
    <row r="15" spans="1:21" x14ac:dyDescent="0.25">
      <c r="A15" t="s">
        <v>504</v>
      </c>
      <c r="B15" s="1">
        <v>829000</v>
      </c>
      <c r="C15" s="1">
        <v>419000</v>
      </c>
      <c r="D15" s="1">
        <v>405000</v>
      </c>
      <c r="E15">
        <v>110778</v>
      </c>
      <c r="F15">
        <v>68257</v>
      </c>
      <c r="G15">
        <v>9091</v>
      </c>
      <c r="H15">
        <v>1382</v>
      </c>
      <c r="I15" s="29">
        <v>108185</v>
      </c>
      <c r="J15">
        <v>968</v>
      </c>
      <c r="K15">
        <v>384</v>
      </c>
      <c r="L15">
        <v>2647</v>
      </c>
      <c r="M15">
        <v>1097</v>
      </c>
      <c r="N15">
        <v>3529</v>
      </c>
      <c r="O15">
        <v>2417</v>
      </c>
      <c r="P15">
        <v>58717</v>
      </c>
      <c r="Q15">
        <v>4463</v>
      </c>
      <c r="R15">
        <v>2163</v>
      </c>
      <c r="S15">
        <v>63755</v>
      </c>
      <c r="T15">
        <v>8682</v>
      </c>
      <c r="U15">
        <v>103</v>
      </c>
    </row>
    <row r="16" spans="1:21" x14ac:dyDescent="0.25">
      <c r="A16" t="s">
        <v>505</v>
      </c>
      <c r="B16" s="1">
        <v>1200000</v>
      </c>
      <c r="C16" s="1">
        <v>646000</v>
      </c>
      <c r="D16" s="1">
        <v>621000</v>
      </c>
      <c r="E16">
        <v>261209</v>
      </c>
      <c r="F16">
        <v>130809</v>
      </c>
      <c r="G16">
        <v>15894</v>
      </c>
      <c r="H16">
        <v>2210</v>
      </c>
      <c r="I16" s="29">
        <v>72395</v>
      </c>
      <c r="J16">
        <v>1103</v>
      </c>
      <c r="K16">
        <v>1067</v>
      </c>
      <c r="L16">
        <v>6925</v>
      </c>
      <c r="M16">
        <v>5968</v>
      </c>
      <c r="N16">
        <v>3279</v>
      </c>
      <c r="O16">
        <v>1909</v>
      </c>
      <c r="P16">
        <v>113961</v>
      </c>
      <c r="Q16">
        <v>3089</v>
      </c>
      <c r="R16">
        <v>1420</v>
      </c>
      <c r="S16">
        <v>126844</v>
      </c>
      <c r="T16">
        <v>9668</v>
      </c>
      <c r="U16">
        <v>100</v>
      </c>
    </row>
    <row r="17" spans="1:24" x14ac:dyDescent="0.25">
      <c r="A17" t="s">
        <v>506</v>
      </c>
      <c r="B17" s="1">
        <v>736000</v>
      </c>
      <c r="C17" s="1">
        <v>407000</v>
      </c>
      <c r="D17">
        <v>395143</v>
      </c>
      <c r="E17">
        <v>169522</v>
      </c>
      <c r="F17">
        <v>121519</v>
      </c>
      <c r="G17">
        <v>22854</v>
      </c>
      <c r="H17">
        <v>3783</v>
      </c>
      <c r="I17" s="29">
        <v>108185</v>
      </c>
      <c r="J17">
        <v>2726</v>
      </c>
      <c r="K17">
        <v>999</v>
      </c>
      <c r="L17">
        <v>9947</v>
      </c>
      <c r="M17">
        <v>5440</v>
      </c>
      <c r="N17">
        <v>6555</v>
      </c>
      <c r="O17">
        <v>5346</v>
      </c>
      <c r="P17">
        <v>96955</v>
      </c>
      <c r="Q17">
        <v>4129</v>
      </c>
      <c r="R17">
        <v>769</v>
      </c>
      <c r="S17">
        <v>111548</v>
      </c>
      <c r="T17">
        <v>11211</v>
      </c>
      <c r="U17">
        <v>2481</v>
      </c>
    </row>
    <row r="18" spans="1:24" x14ac:dyDescent="0.25">
      <c r="B18" s="1" t="s">
        <v>70</v>
      </c>
      <c r="C18" s="1"/>
      <c r="D18" s="1" t="s">
        <v>324</v>
      </c>
      <c r="E18" t="s">
        <v>325</v>
      </c>
      <c r="F18" s="1" t="s">
        <v>326</v>
      </c>
      <c r="G18" s="1" t="s">
        <v>327</v>
      </c>
      <c r="H18" s="3" t="s">
        <v>328</v>
      </c>
      <c r="I18" s="30" t="s">
        <v>329</v>
      </c>
      <c r="J18" s="3" t="s">
        <v>330</v>
      </c>
      <c r="K18" s="3" t="s">
        <v>331</v>
      </c>
      <c r="M18" s="3" t="s">
        <v>17</v>
      </c>
      <c r="O18" s="3" t="s">
        <v>332</v>
      </c>
      <c r="R18" s="4" t="s">
        <v>333</v>
      </c>
      <c r="U18" s="4" t="s">
        <v>334</v>
      </c>
    </row>
    <row r="19" spans="1:24" x14ac:dyDescent="0.25">
      <c r="B19" s="1"/>
      <c r="X19" s="4"/>
    </row>
    <row r="20" spans="1:24" s="7" customFormat="1" x14ac:dyDescent="0.25">
      <c r="A20" s="7" t="s">
        <v>85</v>
      </c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4" x14ac:dyDescent="0.25">
      <c r="B21" s="1" t="s">
        <v>70</v>
      </c>
      <c r="C21" s="1"/>
      <c r="D21" s="1" t="s">
        <v>324</v>
      </c>
      <c r="E21" t="s">
        <v>325</v>
      </c>
      <c r="F21" s="1" t="s">
        <v>326</v>
      </c>
      <c r="G21" s="1" t="s">
        <v>327</v>
      </c>
      <c r="H21" s="3" t="s">
        <v>328</v>
      </c>
      <c r="I21" s="24" t="s">
        <v>329</v>
      </c>
      <c r="J21" s="3" t="s">
        <v>330</v>
      </c>
      <c r="K21" s="3" t="s">
        <v>331</v>
      </c>
      <c r="M21" s="3" t="s">
        <v>17</v>
      </c>
      <c r="O21" s="3" t="s">
        <v>332</v>
      </c>
      <c r="R21" s="4" t="s">
        <v>333</v>
      </c>
      <c r="U21" s="4" t="s">
        <v>334</v>
      </c>
    </row>
    <row r="22" spans="1:24" x14ac:dyDescent="0.25">
      <c r="A22" s="7">
        <v>46</v>
      </c>
      <c r="F22">
        <f>100*F3/$E3</f>
        <v>82.390560761200177</v>
      </c>
      <c r="G22">
        <f>100*G3/$E3</f>
        <v>18.557225570918707</v>
      </c>
      <c r="H22">
        <f>100*H3/$E3</f>
        <v>6.1524405869441692</v>
      </c>
      <c r="J22">
        <f t="shared" ref="J22:U22" si="0">100*J3/$E3</f>
        <v>5.8263604930568711</v>
      </c>
      <c r="K22">
        <f t="shared" si="0"/>
        <v>0.29339780657285364</v>
      </c>
      <c r="L22">
        <f t="shared" si="0"/>
        <v>7.6691958300372507</v>
      </c>
      <c r="M22">
        <f t="shared" si="0"/>
        <v>3.5645976550458851</v>
      </c>
      <c r="N22">
        <f t="shared" si="0"/>
        <v>12.206834311945004</v>
      </c>
      <c r="O22">
        <f t="shared" si="0"/>
        <v>8.7989630801570229</v>
      </c>
      <c r="P22">
        <f t="shared" si="0"/>
        <v>62.952770380934339</v>
      </c>
      <c r="Q22">
        <f t="shared" si="0"/>
        <v>8.449485439669612</v>
      </c>
      <c r="R22">
        <f t="shared" si="0"/>
        <v>0.14001388997210865</v>
      </c>
      <c r="S22">
        <f t="shared" si="0"/>
        <v>67.493379979870681</v>
      </c>
      <c r="T22">
        <f t="shared" si="0"/>
        <v>16.903056165253528</v>
      </c>
      <c r="U22">
        <f t="shared" si="0"/>
        <v>1.1097122101768186</v>
      </c>
      <c r="X22" s="4"/>
    </row>
    <row r="23" spans="1:24" x14ac:dyDescent="0.25">
      <c r="A23" s="7">
        <v>47</v>
      </c>
      <c r="F23">
        <f t="shared" ref="F23:U36" si="1">100*F4/$E4</f>
        <v>70.884357741744211</v>
      </c>
      <c r="G23">
        <f t="shared" si="1"/>
        <v>12.753039413139673</v>
      </c>
      <c r="H23">
        <f t="shared" si="1"/>
        <v>1.3274921717654322</v>
      </c>
      <c r="J23">
        <f t="shared" si="1"/>
        <v>0.84677241521250168</v>
      </c>
      <c r="K23">
        <f>100*K4/$E4</f>
        <v>0.46013848257207118</v>
      </c>
      <c r="L23">
        <f t="shared" si="1"/>
        <v>4.4783872121684336</v>
      </c>
      <c r="M23">
        <f t="shared" si="1"/>
        <v>2.2266978325958378</v>
      </c>
      <c r="N23">
        <f t="shared" si="1"/>
        <v>5.1462985558806089</v>
      </c>
      <c r="O23">
        <f t="shared" si="1"/>
        <v>3.0396581548397847</v>
      </c>
      <c r="P23">
        <f t="shared" si="1"/>
        <v>57.35217009932915</v>
      </c>
      <c r="Q23">
        <f t="shared" si="1"/>
        <v>5.3668122056755312</v>
      </c>
      <c r="R23">
        <f t="shared" si="1"/>
        <v>1.5813278841960317</v>
      </c>
      <c r="S23">
        <f t="shared" si="1"/>
        <v>63.050732840362819</v>
      </c>
      <c r="T23">
        <f t="shared" si="1"/>
        <v>14.500977610514092</v>
      </c>
      <c r="U23">
        <f t="shared" si="1"/>
        <v>8.4775247587825689E-2</v>
      </c>
      <c r="X23" s="4"/>
    </row>
    <row r="24" spans="1:24" x14ac:dyDescent="0.25">
      <c r="A24" s="7">
        <v>48</v>
      </c>
      <c r="F24">
        <f t="shared" si="1"/>
        <v>65.932474353384549</v>
      </c>
      <c r="G24">
        <f t="shared" si="1"/>
        <v>12.560451841494645</v>
      </c>
      <c r="H24">
        <f t="shared" si="1"/>
        <v>2.7067390334721533</v>
      </c>
      <c r="J24">
        <f t="shared" si="1"/>
        <v>1.5400498148231674</v>
      </c>
      <c r="K24">
        <f t="shared" si="1"/>
        <v>1.1275991159622931</v>
      </c>
      <c r="L24">
        <f t="shared" si="1"/>
        <v>5.6179493733054695</v>
      </c>
      <c r="M24">
        <f t="shared" si="1"/>
        <v>3.7947468915851035</v>
      </c>
      <c r="N24">
        <f t="shared" si="1"/>
        <v>5.1623993304567026</v>
      </c>
      <c r="O24">
        <f t="shared" si="1"/>
        <v>3.5587028099769968</v>
      </c>
      <c r="P24">
        <f t="shared" si="1"/>
        <v>53.006680398318125</v>
      </c>
      <c r="Q24">
        <f t="shared" si="1"/>
        <v>2.8741248577972227</v>
      </c>
      <c r="R24">
        <f t="shared" si="1"/>
        <v>0.84043720776389574</v>
      </c>
      <c r="S24">
        <f t="shared" si="1"/>
        <v>61.365948511318592</v>
      </c>
      <c r="T24">
        <f t="shared" si="1"/>
        <v>9.2909155603666456</v>
      </c>
      <c r="U24">
        <f t="shared" si="1"/>
        <v>1.5550844697026647</v>
      </c>
      <c r="X24" s="4"/>
    </row>
    <row r="25" spans="1:24" x14ac:dyDescent="0.25">
      <c r="A25" s="7">
        <v>49</v>
      </c>
      <c r="F25">
        <f t="shared" si="1"/>
        <v>52.810853288337341</v>
      </c>
      <c r="G25">
        <f t="shared" si="1"/>
        <v>16.690002353513716</v>
      </c>
      <c r="H25">
        <f t="shared" si="1"/>
        <v>6.1662059364391739</v>
      </c>
      <c r="J25">
        <f t="shared" si="1"/>
        <v>4.9794765625934927</v>
      </c>
      <c r="K25">
        <f t="shared" si="1"/>
        <v>1.1336755900737567</v>
      </c>
      <c r="L25">
        <f t="shared" si="1"/>
        <v>6.7322459302163242</v>
      </c>
      <c r="M25">
        <f t="shared" si="1"/>
        <v>4.4234090845629446</v>
      </c>
      <c r="N25">
        <f t="shared" si="1"/>
        <v>9.9649366346349453</v>
      </c>
      <c r="O25">
        <f t="shared" si="1"/>
        <v>8.4152076876129396</v>
      </c>
      <c r="P25">
        <f t="shared" si="1"/>
        <v>35.769818380543221</v>
      </c>
      <c r="Q25">
        <f t="shared" si="1"/>
        <v>2.5800892739609638</v>
      </c>
      <c r="R25">
        <f t="shared" si="1"/>
        <v>1.1679810442420688</v>
      </c>
      <c r="S25">
        <f t="shared" si="1"/>
        <v>42.585434542401146</v>
      </c>
      <c r="T25">
        <f t="shared" si="1"/>
        <v>7.5320416930938334</v>
      </c>
      <c r="U25">
        <f t="shared" si="1"/>
        <v>0.2205920483148443</v>
      </c>
      <c r="X25" s="4"/>
    </row>
    <row r="26" spans="1:24" x14ac:dyDescent="0.25">
      <c r="A26" s="7">
        <v>50</v>
      </c>
      <c r="F26">
        <f t="shared" si="1"/>
        <v>40.065034377282061</v>
      </c>
      <c r="G26">
        <f t="shared" si="1"/>
        <v>5.6822409303222781</v>
      </c>
      <c r="H26">
        <f t="shared" si="1"/>
        <v>1.3011468279666194</v>
      </c>
      <c r="J26">
        <f t="shared" si="1"/>
        <v>0.8712585713563985</v>
      </c>
      <c r="K26">
        <f>100*K7/$E7</f>
        <v>0.4078427049891839</v>
      </c>
      <c r="L26">
        <f t="shared" si="1"/>
        <v>2.4052615383202207</v>
      </c>
      <c r="M26">
        <f t="shared" si="1"/>
        <v>1.727360825973334</v>
      </c>
      <c r="N26">
        <f t="shared" si="1"/>
        <v>1.9129108854503951</v>
      </c>
      <c r="O26">
        <f t="shared" si="1"/>
        <v>1.1826519880035458</v>
      </c>
      <c r="P26">
        <f t="shared" si="1"/>
        <v>34.054406584271419</v>
      </c>
      <c r="Q26">
        <f t="shared" si="1"/>
        <v>2.3349913425281654</v>
      </c>
      <c r="R26">
        <f t="shared" si="1"/>
        <v>0.68662707653021393</v>
      </c>
      <c r="S26">
        <f t="shared" si="1"/>
        <v>37.674469873375863</v>
      </c>
      <c r="T26">
        <f t="shared" si="1"/>
        <v>4.886304660337756</v>
      </c>
      <c r="U26">
        <f t="shared" si="1"/>
        <v>0.4151912221961962</v>
      </c>
      <c r="X26" s="4"/>
    </row>
    <row r="27" spans="1:24" x14ac:dyDescent="0.25">
      <c r="A27" s="7">
        <v>51</v>
      </c>
      <c r="F27">
        <f t="shared" si="1"/>
        <v>68.051367370281795</v>
      </c>
      <c r="G27">
        <f t="shared" si="1"/>
        <v>10.495179666958808</v>
      </c>
      <c r="H27">
        <f t="shared" si="1"/>
        <v>2.8027005748748497</v>
      </c>
      <c r="J27">
        <f t="shared" si="1"/>
        <v>2.1037894205202097</v>
      </c>
      <c r="K27">
        <f t="shared" si="1"/>
        <v>0.66103180379981874</v>
      </c>
      <c r="L27">
        <f t="shared" si="1"/>
        <v>2.354461593309467</v>
      </c>
      <c r="M27">
        <f t="shared" si="1"/>
        <v>1.4828651643666722</v>
      </c>
      <c r="N27">
        <f t="shared" si="1"/>
        <v>5.5801482493798185</v>
      </c>
      <c r="O27">
        <f t="shared" si="1"/>
        <v>4.4229712265482259</v>
      </c>
      <c r="P27">
        <f t="shared" si="1"/>
        <v>56.837594141327116</v>
      </c>
      <c r="Q27">
        <f t="shared" si="1"/>
        <v>3.8157875191253585</v>
      </c>
      <c r="R27">
        <f t="shared" si="1"/>
        <v>1.0524517595329699</v>
      </c>
      <c r="S27">
        <f t="shared" si="1"/>
        <v>64.135310982040735</v>
      </c>
      <c r="T27">
        <f t="shared" si="1"/>
        <v>10.784473922666706</v>
      </c>
      <c r="U27">
        <f t="shared" si="1"/>
        <v>0.75201651836777139</v>
      </c>
      <c r="X27" s="4"/>
    </row>
    <row r="28" spans="1:24" x14ac:dyDescent="0.25">
      <c r="A28" s="7">
        <v>52</v>
      </c>
      <c r="F28">
        <f t="shared" si="1"/>
        <v>72.947557453830655</v>
      </c>
      <c r="G28">
        <f t="shared" si="1"/>
        <v>11.460027018063274</v>
      </c>
      <c r="H28">
        <f t="shared" si="1"/>
        <v>2.9614709474927401</v>
      </c>
      <c r="J28">
        <f t="shared" si="1"/>
        <v>2.0421287645302981</v>
      </c>
      <c r="K28">
        <f t="shared" si="1"/>
        <v>0.88981645513302754</v>
      </c>
      <c r="L28">
        <f t="shared" si="1"/>
        <v>3.6454162318699899</v>
      </c>
      <c r="M28">
        <f t="shared" si="1"/>
        <v>2.7689470235639577</v>
      </c>
      <c r="N28">
        <f t="shared" si="1"/>
        <v>4.0110499025246522</v>
      </c>
      <c r="O28">
        <f t="shared" si="1"/>
        <v>3.0751247765347314</v>
      </c>
      <c r="P28">
        <f t="shared" si="1"/>
        <v>60.607016607210745</v>
      </c>
      <c r="Q28">
        <f t="shared" si="1"/>
        <v>3.5879826243114032</v>
      </c>
      <c r="R28">
        <f t="shared" si="1"/>
        <v>0.70214607550497088</v>
      </c>
      <c r="S28">
        <f t="shared" si="1"/>
        <v>69.227315747324482</v>
      </c>
      <c r="T28">
        <f t="shared" si="1"/>
        <v>9.78555423431294</v>
      </c>
      <c r="U28">
        <f t="shared" si="1"/>
        <v>0.73531196155992917</v>
      </c>
      <c r="X28" s="4"/>
    </row>
    <row r="29" spans="1:24" x14ac:dyDescent="0.25">
      <c r="A29" s="7">
        <v>53</v>
      </c>
      <c r="F29">
        <f t="shared" si="1"/>
        <v>78.261063347105406</v>
      </c>
      <c r="G29">
        <f t="shared" si="1"/>
        <v>16.59022940093686</v>
      </c>
      <c r="H29">
        <f t="shared" si="1"/>
        <v>5.1041374177129439</v>
      </c>
      <c r="J29">
        <f t="shared" si="1"/>
        <v>3.6123850655399412</v>
      </c>
      <c r="K29">
        <f t="shared" si="1"/>
        <v>1.4418341378188415</v>
      </c>
      <c r="L29">
        <f t="shared" si="1"/>
        <v>6.7456444129484279</v>
      </c>
      <c r="M29">
        <f t="shared" si="1"/>
        <v>5.1594040121764788</v>
      </c>
      <c r="N29">
        <f t="shared" si="1"/>
        <v>7.5871228834899966</v>
      </c>
      <c r="O29">
        <f t="shared" si="1"/>
        <v>5.4263773193027491</v>
      </c>
      <c r="P29">
        <f t="shared" si="1"/>
        <v>61.14802979047721</v>
      </c>
      <c r="Q29">
        <f t="shared" si="1"/>
        <v>2.4446554083265366</v>
      </c>
      <c r="R29">
        <f t="shared" si="1"/>
        <v>0.84682685065094243</v>
      </c>
      <c r="S29">
        <f t="shared" si="1"/>
        <v>69.262413813083029</v>
      </c>
      <c r="T29">
        <f t="shared" si="1"/>
        <v>10.261312938177182</v>
      </c>
      <c r="U29">
        <f t="shared" si="1"/>
        <v>0.51433588718483558</v>
      </c>
      <c r="X29" s="4"/>
    </row>
    <row r="30" spans="1:24" x14ac:dyDescent="0.25">
      <c r="A30" s="7">
        <v>54</v>
      </c>
      <c r="F30">
        <f t="shared" si="1"/>
        <v>54.547818334901692</v>
      </c>
      <c r="G30">
        <f t="shared" si="1"/>
        <v>6.0014362834926454</v>
      </c>
      <c r="H30">
        <f t="shared" si="1"/>
        <v>1.0623545143875985</v>
      </c>
      <c r="J30">
        <f t="shared" si="1"/>
        <v>0.47917388935664407</v>
      </c>
      <c r="K30">
        <f t="shared" si="1"/>
        <v>0.55965529196176511</v>
      </c>
      <c r="L30">
        <f t="shared" si="1"/>
        <v>2.437967411222822</v>
      </c>
      <c r="M30">
        <f t="shared" si="1"/>
        <v>1.3533257391907285</v>
      </c>
      <c r="N30">
        <f t="shared" si="1"/>
        <v>1.319895002723986</v>
      </c>
      <c r="O30">
        <f t="shared" si="1"/>
        <v>0.92244069139715712</v>
      </c>
      <c r="P30">
        <f t="shared" si="1"/>
        <v>47.989203110296664</v>
      </c>
      <c r="Q30">
        <f t="shared" si="1"/>
        <v>3.5647070476945175</v>
      </c>
      <c r="R30">
        <f t="shared" si="1"/>
        <v>1.3211331781486801</v>
      </c>
      <c r="S30">
        <f t="shared" si="1"/>
        <v>50.59680055470259</v>
      </c>
      <c r="T30">
        <f t="shared" si="1"/>
        <v>7.6147788618691497</v>
      </c>
      <c r="U30">
        <f t="shared" si="1"/>
        <v>4.2097964439601801E-2</v>
      </c>
      <c r="X30" s="4"/>
    </row>
    <row r="31" spans="1:24" x14ac:dyDescent="0.25">
      <c r="A31" s="7">
        <v>55</v>
      </c>
      <c r="F31">
        <f t="shared" si="1"/>
        <v>62.815019736176239</v>
      </c>
      <c r="G31">
        <f t="shared" si="1"/>
        <v>10.104247495023785</v>
      </c>
      <c r="H31">
        <f t="shared" si="1"/>
        <v>2.3185789953105496</v>
      </c>
      <c r="J31">
        <f t="shared" si="1"/>
        <v>1.8298134340946661</v>
      </c>
      <c r="K31">
        <f t="shared" si="1"/>
        <v>0.46599305016699843</v>
      </c>
      <c r="L31">
        <f t="shared" si="1"/>
        <v>4.5743227286528798</v>
      </c>
      <c r="M31">
        <f t="shared" si="1"/>
        <v>3.4154549441651767</v>
      </c>
      <c r="N31">
        <f t="shared" si="1"/>
        <v>4.0918828649505752</v>
      </c>
      <c r="O31">
        <f t="shared" si="1"/>
        <v>2.9380756384737357</v>
      </c>
      <c r="P31">
        <f t="shared" si="1"/>
        <v>52.54799095846969</v>
      </c>
      <c r="Q31">
        <f t="shared" si="1"/>
        <v>1.5603387200161938</v>
      </c>
      <c r="R31">
        <f t="shared" si="1"/>
        <v>0.79239904186768328</v>
      </c>
      <c r="S31">
        <f t="shared" si="1"/>
        <v>58.158462939846835</v>
      </c>
      <c r="T31">
        <f t="shared" si="1"/>
        <v>4.9095846968725754</v>
      </c>
      <c r="U31">
        <f t="shared" si="1"/>
        <v>4.5123308930198038E-2</v>
      </c>
      <c r="X31" s="4"/>
    </row>
    <row r="32" spans="1:24" x14ac:dyDescent="0.25">
      <c r="A32" s="7">
        <v>56</v>
      </c>
      <c r="F32">
        <f t="shared" si="1"/>
        <v>77.14013799666904</v>
      </c>
      <c r="G32">
        <f t="shared" si="1"/>
        <v>11.08573241335554</v>
      </c>
      <c r="H32">
        <f t="shared" si="1"/>
        <v>1.5692494778861659</v>
      </c>
      <c r="J32">
        <f t="shared" si="1"/>
        <v>1.2192349380072436</v>
      </c>
      <c r="K32">
        <f t="shared" si="1"/>
        <v>0.3362677452613213</v>
      </c>
      <c r="L32">
        <f t="shared" si="1"/>
        <v>5.6076347582414678</v>
      </c>
      <c r="M32">
        <f t="shared" si="1"/>
        <v>4.0796256642081055</v>
      </c>
      <c r="N32">
        <f t="shared" si="1"/>
        <v>3.0079044069051206</v>
      </c>
      <c r="O32">
        <f t="shared" si="1"/>
        <v>2.2587041002458563</v>
      </c>
      <c r="P32">
        <f t="shared" si="1"/>
        <v>65.558992254209954</v>
      </c>
      <c r="Q32">
        <f t="shared" si="1"/>
        <v>3.4911571100007932</v>
      </c>
      <c r="R32">
        <f t="shared" si="1"/>
        <v>0.80577365373939247</v>
      </c>
      <c r="S32">
        <f t="shared" si="1"/>
        <v>72.326644989029006</v>
      </c>
      <c r="T32">
        <f t="shared" si="1"/>
        <v>7.4481190683903034</v>
      </c>
      <c r="U32">
        <f t="shared" si="1"/>
        <v>3.7010600893541648E-2</v>
      </c>
      <c r="X32" s="4"/>
    </row>
    <row r="33" spans="1:24" x14ac:dyDescent="0.25">
      <c r="A33" s="7">
        <v>57</v>
      </c>
      <c r="F33">
        <f t="shared" si="1"/>
        <v>76.325898410326872</v>
      </c>
      <c r="G33">
        <f t="shared" si="1"/>
        <v>20.766154594768711</v>
      </c>
      <c r="H33">
        <f t="shared" si="1"/>
        <v>3.334578388806837</v>
      </c>
      <c r="J33">
        <f t="shared" si="1"/>
        <v>3.0056096031471347</v>
      </c>
      <c r="K33">
        <f t="shared" si="1"/>
        <v>0.31252034637671722</v>
      </c>
      <c r="L33">
        <f t="shared" si="1"/>
        <v>6.2695967733644942</v>
      </c>
      <c r="M33">
        <f t="shared" si="1"/>
        <v>4.4842557595238173</v>
      </c>
      <c r="N33">
        <f t="shared" si="1"/>
        <v>9.8831132783452862</v>
      </c>
      <c r="O33">
        <f t="shared" si="1"/>
        <v>6.6146713224887863</v>
      </c>
      <c r="P33">
        <f t="shared" si="1"/>
        <v>54.630749671887905</v>
      </c>
      <c r="Q33">
        <f t="shared" si="1"/>
        <v>3.077228849191799</v>
      </c>
      <c r="R33">
        <f t="shared" si="1"/>
        <v>0.46295503065235194</v>
      </c>
      <c r="S33">
        <f t="shared" si="1"/>
        <v>66.835148944044462</v>
      </c>
      <c r="T33">
        <f t="shared" si="1"/>
        <v>11.896676387237381</v>
      </c>
      <c r="U33">
        <f t="shared" si="1"/>
        <v>5.517080676167925E-2</v>
      </c>
      <c r="X33" s="4"/>
    </row>
    <row r="34" spans="1:24" x14ac:dyDescent="0.25">
      <c r="A34" s="7">
        <v>58</v>
      </c>
      <c r="F34">
        <f t="shared" si="1"/>
        <v>61.616024842477749</v>
      </c>
      <c r="G34">
        <f t="shared" si="1"/>
        <v>8.2065030962826562</v>
      </c>
      <c r="H34">
        <f t="shared" si="1"/>
        <v>1.2475401252956364</v>
      </c>
      <c r="J34">
        <f t="shared" si="1"/>
        <v>0.87381971149506221</v>
      </c>
      <c r="K34">
        <f t="shared" si="1"/>
        <v>0.34663922439473543</v>
      </c>
      <c r="L34">
        <f t="shared" si="1"/>
        <v>2.3894636119085018</v>
      </c>
      <c r="M34">
        <f t="shared" si="1"/>
        <v>0.99026882594016863</v>
      </c>
      <c r="N34">
        <f t="shared" si="1"/>
        <v>3.1856505804401598</v>
      </c>
      <c r="O34">
        <f t="shared" si="1"/>
        <v>2.1818411597970715</v>
      </c>
      <c r="P34">
        <f t="shared" si="1"/>
        <v>53.00420661142104</v>
      </c>
      <c r="Q34">
        <f t="shared" si="1"/>
        <v>4.0287782772752712</v>
      </c>
      <c r="R34">
        <f t="shared" si="1"/>
        <v>1.9525537561609705</v>
      </c>
      <c r="S34">
        <f t="shared" si="1"/>
        <v>57.55204101897489</v>
      </c>
      <c r="T34">
        <f t="shared" si="1"/>
        <v>7.8372962140497213</v>
      </c>
      <c r="U34">
        <f t="shared" si="1"/>
        <v>9.2978750293379556E-2</v>
      </c>
      <c r="X34" s="4"/>
    </row>
    <row r="35" spans="1:24" x14ac:dyDescent="0.25">
      <c r="A35" s="7">
        <v>59</v>
      </c>
      <c r="F35">
        <f t="shared" si="1"/>
        <v>50.078289798590404</v>
      </c>
      <c r="G35">
        <f t="shared" si="1"/>
        <v>6.0847826835981911</v>
      </c>
      <c r="H35">
        <f t="shared" si="1"/>
        <v>0.84606579405763205</v>
      </c>
      <c r="J35">
        <f t="shared" si="1"/>
        <v>0.42226722662695387</v>
      </c>
      <c r="K35">
        <f t="shared" si="1"/>
        <v>0.40848515939343588</v>
      </c>
      <c r="L35">
        <f t="shared" si="1"/>
        <v>2.6511337664475572</v>
      </c>
      <c r="M35">
        <f t="shared" si="1"/>
        <v>2.2847604791565375</v>
      </c>
      <c r="N35">
        <f t="shared" si="1"/>
        <v>1.2553166238529301</v>
      </c>
      <c r="O35">
        <f t="shared" si="1"/>
        <v>0.73083239857738436</v>
      </c>
      <c r="P35">
        <f t="shared" si="1"/>
        <v>43.628282333303986</v>
      </c>
      <c r="Q35">
        <f t="shared" si="1"/>
        <v>1.1825779356760295</v>
      </c>
      <c r="R35">
        <f t="shared" si="1"/>
        <v>0.54362598532209838</v>
      </c>
      <c r="S35">
        <f t="shared" si="1"/>
        <v>48.560348226898768</v>
      </c>
      <c r="T35">
        <f t="shared" si="1"/>
        <v>3.7012507226014417</v>
      </c>
      <c r="U35">
        <f t="shared" si="1"/>
        <v>3.8283520093105518E-2</v>
      </c>
      <c r="X35" s="4"/>
    </row>
    <row r="36" spans="1:24" x14ac:dyDescent="0.25">
      <c r="A36" s="7">
        <v>60</v>
      </c>
      <c r="F36">
        <f t="shared" si="1"/>
        <v>71.683321338823276</v>
      </c>
      <c r="G36">
        <f t="shared" si="1"/>
        <v>13.481436037800403</v>
      </c>
      <c r="H36">
        <f t="shared" si="1"/>
        <v>2.2315687639362443</v>
      </c>
      <c r="J36">
        <f t="shared" si="1"/>
        <v>1.6080508724531328</v>
      </c>
      <c r="K36">
        <f t="shared" si="1"/>
        <v>0.58930404313304463</v>
      </c>
      <c r="L36">
        <f t="shared" si="1"/>
        <v>5.8676749920364317</v>
      </c>
      <c r="M36">
        <f t="shared" si="1"/>
        <v>3.2090230176614245</v>
      </c>
      <c r="N36">
        <f t="shared" si="1"/>
        <v>3.8667547574946024</v>
      </c>
      <c r="O36">
        <f t="shared" si="1"/>
        <v>3.1535729875768337</v>
      </c>
      <c r="P36">
        <f t="shared" si="1"/>
        <v>57.193166668632976</v>
      </c>
      <c r="Q36">
        <f t="shared" si="1"/>
        <v>2.4356720661625042</v>
      </c>
      <c r="R36">
        <f t="shared" si="1"/>
        <v>0.45362843760691829</v>
      </c>
      <c r="S36">
        <f t="shared" si="1"/>
        <v>65.801488892297158</v>
      </c>
      <c r="T36">
        <f t="shared" si="1"/>
        <v>6.6133009284930573</v>
      </c>
      <c r="U36">
        <f>100*U17/$E17</f>
        <v>1.4635268578709548</v>
      </c>
      <c r="X36" s="4"/>
    </row>
    <row r="37" spans="1:24" x14ac:dyDescent="0.25">
      <c r="X37" s="4"/>
    </row>
    <row r="38" spans="1:24" s="8" customFormat="1" x14ac:dyDescent="0.25">
      <c r="A38" s="8" t="s">
        <v>86</v>
      </c>
      <c r="B38" s="9" t="s">
        <v>70</v>
      </c>
      <c r="C38" s="9"/>
      <c r="D38" s="9" t="s">
        <v>324</v>
      </c>
      <c r="E38" s="8" t="s">
        <v>325</v>
      </c>
      <c r="F38" s="9" t="s">
        <v>326</v>
      </c>
      <c r="G38" s="9" t="s">
        <v>327</v>
      </c>
      <c r="H38" s="3" t="s">
        <v>328</v>
      </c>
      <c r="I38" s="24"/>
      <c r="J38" s="3" t="s">
        <v>330</v>
      </c>
      <c r="K38" s="3" t="s">
        <v>331</v>
      </c>
      <c r="M38" s="3" t="s">
        <v>17</v>
      </c>
      <c r="O38" s="3" t="s">
        <v>332</v>
      </c>
      <c r="R38" s="4" t="s">
        <v>333</v>
      </c>
      <c r="U38" s="4" t="s">
        <v>334</v>
      </c>
    </row>
    <row r="39" spans="1:24" x14ac:dyDescent="0.25">
      <c r="A39" s="8">
        <v>46</v>
      </c>
      <c r="G39">
        <f t="shared" ref="G39:U53" si="2">100*(G3/$F3)</f>
        <v>22.523484971421361</v>
      </c>
      <c r="H39">
        <f t="shared" si="2"/>
        <v>7.4674095310217989</v>
      </c>
      <c r="J39">
        <f t="shared" si="2"/>
        <v>7.0716359243432318</v>
      </c>
      <c r="K39">
        <f t="shared" si="2"/>
        <v>0.35610609256955339</v>
      </c>
      <c r="L39">
        <f t="shared" si="2"/>
        <v>9.3083427994446541</v>
      </c>
      <c r="M39">
        <f>100*(M3/$F3)</f>
        <v>4.3264636411171811</v>
      </c>
      <c r="N39">
        <f t="shared" ref="N39:U39" si="3">100*(N3/$F3)</f>
        <v>14.815816519716558</v>
      </c>
      <c r="O39">
        <f t="shared" si="3"/>
        <v>10.679576639440327</v>
      </c>
      <c r="P39">
        <f t="shared" si="3"/>
        <v>76.407745983664199</v>
      </c>
      <c r="Q39">
        <f t="shared" si="3"/>
        <v>10.255404698797353</v>
      </c>
      <c r="R39">
        <f t="shared" si="3"/>
        <v>0.16993923658066026</v>
      </c>
      <c r="S39">
        <f t="shared" si="3"/>
        <v>81.918825841582375</v>
      </c>
      <c r="T39">
        <f t="shared" si="3"/>
        <v>20.515767836858334</v>
      </c>
      <c r="U39">
        <f t="shared" si="3"/>
        <v>1.3468924108833233</v>
      </c>
      <c r="X39" s="4"/>
    </row>
    <row r="40" spans="1:24" x14ac:dyDescent="0.25">
      <c r="A40" s="8">
        <v>47</v>
      </c>
      <c r="G40">
        <f t="shared" si="2"/>
        <v>17.991330978272142</v>
      </c>
      <c r="H40">
        <f t="shared" si="2"/>
        <v>1.8727575646547252</v>
      </c>
      <c r="J40">
        <f t="shared" si="2"/>
        <v>1.1945828983844096</v>
      </c>
      <c r="K40">
        <f t="shared" si="2"/>
        <v>0.649139665267917</v>
      </c>
      <c r="L40">
        <f t="shared" si="2"/>
        <v>6.3178779562124534</v>
      </c>
      <c r="M40">
        <f t="shared" si="2"/>
        <v>3.1413105846404847</v>
      </c>
      <c r="N40">
        <f t="shared" si="2"/>
        <v>7.2601328696950631</v>
      </c>
      <c r="O40">
        <f t="shared" si="2"/>
        <v>4.2881931242352387</v>
      </c>
      <c r="P40">
        <f t="shared" si="2"/>
        <v>80.909486840922767</v>
      </c>
      <c r="Q40">
        <f t="shared" si="2"/>
        <v>7.5712221661493366</v>
      </c>
      <c r="R40">
        <f t="shared" si="2"/>
        <v>2.2308559103509777</v>
      </c>
      <c r="S40">
        <f t="shared" si="2"/>
        <v>88.948725570848865</v>
      </c>
      <c r="T40">
        <f t="shared" si="2"/>
        <v>20.457232134833014</v>
      </c>
      <c r="U40">
        <f t="shared" si="2"/>
        <v>0.11959655174797619</v>
      </c>
      <c r="X40" s="4"/>
    </row>
    <row r="41" spans="1:24" x14ac:dyDescent="0.25">
      <c r="A41" s="8">
        <v>48</v>
      </c>
      <c r="G41">
        <f t="shared" si="2"/>
        <v>19.050478485265391</v>
      </c>
      <c r="H41">
        <f t="shared" si="2"/>
        <v>4.1053199656433135</v>
      </c>
      <c r="J41">
        <f t="shared" si="2"/>
        <v>2.3357986029294397</v>
      </c>
      <c r="K41">
        <f t="shared" si="2"/>
        <v>1.7102332758188219</v>
      </c>
      <c r="L41">
        <f t="shared" si="2"/>
        <v>8.5207622319684404</v>
      </c>
      <c r="M41">
        <f t="shared" si="2"/>
        <v>5.7555050508889414</v>
      </c>
      <c r="N41">
        <f t="shared" si="2"/>
        <v>7.8298279885376365</v>
      </c>
      <c r="O41">
        <f t="shared" si="2"/>
        <v>5.3974962184842008</v>
      </c>
      <c r="P41">
        <f t="shared" si="2"/>
        <v>80.395405933369318</v>
      </c>
      <c r="Q41">
        <f t="shared" si="2"/>
        <v>4.3591945941426413</v>
      </c>
      <c r="R41">
        <f t="shared" si="2"/>
        <v>1.2746938682436284</v>
      </c>
      <c r="S41">
        <f t="shared" si="2"/>
        <v>93.073935284772844</v>
      </c>
      <c r="T41">
        <f t="shared" si="2"/>
        <v>14.091562089068949</v>
      </c>
      <c r="U41">
        <f t="shared" si="2"/>
        <v>2.3586017132736905</v>
      </c>
      <c r="X41" s="4"/>
    </row>
    <row r="42" spans="1:24" x14ac:dyDescent="0.25">
      <c r="A42" s="8">
        <v>49</v>
      </c>
      <c r="G42">
        <f t="shared" si="2"/>
        <v>31.603356723644353</v>
      </c>
      <c r="H42">
        <f t="shared" si="2"/>
        <v>11.676020273281416</v>
      </c>
      <c r="J42">
        <f t="shared" si="2"/>
        <v>9.4288886706800312</v>
      </c>
      <c r="K42">
        <f t="shared" si="2"/>
        <v>2.1466716015439116</v>
      </c>
      <c r="L42">
        <f t="shared" si="2"/>
        <v>12.747845397345742</v>
      </c>
      <c r="M42">
        <f t="shared" si="2"/>
        <v>8.3759470054610965</v>
      </c>
      <c r="N42">
        <f t="shared" si="2"/>
        <v>18.869107416667298</v>
      </c>
      <c r="O42">
        <f t="shared" si="2"/>
        <v>15.934617912093724</v>
      </c>
      <c r="P42">
        <f t="shared" si="2"/>
        <v>67.731945524997926</v>
      </c>
      <c r="Q42">
        <f t="shared" si="2"/>
        <v>4.8855284724792467</v>
      </c>
      <c r="R42">
        <f t="shared" si="2"/>
        <v>2.2116306999720523</v>
      </c>
      <c r="S42">
        <f t="shared" si="2"/>
        <v>80.637656638291119</v>
      </c>
      <c r="T42">
        <f t="shared" si="2"/>
        <v>14.262298796746004</v>
      </c>
      <c r="U42">
        <f t="shared" si="2"/>
        <v>0.41770210966002219</v>
      </c>
      <c r="X42" s="4"/>
    </row>
    <row r="43" spans="1:24" x14ac:dyDescent="0.25">
      <c r="A43" s="8">
        <v>50</v>
      </c>
      <c r="G43">
        <f t="shared" si="2"/>
        <v>14.18254350367976</v>
      </c>
      <c r="H43">
        <f t="shared" si="2"/>
        <v>3.2475869500424146</v>
      </c>
      <c r="J43">
        <f t="shared" si="2"/>
        <v>2.1746108168833254</v>
      </c>
      <c r="K43">
        <f t="shared" si="2"/>
        <v>1.0179517160740079</v>
      </c>
      <c r="L43">
        <f t="shared" si="2"/>
        <v>6.0033931723869136</v>
      </c>
      <c r="M43">
        <f t="shared" si="2"/>
        <v>4.3113923470206572</v>
      </c>
      <c r="N43">
        <f t="shared" si="2"/>
        <v>4.7745145241534264</v>
      </c>
      <c r="O43">
        <f t="shared" si="2"/>
        <v>2.9518307082101014</v>
      </c>
      <c r="P43">
        <f t="shared" si="2"/>
        <v>84.997821950157046</v>
      </c>
      <c r="Q43">
        <f t="shared" si="2"/>
        <v>5.8280028429282167</v>
      </c>
      <c r="R43">
        <f t="shared" si="2"/>
        <v>1.7137813237957675</v>
      </c>
      <c r="S43">
        <f t="shared" si="2"/>
        <v>94.033289772336474</v>
      </c>
      <c r="T43">
        <f t="shared" si="2"/>
        <v>12.195932778503794</v>
      </c>
      <c r="U43">
        <f t="shared" si="2"/>
        <v>1.0362931884357016</v>
      </c>
      <c r="X43" s="4"/>
    </row>
    <row r="44" spans="1:24" x14ac:dyDescent="0.25">
      <c r="A44" s="8">
        <v>51</v>
      </c>
      <c r="G44">
        <f t="shared" si="2"/>
        <v>15.422437597546468</v>
      </c>
      <c r="H44">
        <f t="shared" si="2"/>
        <v>4.1185073616886596</v>
      </c>
      <c r="J44">
        <f t="shared" si="2"/>
        <v>3.0914726651604947</v>
      </c>
      <c r="K44">
        <f t="shared" si="2"/>
        <v>0.97137181712015541</v>
      </c>
      <c r="L44">
        <f t="shared" si="2"/>
        <v>3.4598299553605534</v>
      </c>
      <c r="M44">
        <f t="shared" si="2"/>
        <v>2.1790380144723485</v>
      </c>
      <c r="N44">
        <f t="shared" si="2"/>
        <v>8.1999061371053124</v>
      </c>
      <c r="O44">
        <f t="shared" si="2"/>
        <v>6.4994597426410392</v>
      </c>
      <c r="P44">
        <f t="shared" si="2"/>
        <v>83.52160483721336</v>
      </c>
      <c r="Q44">
        <f t="shared" si="2"/>
        <v>5.6072165286008975</v>
      </c>
      <c r="R44">
        <f t="shared" si="2"/>
        <v>1.5465549043362474</v>
      </c>
      <c r="S44">
        <f t="shared" si="2"/>
        <v>94.245440555319078</v>
      </c>
      <c r="T44">
        <f t="shared" si="2"/>
        <v>15.847549196162536</v>
      </c>
      <c r="U44">
        <f t="shared" si="2"/>
        <v>1.1050718706001768</v>
      </c>
      <c r="X44" s="4"/>
    </row>
    <row r="45" spans="1:24" x14ac:dyDescent="0.25">
      <c r="A45" s="8">
        <v>52</v>
      </c>
      <c r="G45">
        <f t="shared" si="2"/>
        <v>15.709953037586564</v>
      </c>
      <c r="H45">
        <f t="shared" si="2"/>
        <v>4.0597259879017722</v>
      </c>
      <c r="J45">
        <f t="shared" si="2"/>
        <v>2.7994477619388216</v>
      </c>
      <c r="K45">
        <f t="shared" si="2"/>
        <v>1.2198029463785713</v>
      </c>
      <c r="L45">
        <f t="shared" si="2"/>
        <v>4.9973108889591202</v>
      </c>
      <c r="M45">
        <f t="shared" si="2"/>
        <v>3.7958049867762274</v>
      </c>
      <c r="N45">
        <f t="shared" si="2"/>
        <v>5.4985390087437693</v>
      </c>
      <c r="O45">
        <f t="shared" si="2"/>
        <v>4.2155280915073989</v>
      </c>
      <c r="P45">
        <f t="shared" si="2"/>
        <v>83.082996501383363</v>
      </c>
      <c r="Q45">
        <f t="shared" si="2"/>
        <v>4.9185781533292303</v>
      </c>
      <c r="R45">
        <f t="shared" si="2"/>
        <v>0.9625354158696362</v>
      </c>
      <c r="S45">
        <f t="shared" si="2"/>
        <v>94.900114772368141</v>
      </c>
      <c r="T45">
        <f t="shared" si="2"/>
        <v>13.414505674855981</v>
      </c>
      <c r="U45">
        <f t="shared" si="2"/>
        <v>1.0080007984164741</v>
      </c>
      <c r="X45" s="4"/>
    </row>
    <row r="46" spans="1:24" x14ac:dyDescent="0.25">
      <c r="A46" s="8">
        <v>53</v>
      </c>
      <c r="G46">
        <f t="shared" si="2"/>
        <v>21.198573966923323</v>
      </c>
      <c r="H46">
        <f t="shared" si="2"/>
        <v>6.5219372180964967</v>
      </c>
      <c r="J46">
        <f t="shared" si="2"/>
        <v>4.6158139322975984</v>
      </c>
      <c r="K46">
        <f t="shared" si="2"/>
        <v>1.842339058727049</v>
      </c>
      <c r="L46">
        <f t="shared" si="2"/>
        <v>8.6194131851109379</v>
      </c>
      <c r="M46">
        <f t="shared" si="2"/>
        <v>6.5925554694974711</v>
      </c>
      <c r="N46">
        <f t="shared" si="2"/>
        <v>9.6946330128935259</v>
      </c>
      <c r="O46">
        <f t="shared" si="2"/>
        <v>6.9336871839263754</v>
      </c>
      <c r="P46">
        <f t="shared" si="2"/>
        <v>78.13340015490455</v>
      </c>
      <c r="Q46">
        <f t="shared" si="2"/>
        <v>3.123718620438289</v>
      </c>
      <c r="R46">
        <f t="shared" si="2"/>
        <v>1.0820538521117136</v>
      </c>
      <c r="S46">
        <f t="shared" si="2"/>
        <v>88.501754066244473</v>
      </c>
      <c r="T46">
        <f t="shared" si="2"/>
        <v>13.111645177456833</v>
      </c>
      <c r="U46">
        <f t="shared" si="2"/>
        <v>0.65720533965100913</v>
      </c>
      <c r="X46" s="4"/>
    </row>
    <row r="47" spans="1:24" x14ac:dyDescent="0.25">
      <c r="A47" s="8">
        <v>54</v>
      </c>
      <c r="G47">
        <f t="shared" si="2"/>
        <v>11.002156395414822</v>
      </c>
      <c r="H47">
        <f t="shared" si="2"/>
        <v>1.9475655430711609</v>
      </c>
      <c r="J47">
        <f t="shared" si="2"/>
        <v>0.87844739530132787</v>
      </c>
      <c r="K47">
        <f t="shared" si="2"/>
        <v>1.0259902394733855</v>
      </c>
      <c r="L47">
        <f t="shared" si="2"/>
        <v>4.4694132334581766</v>
      </c>
      <c r="M47">
        <f t="shared" si="2"/>
        <v>2.4809896720009079</v>
      </c>
      <c r="N47">
        <f t="shared" si="2"/>
        <v>2.4197026444217453</v>
      </c>
      <c r="O47">
        <f t="shared" si="2"/>
        <v>1.6910679832028146</v>
      </c>
      <c r="P47">
        <f t="shared" si="2"/>
        <v>87.976393144932473</v>
      </c>
      <c r="Q47">
        <f t="shared" si="2"/>
        <v>6.5350130518669847</v>
      </c>
      <c r="R47">
        <f t="shared" si="2"/>
        <v>2.421972534332085</v>
      </c>
      <c r="S47">
        <f t="shared" si="2"/>
        <v>92.756781296107135</v>
      </c>
      <c r="T47">
        <f t="shared" si="2"/>
        <v>13.959822948586995</v>
      </c>
      <c r="U47">
        <f t="shared" si="2"/>
        <v>7.7176256951537847E-2</v>
      </c>
      <c r="X47" s="4"/>
    </row>
    <row r="48" spans="1:24" x14ac:dyDescent="0.25">
      <c r="A48" s="8">
        <v>55</v>
      </c>
      <c r="G48">
        <f t="shared" si="2"/>
        <v>16.085718889306623</v>
      </c>
      <c r="H48">
        <f t="shared" si="2"/>
        <v>3.6911219721789568</v>
      </c>
      <c r="J48">
        <f t="shared" si="2"/>
        <v>2.9130189591277724</v>
      </c>
      <c r="K48">
        <f t="shared" si="2"/>
        <v>0.74184972340082711</v>
      </c>
      <c r="L48">
        <f t="shared" si="2"/>
        <v>7.2822117192115581</v>
      </c>
      <c r="M48">
        <f t="shared" si="2"/>
        <v>5.437322090337827</v>
      </c>
      <c r="N48">
        <f t="shared" si="2"/>
        <v>6.5141790643965845</v>
      </c>
      <c r="O48">
        <f t="shared" si="2"/>
        <v>4.6773457221118209</v>
      </c>
      <c r="P48">
        <f t="shared" si="2"/>
        <v>83.655137225414904</v>
      </c>
      <c r="Q48">
        <f t="shared" si="2"/>
        <v>2.484021698265213</v>
      </c>
      <c r="R48">
        <f t="shared" si="2"/>
        <v>1.2614802083892798</v>
      </c>
      <c r="S48">
        <f t="shared" si="2"/>
        <v>92.586873623717707</v>
      </c>
      <c r="T48">
        <f t="shared" si="2"/>
        <v>7.8159407057307044</v>
      </c>
      <c r="U48">
        <f t="shared" si="2"/>
        <v>7.1835222084966968E-2</v>
      </c>
      <c r="X48" s="4"/>
    </row>
    <row r="49" spans="1:24" x14ac:dyDescent="0.25">
      <c r="A49" s="8">
        <v>56</v>
      </c>
      <c r="G49">
        <f t="shared" si="2"/>
        <v>14.370900417412043</v>
      </c>
      <c r="H49">
        <f t="shared" si="2"/>
        <v>2.0342839909800614</v>
      </c>
      <c r="J49">
        <f t="shared" si="2"/>
        <v>1.5805454458221098</v>
      </c>
      <c r="K49">
        <f t="shared" si="2"/>
        <v>0.43591799806715609</v>
      </c>
      <c r="L49">
        <f t="shared" si="2"/>
        <v>7.2694124017299631</v>
      </c>
      <c r="M49">
        <f t="shared" si="2"/>
        <v>5.2885900520222888</v>
      </c>
      <c r="N49">
        <f t="shared" si="2"/>
        <v>3.8992727845975641</v>
      </c>
      <c r="O49">
        <f t="shared" si="2"/>
        <v>2.9280529681491991</v>
      </c>
      <c r="P49">
        <f t="shared" si="2"/>
        <v>84.986874481661971</v>
      </c>
      <c r="Q49">
        <f t="shared" si="2"/>
        <v>4.5257335554047664</v>
      </c>
      <c r="R49">
        <f t="shared" si="2"/>
        <v>1.0445582217835627</v>
      </c>
      <c r="S49">
        <f t="shared" si="2"/>
        <v>93.760066895592161</v>
      </c>
      <c r="T49">
        <f t="shared" si="2"/>
        <v>9.6553094949245715</v>
      </c>
      <c r="U49">
        <f t="shared" si="2"/>
        <v>4.7978396013680702E-2</v>
      </c>
      <c r="X49" s="4"/>
    </row>
    <row r="50" spans="1:24" x14ac:dyDescent="0.25">
      <c r="A50" s="8">
        <v>57</v>
      </c>
      <c r="G50">
        <f t="shared" si="2"/>
        <v>27.207219341369786</v>
      </c>
      <c r="H50">
        <f t="shared" si="2"/>
        <v>4.3688688351628615</v>
      </c>
      <c r="J50">
        <f t="shared" si="2"/>
        <v>3.9378633802500729</v>
      </c>
      <c r="K50">
        <f t="shared" si="2"/>
        <v>0.40945518216714932</v>
      </c>
      <c r="L50">
        <f t="shared" si="2"/>
        <v>8.2142456282128986</v>
      </c>
      <c r="M50">
        <f t="shared" si="2"/>
        <v>5.8751431072799516</v>
      </c>
      <c r="N50">
        <f t="shared" si="2"/>
        <v>12.948571172020563</v>
      </c>
      <c r="O50">
        <f t="shared" si="2"/>
        <v>8.6663523918557939</v>
      </c>
      <c r="P50">
        <f t="shared" si="2"/>
        <v>71.575639212517117</v>
      </c>
      <c r="Q50">
        <f t="shared" si="2"/>
        <v>4.0316968594967113</v>
      </c>
      <c r="R50">
        <f t="shared" si="2"/>
        <v>0.60655038498664327</v>
      </c>
      <c r="S50">
        <f t="shared" si="2"/>
        <v>87.565492625766041</v>
      </c>
      <c r="T50">
        <f t="shared" si="2"/>
        <v>15.586683727299258</v>
      </c>
      <c r="U50">
        <f t="shared" si="2"/>
        <v>7.2283206500998939E-2</v>
      </c>
      <c r="X50" s="4"/>
    </row>
    <row r="51" spans="1:24" x14ac:dyDescent="0.25">
      <c r="A51" s="8">
        <v>58</v>
      </c>
      <c r="G51">
        <f t="shared" si="2"/>
        <v>13.318780491378174</v>
      </c>
      <c r="H51">
        <f t="shared" si="2"/>
        <v>2.0247007632916771</v>
      </c>
      <c r="J51">
        <f t="shared" si="2"/>
        <v>1.4181695650262975</v>
      </c>
      <c r="K51">
        <f t="shared" si="2"/>
        <v>0.56257966215919242</v>
      </c>
      <c r="L51">
        <f t="shared" si="2"/>
        <v>3.8779905357692255</v>
      </c>
      <c r="M51">
        <f t="shared" si="2"/>
        <v>1.6071611702829014</v>
      </c>
      <c r="N51">
        <f t="shared" si="2"/>
        <v>5.1701656972911199</v>
      </c>
      <c r="O51">
        <f t="shared" si="2"/>
        <v>3.5410287589551253</v>
      </c>
      <c r="P51">
        <f t="shared" si="2"/>
        <v>86.023411518232564</v>
      </c>
      <c r="Q51">
        <f t="shared" si="2"/>
        <v>6.5385235213970727</v>
      </c>
      <c r="R51">
        <f t="shared" si="2"/>
        <v>3.1689057532560767</v>
      </c>
      <c r="S51">
        <f t="shared" si="2"/>
        <v>93.404339481664891</v>
      </c>
      <c r="T51">
        <f t="shared" si="2"/>
        <v>12.719574549130492</v>
      </c>
      <c r="U51">
        <f t="shared" si="2"/>
        <v>0.15090027396457506</v>
      </c>
      <c r="X51" s="4"/>
    </row>
    <row r="52" spans="1:24" x14ac:dyDescent="0.25">
      <c r="A52" s="8">
        <v>59</v>
      </c>
      <c r="G52">
        <f t="shared" si="2"/>
        <v>12.150540100451805</v>
      </c>
      <c r="H52">
        <f t="shared" si="2"/>
        <v>1.6894861974328983</v>
      </c>
      <c r="J52">
        <f t="shared" si="2"/>
        <v>0.843214151931442</v>
      </c>
      <c r="K52">
        <f t="shared" si="2"/>
        <v>0.81569310980131338</v>
      </c>
      <c r="L52">
        <f t="shared" si="2"/>
        <v>5.2939782430872491</v>
      </c>
      <c r="M52">
        <f t="shared" si="2"/>
        <v>4.5623772064613295</v>
      </c>
      <c r="N52">
        <f t="shared" si="2"/>
        <v>2.5067082540192187</v>
      </c>
      <c r="O52">
        <f t="shared" si="2"/>
        <v>1.4593797062893226</v>
      </c>
      <c r="P52">
        <f t="shared" si="2"/>
        <v>87.120152283099785</v>
      </c>
      <c r="Q52">
        <f t="shared" si="2"/>
        <v>2.36145830944354</v>
      </c>
      <c r="R52">
        <f t="shared" si="2"/>
        <v>1.0855522173550749</v>
      </c>
      <c r="S52">
        <f t="shared" si="2"/>
        <v>96.968862998723324</v>
      </c>
      <c r="T52">
        <f t="shared" si="2"/>
        <v>7.3909287587245522</v>
      </c>
      <c r="U52">
        <f t="shared" si="2"/>
        <v>7.6447339250357391E-2</v>
      </c>
      <c r="X52" s="4"/>
    </row>
    <row r="53" spans="1:24" x14ac:dyDescent="0.25">
      <c r="A53" s="8">
        <v>60</v>
      </c>
      <c r="G53">
        <f>100*(G17/$F17)</f>
        <v>18.806935540944213</v>
      </c>
      <c r="H53">
        <f t="shared" si="2"/>
        <v>3.1130934257194349</v>
      </c>
      <c r="J53">
        <f t="shared" si="2"/>
        <v>2.2432705996593123</v>
      </c>
      <c r="K53">
        <f t="shared" si="2"/>
        <v>0.82209366436524334</v>
      </c>
      <c r="L53">
        <f t="shared" si="2"/>
        <v>8.1855512306717468</v>
      </c>
      <c r="M53">
        <f t="shared" si="2"/>
        <v>4.476666200347271</v>
      </c>
      <c r="N53">
        <f t="shared" si="2"/>
        <v>5.3942181881022719</v>
      </c>
      <c r="O53">
        <f t="shared" si="2"/>
        <v>4.3993120417383293</v>
      </c>
      <c r="P53">
        <f t="shared" si="2"/>
        <v>79.785877105637809</v>
      </c>
      <c r="Q53">
        <f t="shared" si="2"/>
        <v>3.3978225627268164</v>
      </c>
      <c r="R53">
        <f t="shared" si="2"/>
        <v>0.63282285074761968</v>
      </c>
      <c r="S53">
        <f t="shared" si="2"/>
        <v>91.794698771385541</v>
      </c>
      <c r="T53">
        <f t="shared" si="2"/>
        <v>9.2257177889877298</v>
      </c>
      <c r="U53">
        <f t="shared" si="2"/>
        <v>2.0416560373274959</v>
      </c>
      <c r="X53" s="4"/>
    </row>
    <row r="54" spans="1:24" s="10" customFormat="1" x14ac:dyDescent="0.25">
      <c r="A54" s="10" t="s">
        <v>87</v>
      </c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1:24" s="10" customFormat="1" ht="27" customHeight="1" x14ac:dyDescent="0.25">
      <c r="A55" s="10" t="s">
        <v>87</v>
      </c>
      <c r="B55" s="22" t="s">
        <v>70</v>
      </c>
      <c r="C55" s="22" t="s">
        <v>335</v>
      </c>
      <c r="D55" s="22" t="s">
        <v>89</v>
      </c>
      <c r="E55" s="21" t="s">
        <v>336</v>
      </c>
      <c r="F55" s="22" t="s">
        <v>326</v>
      </c>
      <c r="G55" s="22" t="s">
        <v>327</v>
      </c>
      <c r="H55" s="17" t="s">
        <v>328</v>
      </c>
      <c r="I55" s="25"/>
      <c r="J55" s="17" t="s">
        <v>330</v>
      </c>
      <c r="K55" s="17" t="s">
        <v>331</v>
      </c>
      <c r="L55" s="21"/>
      <c r="M55" s="17" t="s">
        <v>17</v>
      </c>
      <c r="N55" s="21"/>
      <c r="O55" s="17" t="s">
        <v>332</v>
      </c>
      <c r="P55" s="21"/>
      <c r="Q55" s="21"/>
      <c r="R55" s="18" t="s">
        <v>333</v>
      </c>
      <c r="S55" s="21"/>
      <c r="U55" s="18" t="s">
        <v>334</v>
      </c>
      <c r="V55" s="21"/>
      <c r="W55" s="21"/>
    </row>
    <row r="56" spans="1:24" s="6" customFormat="1" ht="20.100000000000001" customHeight="1" x14ac:dyDescent="0.25">
      <c r="A56" s="10">
        <v>46</v>
      </c>
      <c r="B56" s="1">
        <v>1200000</v>
      </c>
      <c r="C56">
        <v>269259</v>
      </c>
      <c r="D56" s="6">
        <v>3455000</v>
      </c>
      <c r="E56" s="6">
        <f>(C56/B56)*D56</f>
        <v>775241.53750000009</v>
      </c>
      <c r="H56" s="6">
        <f>H22*$E56</f>
        <v>4769627.5000000009</v>
      </c>
      <c r="J56" s="6">
        <f>J22*$E56</f>
        <v>4516836.666666667</v>
      </c>
      <c r="K56" s="6">
        <f>K22*$E56</f>
        <v>227454.16666666669</v>
      </c>
      <c r="M56" s="6">
        <f>M22*$E56</f>
        <v>2763424.166666667</v>
      </c>
      <c r="O56" s="6">
        <f>O22*$E56</f>
        <v>6821321.666666667</v>
      </c>
      <c r="R56" s="6">
        <f>R22*$E56</f>
        <v>108544.58333333336</v>
      </c>
      <c r="U56" s="6">
        <f>U22*$E56</f>
        <v>860295.00000000012</v>
      </c>
    </row>
    <row r="57" spans="1:24" s="6" customFormat="1" x14ac:dyDescent="0.25">
      <c r="A57" s="10">
        <v>47</v>
      </c>
      <c r="B57" s="1">
        <v>1040000</v>
      </c>
      <c r="C57">
        <v>204069</v>
      </c>
      <c r="D57" s="6">
        <v>1220000</v>
      </c>
      <c r="E57" s="6">
        <f t="shared" ref="E57:E70" si="4">(C57/B57)*D57</f>
        <v>239388.63461538462</v>
      </c>
      <c r="H57" s="6">
        <f t="shared" ref="H57" si="5">H23*$E57</f>
        <v>317786.53846153844</v>
      </c>
      <c r="J57" s="6">
        <f t="shared" ref="J57" si="6">J23*$E57</f>
        <v>202707.69230769231</v>
      </c>
      <c r="K57" s="6">
        <f t="shared" ref="K57" si="7">K23*$E57</f>
        <v>110151.92307692308</v>
      </c>
      <c r="M57" s="6">
        <f t="shared" ref="M57" si="8">M23*$E57</f>
        <v>533046.15384615387</v>
      </c>
      <c r="O57" s="6">
        <f t="shared" ref="O57" si="9">O23*$E57</f>
        <v>727659.61538461549</v>
      </c>
      <c r="R57" s="6">
        <f t="shared" ref="R57" si="10">R23*$E57</f>
        <v>378551.92307692306</v>
      </c>
      <c r="U57" s="6">
        <f t="shared" ref="U57:U70" si="11">U23*$E57</f>
        <v>20294.23076923077</v>
      </c>
    </row>
    <row r="58" spans="1:24" s="6" customFormat="1" x14ac:dyDescent="0.25">
      <c r="A58" s="10">
        <v>48</v>
      </c>
      <c r="B58" s="1">
        <v>1200000</v>
      </c>
      <c r="C58">
        <v>199539</v>
      </c>
      <c r="D58" s="6">
        <v>1065000</v>
      </c>
      <c r="E58" s="6">
        <f t="shared" si="4"/>
        <v>177090.86249999999</v>
      </c>
      <c r="H58" s="6">
        <f t="shared" ref="H58" si="12">H24*$E58</f>
        <v>479338.74999999994</v>
      </c>
      <c r="J58" s="6">
        <f t="shared" ref="J58" si="13">J24*$E58</f>
        <v>272728.75</v>
      </c>
      <c r="K58" s="6">
        <f t="shared" ref="K58" si="14">K24*$E58</f>
        <v>199687.5</v>
      </c>
      <c r="M58" s="6">
        <f t="shared" ref="M58" si="15">M24*$E58</f>
        <v>672014.99999999988</v>
      </c>
      <c r="O58" s="6">
        <f t="shared" ref="O58" si="16">O24*$E58</f>
        <v>630213.74999999988</v>
      </c>
      <c r="R58" s="6">
        <f t="shared" ref="R58" si="17">R24*$E58</f>
        <v>148833.74999999997</v>
      </c>
      <c r="U58" s="6">
        <f t="shared" si="11"/>
        <v>275391.25</v>
      </c>
    </row>
    <row r="59" spans="1:24" s="6" customFormat="1" x14ac:dyDescent="0.25">
      <c r="A59" s="10">
        <v>49</v>
      </c>
      <c r="B59" s="1">
        <v>1200000</v>
      </c>
      <c r="C59">
        <v>250689</v>
      </c>
      <c r="D59" s="6">
        <v>985000</v>
      </c>
      <c r="E59" s="6">
        <f t="shared" si="4"/>
        <v>205773.88749999998</v>
      </c>
      <c r="H59" s="6">
        <f t="shared" ref="H59" si="18">H25*$E59</f>
        <v>1268844.1666666665</v>
      </c>
      <c r="J59" s="6">
        <f t="shared" ref="J59" si="19">J25*$E59</f>
        <v>1024646.25</v>
      </c>
      <c r="K59" s="6">
        <f t="shared" ref="K59" si="20">K25*$E59</f>
        <v>233280.83333333331</v>
      </c>
      <c r="M59" s="6">
        <f t="shared" ref="M59" si="21">M25*$E59</f>
        <v>910222.08333333326</v>
      </c>
      <c r="O59" s="6">
        <f t="shared" ref="O59" si="22">O25*$E59</f>
        <v>1731630</v>
      </c>
      <c r="R59" s="6">
        <f t="shared" ref="R59" si="23">R25*$E59</f>
        <v>240339.99999999997</v>
      </c>
      <c r="U59" s="6">
        <f t="shared" si="11"/>
        <v>45392.083333333336</v>
      </c>
    </row>
    <row r="60" spans="1:24" s="6" customFormat="1" x14ac:dyDescent="0.25">
      <c r="A60" s="10">
        <v>50</v>
      </c>
      <c r="B60" s="1">
        <v>1200000</v>
      </c>
      <c r="C60">
        <v>217731</v>
      </c>
      <c r="D60" s="6">
        <v>740000</v>
      </c>
      <c r="E60" s="6">
        <f t="shared" si="4"/>
        <v>134267.45000000001</v>
      </c>
      <c r="H60" s="6">
        <f t="shared" ref="H60" si="24">H26*$E60</f>
        <v>174701.66666666669</v>
      </c>
      <c r="J60" s="6">
        <f t="shared" ref="J60" si="25">J26*$E60</f>
        <v>116981.66666666667</v>
      </c>
      <c r="K60" s="6">
        <f t="shared" ref="K60" si="26">K26*$E60</f>
        <v>54760.000000000007</v>
      </c>
      <c r="M60" s="6">
        <f t="shared" ref="M60" si="27">M26*$E60</f>
        <v>231928.33333333334</v>
      </c>
      <c r="O60" s="6">
        <f t="shared" ref="O60" si="28">O26*$E60</f>
        <v>158791.66666666669</v>
      </c>
      <c r="R60" s="6">
        <f t="shared" ref="R60" si="29">R26*$E60</f>
        <v>92191.666666666686</v>
      </c>
      <c r="U60" s="6">
        <f t="shared" si="11"/>
        <v>55746.666666666672</v>
      </c>
    </row>
    <row r="61" spans="1:24" s="6" customFormat="1" x14ac:dyDescent="0.25">
      <c r="A61" s="10">
        <v>51</v>
      </c>
      <c r="B61" s="1">
        <v>1070000</v>
      </c>
      <c r="C61">
        <v>269276</v>
      </c>
      <c r="D61" s="6">
        <v>1950000</v>
      </c>
      <c r="E61" s="6">
        <f t="shared" si="4"/>
        <v>490736.63551401871</v>
      </c>
      <c r="H61" s="6">
        <f t="shared" ref="H61" si="30">H27*$E61</f>
        <v>1375387.8504672898</v>
      </c>
      <c r="J61" s="6">
        <f t="shared" ref="J61" si="31">J27*$E61</f>
        <v>1032406.5420560747</v>
      </c>
      <c r="K61" s="6">
        <f t="shared" ref="K61" si="32">K27*$E61</f>
        <v>324392.523364486</v>
      </c>
      <c r="M61" s="6">
        <f t="shared" ref="M61" si="33">M27*$E61</f>
        <v>727696.26168224309</v>
      </c>
      <c r="O61" s="6">
        <f t="shared" ref="O61" si="34">O27*$E61</f>
        <v>2170514.0186915891</v>
      </c>
      <c r="R61" s="6">
        <f t="shared" ref="R61" si="35">R27*$E61</f>
        <v>516476.63551401871</v>
      </c>
      <c r="U61" s="6">
        <f t="shared" si="11"/>
        <v>369042.05607476638</v>
      </c>
    </row>
    <row r="62" spans="1:24" s="6" customFormat="1" x14ac:dyDescent="0.25">
      <c r="A62" s="10">
        <v>52</v>
      </c>
      <c r="B62" s="1">
        <v>861000</v>
      </c>
      <c r="C62">
        <v>247242</v>
      </c>
      <c r="D62" s="6">
        <v>1475000</v>
      </c>
      <c r="E62" s="6">
        <f t="shared" si="4"/>
        <v>423556.27177700354</v>
      </c>
      <c r="H62" s="6">
        <f t="shared" ref="H62" si="36">H28*$E62</f>
        <v>1254349.5934959352</v>
      </c>
      <c r="J62" s="6">
        <f t="shared" ref="J62" si="37">J28*$E62</f>
        <v>864956.44599303138</v>
      </c>
      <c r="K62" s="6">
        <f t="shared" ref="K62" si="38">K28*$E62</f>
        <v>376887.3403019745</v>
      </c>
      <c r="M62" s="6">
        <f t="shared" ref="M62" si="39">M28*$E62</f>
        <v>1172804.8780487806</v>
      </c>
      <c r="O62" s="6">
        <f t="shared" ref="O62" si="40">O28*$E62</f>
        <v>1302488.3855981419</v>
      </c>
      <c r="R62" s="6">
        <f t="shared" ref="R62" si="41">R28*$E62</f>
        <v>297398.37398373988</v>
      </c>
      <c r="U62" s="6">
        <f t="shared" si="11"/>
        <v>311445.99303135893</v>
      </c>
    </row>
    <row r="63" spans="1:24" s="6" customFormat="1" x14ac:dyDescent="0.25">
      <c r="A63" s="10">
        <v>53</v>
      </c>
      <c r="B63" s="1">
        <v>957000</v>
      </c>
      <c r="C63">
        <v>224367</v>
      </c>
      <c r="D63" s="6">
        <v>1065000</v>
      </c>
      <c r="E63" s="6">
        <f t="shared" si="4"/>
        <v>249687.41379310345</v>
      </c>
      <c r="H63" s="6">
        <f t="shared" ref="H63" si="42">H29*$E63</f>
        <v>1274438.8714733543</v>
      </c>
      <c r="J63" s="6">
        <f t="shared" ref="J63" si="43">J29*$E63</f>
        <v>901967.08463949838</v>
      </c>
      <c r="K63" s="6">
        <f t="shared" ref="K63" si="44">K29*$E63</f>
        <v>360007.83699059562</v>
      </c>
      <c r="M63" s="6">
        <f t="shared" ref="M63" si="45">M29*$E63</f>
        <v>1288238.2445141065</v>
      </c>
      <c r="O63" s="6">
        <f t="shared" ref="O63" si="46">O29*$E63</f>
        <v>1354898.119122257</v>
      </c>
      <c r="R63" s="6">
        <f t="shared" ref="R63" si="47">R29*$E63</f>
        <v>211442.00626959247</v>
      </c>
      <c r="U63" s="6">
        <f t="shared" si="11"/>
        <v>128423.19749216302</v>
      </c>
    </row>
    <row r="64" spans="1:24" s="6" customFormat="1" x14ac:dyDescent="0.25">
      <c r="A64" s="10">
        <v>54</v>
      </c>
      <c r="B64" s="1">
        <v>447000</v>
      </c>
      <c r="C64">
        <v>80764</v>
      </c>
      <c r="D64" s="6">
        <v>790000</v>
      </c>
      <c r="E64" s="6">
        <f t="shared" si="4"/>
        <v>142737.27069351228</v>
      </c>
      <c r="H64" s="6">
        <f t="shared" ref="H64" si="48">H30*$E64</f>
        <v>151637.58389261743</v>
      </c>
      <c r="J64" s="6">
        <f t="shared" ref="J64" si="49">J30*$E64</f>
        <v>68395.973154362408</v>
      </c>
      <c r="K64" s="6">
        <f t="shared" ref="K64" si="50">K30*$E64</f>
        <v>79883.668903803118</v>
      </c>
      <c r="M64" s="6">
        <f t="shared" ref="M64" si="51">M30*$E64</f>
        <v>193170.02237136461</v>
      </c>
      <c r="O64" s="6">
        <f t="shared" ref="O64" si="52">O30*$E64</f>
        <v>131666.66666666666</v>
      </c>
      <c r="R64" s="6">
        <f t="shared" ref="R64" si="53">R30*$E64</f>
        <v>188574.94407158834</v>
      </c>
      <c r="U64" s="6">
        <f t="shared" si="11"/>
        <v>6008.9485458612962</v>
      </c>
    </row>
    <row r="65" spans="1:21" s="6" customFormat="1" x14ac:dyDescent="0.25">
      <c r="A65" s="10">
        <v>55</v>
      </c>
      <c r="B65" s="1">
        <v>1200000</v>
      </c>
      <c r="C65">
        <v>237128</v>
      </c>
      <c r="D65" s="6">
        <v>1100000</v>
      </c>
      <c r="E65" s="6">
        <f t="shared" si="4"/>
        <v>217367.33333333334</v>
      </c>
      <c r="H65" s="6">
        <f t="shared" ref="H65" si="54">H31*$E65</f>
        <v>503983.33333333337</v>
      </c>
      <c r="J65" s="6">
        <f t="shared" ref="J65" si="55">J31*$E65</f>
        <v>397741.66666666669</v>
      </c>
      <c r="K65" s="6">
        <f t="shared" ref="K65" si="56">K31*$E65</f>
        <v>101291.66666666667</v>
      </c>
      <c r="M65" s="6">
        <f t="shared" ref="M65" si="57">M31*$E65</f>
        <v>742408.33333333337</v>
      </c>
      <c r="O65" s="6">
        <f t="shared" ref="O65" si="58">O31*$E65</f>
        <v>638641.66666666663</v>
      </c>
      <c r="R65" s="6">
        <f t="shared" ref="R65" si="59">R31*$E65</f>
        <v>172241.66666666669</v>
      </c>
      <c r="U65" s="6">
        <f t="shared" si="11"/>
        <v>9808.3333333333339</v>
      </c>
    </row>
    <row r="66" spans="1:21" s="6" customFormat="1" x14ac:dyDescent="0.25">
      <c r="A66" s="10">
        <v>56</v>
      </c>
      <c r="B66" s="1">
        <v>1010000</v>
      </c>
      <c r="C66">
        <v>189135</v>
      </c>
      <c r="D66" s="6">
        <v>590000</v>
      </c>
      <c r="E66" s="6">
        <f t="shared" si="4"/>
        <v>110484.80198019803</v>
      </c>
      <c r="H66" s="6">
        <f t="shared" ref="H66" si="60">H32*$E66</f>
        <v>173378.21782178216</v>
      </c>
      <c r="J66" s="6">
        <f t="shared" ref="J66" si="61">J32*$E66</f>
        <v>134706.93069306933</v>
      </c>
      <c r="K66" s="6">
        <f t="shared" ref="K66" si="62">K32*$E66</f>
        <v>37152.475247524759</v>
      </c>
      <c r="M66" s="6">
        <f t="shared" ref="M66" si="63">M32*$E66</f>
        <v>450736.63366336637</v>
      </c>
      <c r="O66" s="6">
        <f t="shared" ref="O66" si="64">O32*$E66</f>
        <v>249552.4752475248</v>
      </c>
      <c r="R66" s="6">
        <f t="shared" ref="R66" si="65">R32*$E66</f>
        <v>89025.742574257427</v>
      </c>
      <c r="U66" s="6">
        <f t="shared" si="11"/>
        <v>4089.1089108910892</v>
      </c>
    </row>
    <row r="67" spans="1:21" s="6" customFormat="1" x14ac:dyDescent="0.25">
      <c r="A67" s="10">
        <v>57</v>
      </c>
      <c r="B67" s="1">
        <v>1200000</v>
      </c>
      <c r="C67">
        <v>291821</v>
      </c>
      <c r="D67" s="6">
        <v>1945000</v>
      </c>
      <c r="E67" s="6">
        <f t="shared" si="4"/>
        <v>472993.20416666666</v>
      </c>
      <c r="H67" s="6">
        <f t="shared" ref="H67" si="66">H33*$E67</f>
        <v>1577232.9166666665</v>
      </c>
      <c r="J67" s="6">
        <f t="shared" ref="J67" si="67">J33*$E67</f>
        <v>1421632.9166666665</v>
      </c>
      <c r="K67" s="6">
        <f t="shared" ref="K67" si="68">K33*$E67</f>
        <v>147820</v>
      </c>
      <c r="M67" s="6">
        <f t="shared" ref="M67" si="69">M33*$E67</f>
        <v>2121022.5</v>
      </c>
      <c r="O67" s="6">
        <f t="shared" ref="O67" si="70">O33*$E67</f>
        <v>3128694.5833333335</v>
      </c>
      <c r="R67" s="6">
        <f t="shared" ref="R67" si="71">R33*$E67</f>
        <v>218974.58333333331</v>
      </c>
      <c r="U67" s="6">
        <f t="shared" si="11"/>
        <v>26095.416666666668</v>
      </c>
    </row>
    <row r="68" spans="1:21" s="6" customFormat="1" x14ac:dyDescent="0.25">
      <c r="A68" s="10">
        <v>58</v>
      </c>
      <c r="B68" s="1">
        <v>829000</v>
      </c>
      <c r="C68">
        <v>110778</v>
      </c>
      <c r="D68" s="6">
        <v>860000</v>
      </c>
      <c r="E68" s="6">
        <f t="shared" si="4"/>
        <v>114920.48250904704</v>
      </c>
      <c r="H68" s="6">
        <f t="shared" ref="H68" si="72">H34*$E68</f>
        <v>143367.91314837153</v>
      </c>
      <c r="J68" s="6">
        <f t="shared" ref="J68" si="73">J34*$E68</f>
        <v>100419.78287092883</v>
      </c>
      <c r="K68" s="6">
        <f t="shared" ref="K68" si="74">K34*$E68</f>
        <v>39835.946924004827</v>
      </c>
      <c r="M68" s="6">
        <f t="shared" ref="M68" si="75">M34*$E68</f>
        <v>113802.1712907117</v>
      </c>
      <c r="O68" s="6">
        <f t="shared" ref="O68" si="76">O34*$E68</f>
        <v>250738.23884197825</v>
      </c>
      <c r="R68" s="6">
        <f t="shared" ref="R68" si="77">R34*$E68</f>
        <v>224388.41978287091</v>
      </c>
      <c r="U68" s="6">
        <f t="shared" si="11"/>
        <v>10685.162846803378</v>
      </c>
    </row>
    <row r="69" spans="1:21" s="6" customFormat="1" x14ac:dyDescent="0.25">
      <c r="A69" s="10">
        <v>59</v>
      </c>
      <c r="B69" s="1">
        <v>1200000</v>
      </c>
      <c r="C69">
        <v>261209</v>
      </c>
      <c r="D69" s="6">
        <v>1145000</v>
      </c>
      <c r="E69" s="6">
        <f t="shared" si="4"/>
        <v>249236.92083333334</v>
      </c>
      <c r="H69" s="6">
        <f t="shared" ref="H69" si="78">H35*$E69</f>
        <v>210870.83333333334</v>
      </c>
      <c r="J69" s="6">
        <f t="shared" ref="J69" si="79">J35*$E69</f>
        <v>105244.58333333333</v>
      </c>
      <c r="K69" s="6">
        <f t="shared" ref="K69" si="80">K35*$E69</f>
        <v>101809.58333333333</v>
      </c>
      <c r="M69" s="6">
        <f t="shared" ref="M69" si="81">M35*$E69</f>
        <v>569446.66666666663</v>
      </c>
      <c r="O69" s="6">
        <f t="shared" ref="O69" si="82">O35*$E69</f>
        <v>182150.41666666666</v>
      </c>
      <c r="R69" s="6">
        <f t="shared" ref="R69" si="83">R35*$E69</f>
        <v>135491.66666666666</v>
      </c>
      <c r="U69" s="6">
        <f t="shared" si="11"/>
        <v>9541.6666666666661</v>
      </c>
    </row>
    <row r="70" spans="1:21" s="6" customFormat="1" x14ac:dyDescent="0.25">
      <c r="A70" s="10">
        <v>60</v>
      </c>
      <c r="B70" s="1">
        <v>736000</v>
      </c>
      <c r="C70">
        <v>169522</v>
      </c>
      <c r="D70" s="6">
        <v>825000</v>
      </c>
      <c r="E70" s="6">
        <f t="shared" si="4"/>
        <v>190021.26358695654</v>
      </c>
      <c r="H70" s="6">
        <f t="shared" ref="H70" si="84">H36*$E70</f>
        <v>424045.5163043479</v>
      </c>
      <c r="J70" s="6">
        <f t="shared" ref="J70" si="85">J36*$E70</f>
        <v>305563.85869565216</v>
      </c>
      <c r="K70" s="6">
        <f t="shared" ref="K70" si="86">K36*$E70</f>
        <v>111980.29891304349</v>
      </c>
      <c r="M70" s="6">
        <f t="shared" ref="M70" si="87">M36*$E70</f>
        <v>609782.60869565222</v>
      </c>
      <c r="O70" s="6">
        <f t="shared" ref="O70" si="88">O36*$E70</f>
        <v>599245.92391304357</v>
      </c>
      <c r="R70" s="6">
        <f t="shared" ref="R70" si="89">R36*$E70</f>
        <v>86199.048913043487</v>
      </c>
      <c r="U70" s="6">
        <f t="shared" si="11"/>
        <v>278101.22282608697</v>
      </c>
    </row>
    <row r="71" spans="1:21" s="10" customFormat="1" x14ac:dyDescent="0.25">
      <c r="I71"/>
      <c r="J71"/>
      <c r="K71"/>
      <c r="L71"/>
      <c r="M71"/>
      <c r="N71"/>
      <c r="O71"/>
      <c r="P71"/>
      <c r="Q71"/>
      <c r="R71"/>
      <c r="S71"/>
      <c r="T71"/>
      <c r="U7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B48C-CD6C-644A-966E-A45598D8A0B0}">
  <dimension ref="A1:X71"/>
  <sheetViews>
    <sheetView topLeftCell="A19" workbookViewId="0">
      <pane xSplit="1" topLeftCell="B1" activePane="topRight" state="frozen"/>
      <selection activeCell="A43" sqref="A43"/>
      <selection pane="topRight" activeCell="A55" sqref="A55"/>
    </sheetView>
  </sheetViews>
  <sheetFormatPr defaultColWidth="11" defaultRowHeight="15.75" x14ac:dyDescent="0.25"/>
  <cols>
    <col min="9" max="21" width="10.875"/>
  </cols>
  <sheetData>
    <row r="1" spans="1:21" x14ac:dyDescent="0.25">
      <c r="A1" t="s">
        <v>31</v>
      </c>
      <c r="B1" t="s">
        <v>32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  <c r="H1" t="s">
        <v>448</v>
      </c>
      <c r="I1" t="s">
        <v>449</v>
      </c>
      <c r="J1" t="s">
        <v>450</v>
      </c>
      <c r="K1" t="s">
        <v>451</v>
      </c>
      <c r="L1" t="s">
        <v>452</v>
      </c>
      <c r="M1" t="s">
        <v>453</v>
      </c>
      <c r="N1" t="s">
        <v>454</v>
      </c>
      <c r="O1" t="s">
        <v>455</v>
      </c>
      <c r="P1" t="s">
        <v>456</v>
      </c>
      <c r="Q1" t="s">
        <v>457</v>
      </c>
      <c r="R1" t="s">
        <v>458</v>
      </c>
      <c r="S1" t="s">
        <v>459</v>
      </c>
      <c r="T1" t="s">
        <v>460</v>
      </c>
      <c r="U1" t="s">
        <v>461</v>
      </c>
    </row>
    <row r="3" spans="1:21" x14ac:dyDescent="0.25">
      <c r="A3" t="s">
        <v>507</v>
      </c>
      <c r="B3" s="1">
        <v>1500000</v>
      </c>
      <c r="C3" s="1">
        <v>858000</v>
      </c>
      <c r="D3" s="1">
        <v>823000</v>
      </c>
      <c r="E3">
        <v>326306</v>
      </c>
      <c r="F3">
        <v>208112</v>
      </c>
      <c r="G3">
        <v>64589</v>
      </c>
      <c r="H3">
        <v>11141</v>
      </c>
      <c r="I3" s="31">
        <v>72989</v>
      </c>
      <c r="J3">
        <v>5584</v>
      </c>
      <c r="K3">
        <v>5324</v>
      </c>
      <c r="L3">
        <v>16558</v>
      </c>
      <c r="M3">
        <v>10754</v>
      </c>
      <c r="N3">
        <v>22139</v>
      </c>
      <c r="O3">
        <v>10461</v>
      </c>
      <c r="P3">
        <v>140524</v>
      </c>
      <c r="Q3">
        <v>16515</v>
      </c>
      <c r="R3">
        <v>1136</v>
      </c>
      <c r="S3">
        <v>195966</v>
      </c>
      <c r="T3">
        <v>47178</v>
      </c>
      <c r="U3">
        <v>7539</v>
      </c>
    </row>
    <row r="4" spans="1:21" x14ac:dyDescent="0.25">
      <c r="A4" t="s">
        <v>508</v>
      </c>
      <c r="B4" s="1">
        <v>1240000</v>
      </c>
      <c r="C4" s="1">
        <v>768000</v>
      </c>
      <c r="D4" s="1">
        <v>746000</v>
      </c>
      <c r="E4">
        <v>218456</v>
      </c>
      <c r="F4">
        <v>164786</v>
      </c>
      <c r="G4">
        <v>56024</v>
      </c>
      <c r="H4">
        <v>5146</v>
      </c>
      <c r="I4" s="32">
        <v>401000</v>
      </c>
      <c r="J4">
        <v>4328</v>
      </c>
      <c r="K4">
        <v>758</v>
      </c>
      <c r="L4">
        <v>13107</v>
      </c>
      <c r="M4">
        <v>8608</v>
      </c>
      <c r="N4">
        <v>13701</v>
      </c>
      <c r="O4">
        <v>8943</v>
      </c>
      <c r="P4">
        <v>103725</v>
      </c>
      <c r="Q4">
        <v>12787</v>
      </c>
      <c r="R4">
        <v>834</v>
      </c>
      <c r="S4">
        <v>149865</v>
      </c>
      <c r="T4">
        <v>39989</v>
      </c>
      <c r="U4">
        <v>1496</v>
      </c>
    </row>
    <row r="5" spans="1:21" x14ac:dyDescent="0.25">
      <c r="A5" t="s">
        <v>509</v>
      </c>
      <c r="B5" s="1">
        <v>1500000</v>
      </c>
      <c r="C5" s="1">
        <v>808000</v>
      </c>
      <c r="D5" s="1">
        <v>775000</v>
      </c>
      <c r="E5">
        <v>287591</v>
      </c>
      <c r="F5">
        <v>187677</v>
      </c>
      <c r="G5">
        <v>36801</v>
      </c>
      <c r="H5">
        <v>11330</v>
      </c>
      <c r="I5" s="31">
        <v>194222</v>
      </c>
      <c r="J5">
        <v>7997</v>
      </c>
      <c r="K5">
        <v>3118</v>
      </c>
      <c r="L5">
        <v>12343</v>
      </c>
      <c r="M5">
        <v>7732</v>
      </c>
      <c r="N5">
        <v>19117</v>
      </c>
      <c r="O5">
        <v>10638</v>
      </c>
      <c r="P5">
        <v>148595</v>
      </c>
      <c r="Q5">
        <v>21714</v>
      </c>
      <c r="R5">
        <v>446</v>
      </c>
      <c r="S5">
        <v>166158</v>
      </c>
      <c r="T5">
        <v>46975</v>
      </c>
      <c r="U5">
        <v>5738</v>
      </c>
    </row>
    <row r="6" spans="1:21" x14ac:dyDescent="0.25">
      <c r="A6" t="s">
        <v>510</v>
      </c>
      <c r="B6" s="1">
        <v>784000</v>
      </c>
      <c r="C6" s="1">
        <v>485000</v>
      </c>
      <c r="D6" s="1">
        <v>473000</v>
      </c>
      <c r="E6">
        <v>200933</v>
      </c>
      <c r="F6">
        <v>138766</v>
      </c>
      <c r="G6">
        <v>25276</v>
      </c>
      <c r="H6">
        <v>6267</v>
      </c>
      <c r="I6" s="32">
        <v>606000</v>
      </c>
      <c r="J6">
        <v>5681</v>
      </c>
      <c r="K6">
        <v>535</v>
      </c>
      <c r="L6">
        <v>5644</v>
      </c>
      <c r="M6">
        <v>3100</v>
      </c>
      <c r="N6">
        <v>12080</v>
      </c>
      <c r="O6">
        <v>7054</v>
      </c>
      <c r="P6">
        <v>112432</v>
      </c>
      <c r="Q6">
        <v>16391</v>
      </c>
      <c r="R6">
        <v>416</v>
      </c>
      <c r="S6">
        <v>126912</v>
      </c>
      <c r="T6">
        <v>31722</v>
      </c>
      <c r="U6">
        <v>2008</v>
      </c>
    </row>
    <row r="7" spans="1:21" x14ac:dyDescent="0.25">
      <c r="A7" t="s">
        <v>511</v>
      </c>
      <c r="B7" s="1">
        <v>1500000</v>
      </c>
      <c r="C7" s="1">
        <v>665000</v>
      </c>
      <c r="D7" s="1">
        <v>635000</v>
      </c>
      <c r="E7">
        <v>219495</v>
      </c>
      <c r="F7">
        <v>59005</v>
      </c>
      <c r="G7">
        <v>15009</v>
      </c>
      <c r="H7">
        <v>2281</v>
      </c>
      <c r="I7" s="31">
        <v>1123</v>
      </c>
      <c r="J7">
        <v>3</v>
      </c>
      <c r="K7">
        <v>2258</v>
      </c>
      <c r="L7">
        <v>6741</v>
      </c>
      <c r="M7">
        <v>2725</v>
      </c>
      <c r="N7">
        <v>3294</v>
      </c>
      <c r="O7">
        <v>2143</v>
      </c>
      <c r="P7">
        <v>43093</v>
      </c>
      <c r="Q7">
        <v>3579</v>
      </c>
      <c r="R7">
        <v>1988</v>
      </c>
      <c r="S7">
        <v>54490</v>
      </c>
      <c r="T7">
        <v>8115</v>
      </c>
      <c r="U7">
        <v>2089</v>
      </c>
    </row>
    <row r="8" spans="1:21" x14ac:dyDescent="0.25">
      <c r="A8" t="s">
        <v>512</v>
      </c>
      <c r="B8" s="1">
        <v>1500000</v>
      </c>
      <c r="C8" s="1">
        <v>719000</v>
      </c>
      <c r="D8" s="1">
        <v>681000</v>
      </c>
      <c r="E8">
        <v>239496</v>
      </c>
      <c r="F8">
        <v>126592</v>
      </c>
      <c r="G8">
        <v>34454</v>
      </c>
      <c r="H8">
        <v>9626</v>
      </c>
      <c r="I8" s="31">
        <v>184948</v>
      </c>
      <c r="J8">
        <v>6657</v>
      </c>
      <c r="K8">
        <v>2793</v>
      </c>
      <c r="L8">
        <v>9318</v>
      </c>
      <c r="M8">
        <v>5865</v>
      </c>
      <c r="N8">
        <v>15531</v>
      </c>
      <c r="O8">
        <v>10335</v>
      </c>
      <c r="P8">
        <v>90297</v>
      </c>
      <c r="Q8">
        <v>10470</v>
      </c>
      <c r="R8">
        <v>903</v>
      </c>
      <c r="S8">
        <v>113707</v>
      </c>
      <c r="T8">
        <v>26946</v>
      </c>
      <c r="U8">
        <v>140</v>
      </c>
    </row>
    <row r="9" spans="1:21" x14ac:dyDescent="0.25">
      <c r="A9" t="s">
        <v>513</v>
      </c>
      <c r="B9" s="1">
        <v>992000</v>
      </c>
      <c r="C9" s="1">
        <v>530000</v>
      </c>
      <c r="D9" s="1">
        <v>506000</v>
      </c>
      <c r="E9">
        <v>170025</v>
      </c>
      <c r="F9">
        <v>82922</v>
      </c>
      <c r="G9">
        <v>13565</v>
      </c>
      <c r="H9">
        <v>2171</v>
      </c>
      <c r="I9" s="31">
        <v>183021</v>
      </c>
      <c r="J9">
        <v>1352</v>
      </c>
      <c r="K9">
        <v>796</v>
      </c>
      <c r="L9">
        <v>4951</v>
      </c>
      <c r="M9">
        <v>3565</v>
      </c>
      <c r="N9">
        <v>2928</v>
      </c>
      <c r="O9">
        <v>1935</v>
      </c>
      <c r="P9">
        <v>67766</v>
      </c>
      <c r="Q9">
        <v>4893</v>
      </c>
      <c r="R9">
        <v>2247</v>
      </c>
      <c r="S9">
        <v>77137</v>
      </c>
      <c r="T9">
        <v>10032</v>
      </c>
      <c r="U9">
        <v>1070</v>
      </c>
    </row>
    <row r="10" spans="1:21" x14ac:dyDescent="0.25">
      <c r="A10" t="s">
        <v>514</v>
      </c>
      <c r="B10" s="1">
        <v>1250000</v>
      </c>
      <c r="C10" s="1">
        <v>737000</v>
      </c>
      <c r="D10" s="1">
        <v>697000</v>
      </c>
      <c r="E10">
        <v>215682</v>
      </c>
      <c r="F10">
        <v>136648</v>
      </c>
      <c r="G10">
        <v>26738</v>
      </c>
      <c r="H10">
        <v>7996</v>
      </c>
      <c r="I10" s="31">
        <v>29404</v>
      </c>
      <c r="J10">
        <v>2679</v>
      </c>
      <c r="K10">
        <v>5122</v>
      </c>
      <c r="L10">
        <v>8945</v>
      </c>
      <c r="M10">
        <v>6817</v>
      </c>
      <c r="N10">
        <v>12031</v>
      </c>
      <c r="O10">
        <v>7145</v>
      </c>
      <c r="P10">
        <v>108335</v>
      </c>
      <c r="Q10">
        <v>11313</v>
      </c>
      <c r="R10">
        <v>1639</v>
      </c>
      <c r="S10">
        <v>124512</v>
      </c>
      <c r="T10">
        <v>25562</v>
      </c>
      <c r="U10">
        <v>3203</v>
      </c>
    </row>
    <row r="11" spans="1:21" x14ac:dyDescent="0.25">
      <c r="A11" t="s">
        <v>515</v>
      </c>
      <c r="B11" s="1">
        <v>1300000</v>
      </c>
      <c r="C11" s="1">
        <v>716000</v>
      </c>
      <c r="D11" s="1">
        <v>679000</v>
      </c>
      <c r="E11">
        <v>170497</v>
      </c>
      <c r="F11">
        <v>119414</v>
      </c>
      <c r="G11">
        <v>29787</v>
      </c>
      <c r="H11">
        <v>9190</v>
      </c>
      <c r="I11" s="31">
        <v>212749</v>
      </c>
      <c r="J11">
        <v>6295</v>
      </c>
      <c r="K11">
        <v>2755</v>
      </c>
      <c r="L11">
        <v>13559</v>
      </c>
      <c r="M11">
        <v>8052</v>
      </c>
      <c r="N11">
        <v>12948</v>
      </c>
      <c r="O11">
        <v>8426</v>
      </c>
      <c r="P11">
        <v>88533</v>
      </c>
      <c r="Q11">
        <v>10466</v>
      </c>
      <c r="R11">
        <v>2385</v>
      </c>
      <c r="S11">
        <v>105873</v>
      </c>
      <c r="T11">
        <v>23432</v>
      </c>
      <c r="U11">
        <v>2409</v>
      </c>
    </row>
    <row r="12" spans="1:21" x14ac:dyDescent="0.25">
      <c r="A12" t="s">
        <v>516</v>
      </c>
      <c r="B12" s="1">
        <v>1500000</v>
      </c>
      <c r="C12" s="1">
        <v>884000</v>
      </c>
      <c r="D12" s="1">
        <v>855000</v>
      </c>
      <c r="E12">
        <v>345884</v>
      </c>
      <c r="F12">
        <v>266623</v>
      </c>
      <c r="G12">
        <v>66489</v>
      </c>
      <c r="H12">
        <v>17082</v>
      </c>
      <c r="I12" s="31">
        <v>341709</v>
      </c>
      <c r="J12">
        <v>13648</v>
      </c>
      <c r="K12">
        <v>3187</v>
      </c>
      <c r="L12">
        <v>22627</v>
      </c>
      <c r="M12">
        <v>15141</v>
      </c>
      <c r="N12">
        <v>29788</v>
      </c>
      <c r="O12">
        <v>19545</v>
      </c>
      <c r="P12">
        <v>195109</v>
      </c>
      <c r="Q12">
        <v>29685</v>
      </c>
      <c r="R12">
        <v>2305</v>
      </c>
      <c r="S12">
        <v>240110</v>
      </c>
      <c r="T12">
        <v>59349</v>
      </c>
      <c r="U12">
        <v>159</v>
      </c>
    </row>
    <row r="13" spans="1:21" x14ac:dyDescent="0.25">
      <c r="A13" t="s">
        <v>517</v>
      </c>
      <c r="B13" s="1">
        <v>1330000</v>
      </c>
      <c r="C13" s="1">
        <v>840000</v>
      </c>
      <c r="D13" s="1">
        <v>805000</v>
      </c>
      <c r="E13" s="1">
        <v>433000</v>
      </c>
      <c r="F13">
        <v>269030</v>
      </c>
      <c r="G13">
        <v>90237</v>
      </c>
      <c r="H13">
        <v>24797</v>
      </c>
      <c r="I13" s="32">
        <v>649000</v>
      </c>
      <c r="J13">
        <v>22997</v>
      </c>
      <c r="K13">
        <v>1701</v>
      </c>
      <c r="L13">
        <v>22451</v>
      </c>
      <c r="M13">
        <v>16468</v>
      </c>
      <c r="N13">
        <v>48988</v>
      </c>
      <c r="O13">
        <v>36925</v>
      </c>
      <c r="P13">
        <v>176572</v>
      </c>
      <c r="Q13">
        <v>10619</v>
      </c>
      <c r="R13">
        <v>3283</v>
      </c>
      <c r="S13">
        <v>242710</v>
      </c>
      <c r="T13">
        <v>43011</v>
      </c>
      <c r="U13">
        <v>6176</v>
      </c>
    </row>
    <row r="14" spans="1:21" x14ac:dyDescent="0.25">
      <c r="A14" t="s">
        <v>518</v>
      </c>
      <c r="B14" s="1">
        <v>1500000</v>
      </c>
      <c r="C14" s="1">
        <v>842000</v>
      </c>
      <c r="D14" s="1">
        <v>804000</v>
      </c>
      <c r="E14">
        <v>356257</v>
      </c>
      <c r="F14">
        <v>214481</v>
      </c>
      <c r="G14">
        <v>72695</v>
      </c>
      <c r="H14">
        <v>18441</v>
      </c>
      <c r="I14" s="31">
        <v>2183</v>
      </c>
      <c r="J14">
        <v>35</v>
      </c>
      <c r="K14">
        <v>18337</v>
      </c>
      <c r="L14">
        <v>45747</v>
      </c>
      <c r="M14">
        <v>13177</v>
      </c>
      <c r="N14">
        <v>19122</v>
      </c>
      <c r="O14">
        <v>9806</v>
      </c>
      <c r="P14">
        <v>140436</v>
      </c>
      <c r="Q14">
        <v>11589</v>
      </c>
      <c r="R14">
        <v>2230</v>
      </c>
      <c r="S14">
        <v>181053</v>
      </c>
      <c r="T14">
        <v>38249</v>
      </c>
      <c r="U14">
        <v>7092</v>
      </c>
    </row>
    <row r="15" spans="1:21" x14ac:dyDescent="0.25">
      <c r="A15" t="s">
        <v>519</v>
      </c>
      <c r="B15" s="1">
        <v>708000</v>
      </c>
      <c r="C15">
        <v>359225</v>
      </c>
      <c r="D15">
        <v>345279</v>
      </c>
      <c r="E15">
        <v>106044</v>
      </c>
      <c r="F15">
        <v>69805</v>
      </c>
      <c r="G15">
        <v>18605</v>
      </c>
      <c r="H15">
        <v>5135</v>
      </c>
      <c r="I15" s="31">
        <v>51579</v>
      </c>
      <c r="J15">
        <v>2343</v>
      </c>
      <c r="K15">
        <v>2714</v>
      </c>
      <c r="L15">
        <v>7629</v>
      </c>
      <c r="M15">
        <v>4283</v>
      </c>
      <c r="N15">
        <v>8860</v>
      </c>
      <c r="O15">
        <v>4998</v>
      </c>
      <c r="P15">
        <v>50609</v>
      </c>
      <c r="Q15">
        <v>5631</v>
      </c>
      <c r="R15">
        <v>3816</v>
      </c>
      <c r="S15">
        <v>64240</v>
      </c>
      <c r="T15">
        <v>13822</v>
      </c>
      <c r="U15">
        <v>486</v>
      </c>
    </row>
    <row r="16" spans="1:21" x14ac:dyDescent="0.25">
      <c r="A16" t="s">
        <v>520</v>
      </c>
      <c r="B16" s="1">
        <v>1500000</v>
      </c>
      <c r="C16" s="1">
        <v>849000</v>
      </c>
      <c r="D16" s="1">
        <v>802000</v>
      </c>
      <c r="E16">
        <v>299852</v>
      </c>
      <c r="F16">
        <v>236060</v>
      </c>
      <c r="G16">
        <v>91322</v>
      </c>
      <c r="H16">
        <v>16867</v>
      </c>
      <c r="I16" s="31">
        <v>399751</v>
      </c>
      <c r="J16">
        <v>14189</v>
      </c>
      <c r="K16">
        <v>2405</v>
      </c>
      <c r="L16">
        <v>23070</v>
      </c>
      <c r="M16">
        <v>10523</v>
      </c>
      <c r="N16">
        <v>33416</v>
      </c>
      <c r="O16">
        <v>21036</v>
      </c>
      <c r="P16">
        <v>141176</v>
      </c>
      <c r="Q16">
        <v>26067</v>
      </c>
      <c r="R16">
        <v>1768</v>
      </c>
      <c r="S16">
        <v>211591</v>
      </c>
      <c r="T16">
        <v>70724</v>
      </c>
      <c r="U16">
        <v>4610</v>
      </c>
    </row>
    <row r="17" spans="1:24" x14ac:dyDescent="0.25">
      <c r="A17" t="s">
        <v>521</v>
      </c>
      <c r="B17" s="1">
        <v>1500000</v>
      </c>
      <c r="C17" s="1">
        <v>884000</v>
      </c>
      <c r="D17" s="1">
        <v>810000</v>
      </c>
      <c r="E17">
        <v>283717</v>
      </c>
      <c r="F17">
        <v>213594</v>
      </c>
      <c r="G17">
        <v>54849</v>
      </c>
      <c r="H17">
        <v>15503</v>
      </c>
      <c r="I17" s="31">
        <v>295391</v>
      </c>
      <c r="J17">
        <v>13267</v>
      </c>
      <c r="K17">
        <v>2039</v>
      </c>
      <c r="L17">
        <v>23031</v>
      </c>
      <c r="M17">
        <v>17843</v>
      </c>
      <c r="N17">
        <v>15573</v>
      </c>
      <c r="O17">
        <v>8283</v>
      </c>
      <c r="P17">
        <v>156485</v>
      </c>
      <c r="Q17">
        <v>12866</v>
      </c>
      <c r="R17">
        <v>1225</v>
      </c>
      <c r="S17">
        <v>192332</v>
      </c>
      <c r="T17">
        <v>35919</v>
      </c>
      <c r="U17">
        <v>3294</v>
      </c>
    </row>
    <row r="18" spans="1:24" x14ac:dyDescent="0.25">
      <c r="B18" s="1" t="s">
        <v>70</v>
      </c>
      <c r="C18" s="1"/>
      <c r="D18" s="1" t="s">
        <v>324</v>
      </c>
      <c r="E18" t="s">
        <v>325</v>
      </c>
      <c r="F18" s="1" t="s">
        <v>326</v>
      </c>
      <c r="G18" s="1" t="s">
        <v>327</v>
      </c>
      <c r="H18" s="3" t="s">
        <v>328</v>
      </c>
      <c r="I18" s="32" t="s">
        <v>329</v>
      </c>
      <c r="J18" s="3" t="s">
        <v>330</v>
      </c>
      <c r="K18" s="3" t="s">
        <v>331</v>
      </c>
      <c r="M18" s="3" t="s">
        <v>17</v>
      </c>
      <c r="O18" s="3" t="s">
        <v>332</v>
      </c>
      <c r="R18" s="4" t="s">
        <v>333</v>
      </c>
      <c r="U18" s="4" t="s">
        <v>334</v>
      </c>
    </row>
    <row r="19" spans="1:24" x14ac:dyDescent="0.25">
      <c r="B19" s="1"/>
      <c r="X19" s="4"/>
    </row>
    <row r="20" spans="1:24" s="7" customFormat="1" x14ac:dyDescent="0.25">
      <c r="A20" s="7" t="s">
        <v>85</v>
      </c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4" x14ac:dyDescent="0.25">
      <c r="B21" s="1" t="s">
        <v>70</v>
      </c>
      <c r="C21" s="1"/>
      <c r="D21" s="1" t="s">
        <v>324</v>
      </c>
      <c r="E21" t="s">
        <v>325</v>
      </c>
      <c r="F21" s="1" t="s">
        <v>326</v>
      </c>
      <c r="G21" s="1" t="s">
        <v>327</v>
      </c>
      <c r="H21" s="3" t="s">
        <v>328</v>
      </c>
      <c r="I21" s="24" t="s">
        <v>329</v>
      </c>
      <c r="J21" s="3" t="s">
        <v>330</v>
      </c>
      <c r="K21" s="3" t="s">
        <v>331</v>
      </c>
      <c r="M21" s="3" t="s">
        <v>17</v>
      </c>
      <c r="O21" s="3" t="s">
        <v>332</v>
      </c>
      <c r="R21" s="4" t="s">
        <v>333</v>
      </c>
      <c r="U21" s="4" t="s">
        <v>334</v>
      </c>
    </row>
    <row r="22" spans="1:24" x14ac:dyDescent="0.25">
      <c r="A22" s="7">
        <v>61</v>
      </c>
      <c r="F22">
        <f>100*F3/$E3</f>
        <v>63.77817140965842</v>
      </c>
      <c r="G22">
        <f>100*G3/$E3</f>
        <v>19.793997045717823</v>
      </c>
      <c r="H22">
        <f>100*H3/$E3</f>
        <v>3.4142798477502714</v>
      </c>
      <c r="J22">
        <f t="shared" ref="J22:U36" si="0">100*J3/$E3</f>
        <v>1.7112771447659558</v>
      </c>
      <c r="K22">
        <f t="shared" si="0"/>
        <v>1.6315973350168247</v>
      </c>
      <c r="L22">
        <f t="shared" si="0"/>
        <v>5.074378037792747</v>
      </c>
      <c r="M22">
        <f t="shared" si="0"/>
        <v>3.2956795155467566</v>
      </c>
      <c r="N22">
        <f t="shared" si="0"/>
        <v>6.7847358001385203</v>
      </c>
      <c r="O22">
        <f t="shared" si="0"/>
        <v>3.2058864991756204</v>
      </c>
      <c r="P22">
        <f t="shared" si="0"/>
        <v>43.065098404565042</v>
      </c>
      <c r="Q22">
        <f t="shared" si="0"/>
        <v>5.0612002231034676</v>
      </c>
      <c r="R22">
        <f t="shared" si="0"/>
        <v>0.34813947644235776</v>
      </c>
      <c r="S22">
        <f t="shared" si="0"/>
        <v>60.05589845114708</v>
      </c>
      <c r="T22">
        <f t="shared" si="0"/>
        <v>14.458207939786581</v>
      </c>
      <c r="U22">
        <f t="shared" si="0"/>
        <v>2.3104080219180769</v>
      </c>
      <c r="X22" s="4"/>
    </row>
    <row r="23" spans="1:24" x14ac:dyDescent="0.25">
      <c r="A23" s="7">
        <v>62</v>
      </c>
      <c r="F23">
        <f t="shared" ref="F23:H36" si="1">100*F4/$E4</f>
        <v>75.432123631303327</v>
      </c>
      <c r="G23">
        <f t="shared" si="1"/>
        <v>25.645438898450948</v>
      </c>
      <c r="H23">
        <f t="shared" si="1"/>
        <v>2.3556231003039514</v>
      </c>
      <c r="J23">
        <f t="shared" si="0"/>
        <v>1.9811769875856007</v>
      </c>
      <c r="K23">
        <f t="shared" si="0"/>
        <v>0.34698062767788479</v>
      </c>
      <c r="L23">
        <f t="shared" si="0"/>
        <v>5.9998352070897569</v>
      </c>
      <c r="M23">
        <f t="shared" si="0"/>
        <v>3.940381587138829</v>
      </c>
      <c r="N23">
        <f t="shared" si="0"/>
        <v>6.2717435089903688</v>
      </c>
      <c r="O23">
        <f t="shared" si="0"/>
        <v>4.0937305452814297</v>
      </c>
      <c r="P23">
        <f t="shared" si="0"/>
        <v>47.480957263705278</v>
      </c>
      <c r="Q23">
        <f t="shared" si="0"/>
        <v>5.8533526202072732</v>
      </c>
      <c r="R23">
        <f t="shared" si="0"/>
        <v>0.38177024206247484</v>
      </c>
      <c r="S23">
        <f t="shared" si="0"/>
        <v>68.601915259823485</v>
      </c>
      <c r="T23">
        <f t="shared" si="0"/>
        <v>18.305288021386456</v>
      </c>
      <c r="U23">
        <f t="shared" si="0"/>
        <v>0.68480609367561429</v>
      </c>
      <c r="X23" s="4"/>
    </row>
    <row r="24" spans="1:24" x14ac:dyDescent="0.25">
      <c r="A24" s="7">
        <v>63</v>
      </c>
      <c r="F24">
        <f t="shared" si="1"/>
        <v>65.258300850861119</v>
      </c>
      <c r="G24">
        <f t="shared" si="1"/>
        <v>12.796297519741577</v>
      </c>
      <c r="H24">
        <f t="shared" si="1"/>
        <v>3.9396225890239958</v>
      </c>
      <c r="J24">
        <f t="shared" si="0"/>
        <v>2.7806850701169368</v>
      </c>
      <c r="K24">
        <f t="shared" si="0"/>
        <v>1.0841785730429672</v>
      </c>
      <c r="L24">
        <f t="shared" si="0"/>
        <v>4.2918589246534138</v>
      </c>
      <c r="M24">
        <f t="shared" si="0"/>
        <v>2.6885403228891027</v>
      </c>
      <c r="N24">
        <f t="shared" si="0"/>
        <v>6.647287293413215</v>
      </c>
      <c r="O24">
        <f t="shared" si="0"/>
        <v>3.6990030981498032</v>
      </c>
      <c r="P24">
        <f t="shared" si="0"/>
        <v>51.668863072905623</v>
      </c>
      <c r="Q24">
        <f t="shared" si="0"/>
        <v>7.550305816245988</v>
      </c>
      <c r="R24">
        <f t="shared" si="0"/>
        <v>0.15508134816458094</v>
      </c>
      <c r="S24">
        <f t="shared" si="0"/>
        <v>57.775799659933725</v>
      </c>
      <c r="T24">
        <f t="shared" si="0"/>
        <v>16.333960381235851</v>
      </c>
      <c r="U24">
        <f t="shared" si="0"/>
        <v>1.9951945645030615</v>
      </c>
      <c r="X24" s="4"/>
    </row>
    <row r="25" spans="1:24" x14ac:dyDescent="0.25">
      <c r="A25" s="7">
        <v>64</v>
      </c>
      <c r="F25">
        <f t="shared" si="1"/>
        <v>69.060831222347744</v>
      </c>
      <c r="G25">
        <f t="shared" si="1"/>
        <v>12.579317483937432</v>
      </c>
      <c r="H25">
        <f t="shared" si="1"/>
        <v>3.1189500977937921</v>
      </c>
      <c r="J25">
        <f t="shared" si="0"/>
        <v>2.8273105960693363</v>
      </c>
      <c r="K25">
        <f t="shared" si="0"/>
        <v>0.2662579068644772</v>
      </c>
      <c r="L25">
        <f t="shared" si="0"/>
        <v>2.8088964978375874</v>
      </c>
      <c r="M25">
        <f t="shared" si="0"/>
        <v>1.5428028248222043</v>
      </c>
      <c r="N25">
        <f t="shared" si="0"/>
        <v>6.0119542335007194</v>
      </c>
      <c r="O25">
        <f t="shared" si="0"/>
        <v>3.5106229439663967</v>
      </c>
      <c r="P25">
        <f t="shared" si="0"/>
        <v>55.954970064648414</v>
      </c>
      <c r="Q25">
        <f t="shared" si="0"/>
        <v>8.1574455166647581</v>
      </c>
      <c r="R25">
        <f t="shared" si="0"/>
        <v>0.20703418552452807</v>
      </c>
      <c r="S25">
        <f t="shared" si="0"/>
        <v>63.161352291559872</v>
      </c>
      <c r="T25">
        <f t="shared" si="0"/>
        <v>15.787352002906442</v>
      </c>
      <c r="U25">
        <f t="shared" si="0"/>
        <v>0.99933808782031819</v>
      </c>
      <c r="X25" s="4"/>
    </row>
    <row r="26" spans="1:24" x14ac:dyDescent="0.25">
      <c r="A26" s="7">
        <v>65</v>
      </c>
      <c r="F26">
        <f t="shared" si="1"/>
        <v>26.882161324859336</v>
      </c>
      <c r="G26">
        <f t="shared" si="1"/>
        <v>6.8379689742363148</v>
      </c>
      <c r="H26">
        <f t="shared" si="1"/>
        <v>1.0392036265062985</v>
      </c>
      <c r="J26">
        <f t="shared" si="0"/>
        <v>1.3667737306088978E-3</v>
      </c>
      <c r="K26">
        <f t="shared" si="0"/>
        <v>1.0287250279049636</v>
      </c>
      <c r="L26">
        <f t="shared" si="0"/>
        <v>3.0711405726781931</v>
      </c>
      <c r="M26">
        <f t="shared" si="0"/>
        <v>1.2414861386364153</v>
      </c>
      <c r="N26">
        <f t="shared" si="0"/>
        <v>1.5007175562085697</v>
      </c>
      <c r="O26">
        <f t="shared" si="0"/>
        <v>0.97633203489828924</v>
      </c>
      <c r="P26">
        <f t="shared" si="0"/>
        <v>19.632793457709742</v>
      </c>
      <c r="Q26">
        <f t="shared" si="0"/>
        <v>1.6305610606164149</v>
      </c>
      <c r="R26">
        <f t="shared" si="0"/>
        <v>0.90571539215016283</v>
      </c>
      <c r="S26">
        <f t="shared" si="0"/>
        <v>24.825166860292946</v>
      </c>
      <c r="T26">
        <f t="shared" si="0"/>
        <v>3.6971229412970681</v>
      </c>
      <c r="U26">
        <f t="shared" si="0"/>
        <v>0.95173010774732913</v>
      </c>
      <c r="X26" s="4"/>
    </row>
    <row r="27" spans="1:24" x14ac:dyDescent="0.25">
      <c r="A27" s="7">
        <v>66</v>
      </c>
      <c r="F27">
        <f t="shared" si="1"/>
        <v>52.857667768981528</v>
      </c>
      <c r="G27">
        <f t="shared" si="1"/>
        <v>14.386044025787488</v>
      </c>
      <c r="H27">
        <f t="shared" si="1"/>
        <v>4.0192738083308281</v>
      </c>
      <c r="J27">
        <f t="shared" si="0"/>
        <v>2.7795871329792563</v>
      </c>
      <c r="K27">
        <f t="shared" si="0"/>
        <v>1.1661990179376691</v>
      </c>
      <c r="L27">
        <f t="shared" si="0"/>
        <v>3.8906704078564989</v>
      </c>
      <c r="M27">
        <f t="shared" si="0"/>
        <v>2.4488926746166952</v>
      </c>
      <c r="N27">
        <f t="shared" si="0"/>
        <v>6.4848682232688644</v>
      </c>
      <c r="O27">
        <f t="shared" si="0"/>
        <v>4.3153121555266063</v>
      </c>
      <c r="P27">
        <f t="shared" si="0"/>
        <v>37.702926144904296</v>
      </c>
      <c r="Q27">
        <f t="shared" si="0"/>
        <v>4.3716805291111331</v>
      </c>
      <c r="R27">
        <f t="shared" si="0"/>
        <v>0.37704178775428399</v>
      </c>
      <c r="S27">
        <f t="shared" si="0"/>
        <v>47.4776196679694</v>
      </c>
      <c r="T27">
        <f t="shared" si="0"/>
        <v>11.251127367471691</v>
      </c>
      <c r="U27">
        <f t="shared" si="0"/>
        <v>5.8456091124695193E-2</v>
      </c>
      <c r="X27" s="4"/>
    </row>
    <row r="28" spans="1:24" x14ac:dyDescent="0.25">
      <c r="A28" s="7">
        <v>67</v>
      </c>
      <c r="F28">
        <f t="shared" si="1"/>
        <v>48.770474930157327</v>
      </c>
      <c r="G28">
        <f t="shared" si="1"/>
        <v>7.9782384943390676</v>
      </c>
      <c r="H28">
        <f t="shared" si="1"/>
        <v>1.276871048375239</v>
      </c>
      <c r="J28">
        <f t="shared" si="0"/>
        <v>0.79517717982649605</v>
      </c>
      <c r="K28">
        <f t="shared" si="0"/>
        <v>0.46816644611086605</v>
      </c>
      <c r="L28">
        <f t="shared" si="0"/>
        <v>2.9119247169533891</v>
      </c>
      <c r="M28">
        <f t="shared" si="0"/>
        <v>2.0967504778709012</v>
      </c>
      <c r="N28">
        <f t="shared" si="0"/>
        <v>1.7220996912218791</v>
      </c>
      <c r="O28">
        <f t="shared" si="0"/>
        <v>1.1380679311865902</v>
      </c>
      <c r="P28">
        <f t="shared" si="0"/>
        <v>39.85649169239818</v>
      </c>
      <c r="Q28">
        <f t="shared" si="0"/>
        <v>2.8778120864578738</v>
      </c>
      <c r="R28">
        <f t="shared" si="0"/>
        <v>1.321570357300397</v>
      </c>
      <c r="S28">
        <f t="shared" si="0"/>
        <v>45.368034112630497</v>
      </c>
      <c r="T28">
        <f t="shared" si="0"/>
        <v>5.9003087781208645</v>
      </c>
      <c r="U28">
        <f t="shared" si="0"/>
        <v>0.62931921776209376</v>
      </c>
      <c r="X28" s="4"/>
    </row>
    <row r="29" spans="1:24" x14ac:dyDescent="0.25">
      <c r="A29" s="7">
        <v>68</v>
      </c>
      <c r="F29">
        <f t="shared" si="1"/>
        <v>63.356237423614395</v>
      </c>
      <c r="G29">
        <f t="shared" si="1"/>
        <v>12.396954776012834</v>
      </c>
      <c r="H29">
        <f t="shared" si="1"/>
        <v>3.7073098357767456</v>
      </c>
      <c r="J29">
        <f t="shared" si="0"/>
        <v>1.2421064344729742</v>
      </c>
      <c r="K29">
        <f t="shared" si="0"/>
        <v>2.3747925186153691</v>
      </c>
      <c r="L29">
        <f t="shared" si="0"/>
        <v>4.1473094648603039</v>
      </c>
      <c r="M29">
        <f t="shared" si="0"/>
        <v>3.1606717296760971</v>
      </c>
      <c r="N29">
        <f t="shared" si="0"/>
        <v>5.5781196390983023</v>
      </c>
      <c r="O29">
        <f t="shared" si="0"/>
        <v>3.3127474708135125</v>
      </c>
      <c r="P29">
        <f t="shared" si="0"/>
        <v>50.229040902810617</v>
      </c>
      <c r="Q29">
        <f t="shared" si="0"/>
        <v>5.2452221325840824</v>
      </c>
      <c r="R29">
        <f t="shared" si="0"/>
        <v>0.75991506013482812</v>
      </c>
      <c r="S29">
        <f t="shared" si="0"/>
        <v>57.729435001530028</v>
      </c>
      <c r="T29">
        <f t="shared" si="0"/>
        <v>11.85170760656893</v>
      </c>
      <c r="U29">
        <f t="shared" si="0"/>
        <v>1.48505670385104</v>
      </c>
      <c r="X29" s="4"/>
    </row>
    <row r="30" spans="1:24" x14ac:dyDescent="0.25">
      <c r="A30" s="7">
        <v>69</v>
      </c>
      <c r="F30">
        <f t="shared" si="1"/>
        <v>70.038769010598429</v>
      </c>
      <c r="G30">
        <f t="shared" si="1"/>
        <v>17.470688633817606</v>
      </c>
      <c r="H30">
        <f t="shared" si="1"/>
        <v>5.3901241664076203</v>
      </c>
      <c r="J30">
        <f t="shared" si="0"/>
        <v>3.6921470759016288</v>
      </c>
      <c r="K30">
        <f t="shared" si="0"/>
        <v>1.6158642087544062</v>
      </c>
      <c r="L30">
        <f t="shared" si="0"/>
        <v>7.9526325976410144</v>
      </c>
      <c r="M30">
        <f t="shared" si="0"/>
        <v>4.7226637418840216</v>
      </c>
      <c r="N30">
        <f t="shared" si="0"/>
        <v>7.5942685208537393</v>
      </c>
      <c r="O30">
        <f t="shared" si="0"/>
        <v>4.9420224402775412</v>
      </c>
      <c r="P30">
        <f t="shared" si="0"/>
        <v>51.926426857950581</v>
      </c>
      <c r="Q30">
        <f t="shared" si="0"/>
        <v>6.1385244315149237</v>
      </c>
      <c r="R30">
        <f t="shared" si="0"/>
        <v>1.3988515926966456</v>
      </c>
      <c r="S30">
        <f t="shared" si="0"/>
        <v>62.096693783468332</v>
      </c>
      <c r="T30">
        <f t="shared" si="0"/>
        <v>13.743350322879582</v>
      </c>
      <c r="U30">
        <f t="shared" si="0"/>
        <v>1.4129280867112031</v>
      </c>
      <c r="X30" s="4"/>
    </row>
    <row r="31" spans="1:24" x14ac:dyDescent="0.25">
      <c r="A31" s="7">
        <v>70</v>
      </c>
      <c r="F31">
        <f t="shared" si="1"/>
        <v>77.084513883267221</v>
      </c>
      <c r="G31">
        <f t="shared" si="1"/>
        <v>19.222918666373698</v>
      </c>
      <c r="H31">
        <f t="shared" si="1"/>
        <v>4.9386499520070313</v>
      </c>
      <c r="J31">
        <f t="shared" si="0"/>
        <v>3.9458315504620045</v>
      </c>
      <c r="K31">
        <f t="shared" si="0"/>
        <v>0.92140717697262664</v>
      </c>
      <c r="L31">
        <f t="shared" si="0"/>
        <v>6.541788576516983</v>
      </c>
      <c r="M31">
        <f t="shared" si="0"/>
        <v>4.3774791548611676</v>
      </c>
      <c r="N31">
        <f t="shared" si="0"/>
        <v>8.6121358605775349</v>
      </c>
      <c r="O31">
        <f t="shared" si="0"/>
        <v>5.6507383978443642</v>
      </c>
      <c r="P31">
        <f t="shared" si="0"/>
        <v>56.408796012535994</v>
      </c>
      <c r="Q31">
        <f t="shared" si="0"/>
        <v>8.5823570908165738</v>
      </c>
      <c r="R31">
        <f t="shared" si="0"/>
        <v>0.66640839125255869</v>
      </c>
      <c r="S31">
        <f t="shared" si="0"/>
        <v>69.41922725538042</v>
      </c>
      <c r="T31">
        <f t="shared" si="0"/>
        <v>17.158642781973146</v>
      </c>
      <c r="U31">
        <f t="shared" si="0"/>
        <v>4.596916885429797E-2</v>
      </c>
      <c r="X31" s="4"/>
    </row>
    <row r="32" spans="1:24" x14ac:dyDescent="0.25">
      <c r="A32" s="7">
        <v>71</v>
      </c>
      <c r="F32">
        <f t="shared" si="1"/>
        <v>62.131639722863738</v>
      </c>
      <c r="G32">
        <f t="shared" si="1"/>
        <v>20.839953810623555</v>
      </c>
      <c r="H32">
        <f t="shared" si="1"/>
        <v>5.726789838337182</v>
      </c>
      <c r="J32">
        <f t="shared" si="0"/>
        <v>5.31108545034642</v>
      </c>
      <c r="K32">
        <f t="shared" si="0"/>
        <v>0.39284064665127022</v>
      </c>
      <c r="L32">
        <f t="shared" si="0"/>
        <v>5.1849884526558894</v>
      </c>
      <c r="M32">
        <f t="shared" si="0"/>
        <v>3.8032332563510391</v>
      </c>
      <c r="N32">
        <f t="shared" si="0"/>
        <v>11.313625866050808</v>
      </c>
      <c r="O32">
        <f t="shared" si="0"/>
        <v>8.5277136258660509</v>
      </c>
      <c r="P32">
        <f t="shared" si="0"/>
        <v>40.778752886836031</v>
      </c>
      <c r="Q32">
        <f t="shared" si="0"/>
        <v>2.4524249422632796</v>
      </c>
      <c r="R32">
        <f t="shared" si="0"/>
        <v>0.75819861431870672</v>
      </c>
      <c r="S32">
        <f t="shared" si="0"/>
        <v>56.053117782909929</v>
      </c>
      <c r="T32">
        <f t="shared" si="0"/>
        <v>9.9332563510392617</v>
      </c>
      <c r="U32">
        <f t="shared" si="0"/>
        <v>1.4263279445727484</v>
      </c>
      <c r="X32" s="4"/>
    </row>
    <row r="33" spans="1:24" x14ac:dyDescent="0.25">
      <c r="A33" s="7">
        <v>72</v>
      </c>
      <c r="F33">
        <f t="shared" si="1"/>
        <v>60.204010026469653</v>
      </c>
      <c r="G33">
        <f t="shared" si="1"/>
        <v>20.4052130905498</v>
      </c>
      <c r="H33">
        <f t="shared" si="1"/>
        <v>5.1763193424971297</v>
      </c>
      <c r="J33">
        <f t="shared" si="0"/>
        <v>9.8243683632883005E-3</v>
      </c>
      <c r="K33">
        <f t="shared" si="0"/>
        <v>5.1471269336462164</v>
      </c>
      <c r="L33">
        <f t="shared" si="0"/>
        <v>12.841010843295711</v>
      </c>
      <c r="M33">
        <f t="shared" si="0"/>
        <v>3.6987343406585693</v>
      </c>
      <c r="N33">
        <f t="shared" si="0"/>
        <v>5.3674734812228255</v>
      </c>
      <c r="O33">
        <f t="shared" si="0"/>
        <v>2.7525073191544305</v>
      </c>
      <c r="P33">
        <f t="shared" si="0"/>
        <v>39.419857013335879</v>
      </c>
      <c r="Q33">
        <f t="shared" si="0"/>
        <v>3.2529887132042319</v>
      </c>
      <c r="R33">
        <f t="shared" si="0"/>
        <v>0.62595261286094028</v>
      </c>
      <c r="S33">
        <f t="shared" si="0"/>
        <v>50.820896150812473</v>
      </c>
      <c r="T33">
        <f t="shared" si="0"/>
        <v>10.736350443640406</v>
      </c>
      <c r="U33">
        <f t="shared" si="0"/>
        <v>1.9906977266411607</v>
      </c>
      <c r="X33" s="4"/>
    </row>
    <row r="34" spans="1:24" x14ac:dyDescent="0.25">
      <c r="A34" s="7">
        <v>73</v>
      </c>
      <c r="F34">
        <f t="shared" si="1"/>
        <v>65.826449398362939</v>
      </c>
      <c r="G34">
        <f t="shared" si="1"/>
        <v>17.544604126588965</v>
      </c>
      <c r="H34">
        <f t="shared" si="1"/>
        <v>4.8423295990343629</v>
      </c>
      <c r="J34">
        <f t="shared" si="0"/>
        <v>2.2094602240579384</v>
      </c>
      <c r="K34">
        <f t="shared" si="0"/>
        <v>2.5593150013202068</v>
      </c>
      <c r="L34">
        <f t="shared" si="0"/>
        <v>7.1941835464524164</v>
      </c>
      <c r="M34">
        <f t="shared" si="0"/>
        <v>4.0388895175587489</v>
      </c>
      <c r="N34">
        <f t="shared" si="0"/>
        <v>8.355022443514013</v>
      </c>
      <c r="O34">
        <f t="shared" si="0"/>
        <v>4.7131379427407492</v>
      </c>
      <c r="P34">
        <f t="shared" si="0"/>
        <v>47.724529440609558</v>
      </c>
      <c r="Q34">
        <f t="shared" si="0"/>
        <v>5.3100599751046733</v>
      </c>
      <c r="R34">
        <f t="shared" si="0"/>
        <v>3.5985062804119043</v>
      </c>
      <c r="S34">
        <f t="shared" si="0"/>
        <v>60.578627739428917</v>
      </c>
      <c r="T34">
        <f t="shared" si="0"/>
        <v>13.034212213798046</v>
      </c>
      <c r="U34">
        <f t="shared" si="0"/>
        <v>0.45830032816566707</v>
      </c>
      <c r="X34" s="4"/>
    </row>
    <row r="35" spans="1:24" x14ac:dyDescent="0.25">
      <c r="A35" s="7">
        <v>74</v>
      </c>
      <c r="F35">
        <f t="shared" si="1"/>
        <v>78.725504582260584</v>
      </c>
      <c r="G35">
        <f t="shared" si="1"/>
        <v>30.455691474460735</v>
      </c>
      <c r="H35">
        <f t="shared" si="1"/>
        <v>5.6251083868041567</v>
      </c>
      <c r="J35">
        <f t="shared" si="0"/>
        <v>4.7320011205528063</v>
      </c>
      <c r="K35">
        <f t="shared" si="0"/>
        <v>0.80206235075970811</v>
      </c>
      <c r="L35">
        <f t="shared" si="0"/>
        <v>7.6937956058322108</v>
      </c>
      <c r="M35">
        <f t="shared" si="0"/>
        <v>3.5093979696650348</v>
      </c>
      <c r="N35">
        <f t="shared" si="0"/>
        <v>11.144164454464203</v>
      </c>
      <c r="O35">
        <f t="shared" si="0"/>
        <v>7.015460960740632</v>
      </c>
      <c r="P35">
        <f t="shared" si="0"/>
        <v>47.081893734242229</v>
      </c>
      <c r="Q35">
        <f t="shared" si="0"/>
        <v>8.6932886890866161</v>
      </c>
      <c r="R35">
        <f t="shared" si="0"/>
        <v>0.58962421461254222</v>
      </c>
      <c r="S35">
        <f t="shared" si="0"/>
        <v>70.565145471766073</v>
      </c>
      <c r="T35">
        <f t="shared" si="0"/>
        <v>23.586302575937463</v>
      </c>
      <c r="U35">
        <f t="shared" si="0"/>
        <v>1.5374251297306671</v>
      </c>
      <c r="X35" s="3"/>
    </row>
    <row r="36" spans="1:24" x14ac:dyDescent="0.25">
      <c r="A36" s="7">
        <v>75</v>
      </c>
      <c r="F36">
        <f t="shared" si="1"/>
        <v>75.284174018476151</v>
      </c>
      <c r="G36">
        <f t="shared" si="1"/>
        <v>19.332292389951959</v>
      </c>
      <c r="H36">
        <f t="shared" si="1"/>
        <v>5.4642478244165842</v>
      </c>
      <c r="J36">
        <f t="shared" si="0"/>
        <v>4.6761385465093737</v>
      </c>
      <c r="K36">
        <f t="shared" si="0"/>
        <v>0.71867388982683444</v>
      </c>
      <c r="L36">
        <f t="shared" si="0"/>
        <v>8.1175960552240429</v>
      </c>
      <c r="M36">
        <f t="shared" si="0"/>
        <v>6.2890133478078507</v>
      </c>
      <c r="N36">
        <f t="shared" si="0"/>
        <v>5.4889202973385451</v>
      </c>
      <c r="O36">
        <f t="shared" si="0"/>
        <v>2.919458474465753</v>
      </c>
      <c r="P36">
        <f t="shared" si="0"/>
        <v>55.155313217043741</v>
      </c>
      <c r="Q36">
        <f t="shared" si="0"/>
        <v>4.5348005230564263</v>
      </c>
      <c r="R36">
        <f t="shared" si="0"/>
        <v>0.43176827613431695</v>
      </c>
      <c r="S36">
        <f t="shared" si="0"/>
        <v>67.790086600379951</v>
      </c>
      <c r="T36">
        <f t="shared" si="0"/>
        <v>12.660150784055944</v>
      </c>
      <c r="U36">
        <f>100*U17/$E17</f>
        <v>1.1610160829277061</v>
      </c>
      <c r="X36" s="4"/>
    </row>
    <row r="37" spans="1:24" x14ac:dyDescent="0.25">
      <c r="X37" s="4"/>
    </row>
    <row r="38" spans="1:24" s="8" customFormat="1" x14ac:dyDescent="0.25">
      <c r="A38" s="8" t="s">
        <v>86</v>
      </c>
      <c r="B38" s="9" t="s">
        <v>70</v>
      </c>
      <c r="C38" s="9"/>
      <c r="D38" s="9" t="s">
        <v>324</v>
      </c>
      <c r="E38" s="8" t="s">
        <v>325</v>
      </c>
      <c r="F38" s="9" t="s">
        <v>326</v>
      </c>
      <c r="G38" s="9" t="s">
        <v>327</v>
      </c>
      <c r="H38" s="3" t="s">
        <v>328</v>
      </c>
      <c r="I38" s="24"/>
      <c r="J38" s="3" t="s">
        <v>330</v>
      </c>
      <c r="K38" s="3" t="s">
        <v>331</v>
      </c>
      <c r="M38" s="3" t="s">
        <v>17</v>
      </c>
      <c r="O38" s="3" t="s">
        <v>332</v>
      </c>
      <c r="R38" s="4" t="s">
        <v>333</v>
      </c>
      <c r="U38" s="4" t="s">
        <v>334</v>
      </c>
    </row>
    <row r="39" spans="1:24" x14ac:dyDescent="0.25">
      <c r="A39" s="8">
        <v>61</v>
      </c>
      <c r="G39">
        <f t="shared" ref="G39:O53" si="2">100*(G3/$F3)</f>
        <v>31.035692319520258</v>
      </c>
      <c r="H39">
        <f t="shared" si="2"/>
        <v>5.3533674175443986</v>
      </c>
      <c r="J39">
        <f t="shared" si="2"/>
        <v>2.6831706004459139</v>
      </c>
      <c r="K39">
        <f t="shared" si="2"/>
        <v>2.5582378719151229</v>
      </c>
      <c r="L39">
        <f t="shared" si="2"/>
        <v>7.9562927654339974</v>
      </c>
      <c r="M39">
        <f>100*(M3/$F3)</f>
        <v>5.1674098562312603</v>
      </c>
      <c r="N39">
        <f t="shared" ref="N39:U53" si="3">100*(N3/$F3)</f>
        <v>10.638021834396863</v>
      </c>
      <c r="O39">
        <f t="shared" si="3"/>
        <v>5.0266202813869452</v>
      </c>
      <c r="P39">
        <f t="shared" si="3"/>
        <v>67.523256707926507</v>
      </c>
      <c r="Q39">
        <f t="shared" si="3"/>
        <v>7.9356308141769816</v>
      </c>
      <c r="R39">
        <f t="shared" si="3"/>
        <v>0.5458599215806873</v>
      </c>
      <c r="S39">
        <f t="shared" si="3"/>
        <v>94.163719535634655</v>
      </c>
      <c r="T39">
        <f t="shared" si="3"/>
        <v>22.669524102406395</v>
      </c>
      <c r="U39">
        <f t="shared" si="3"/>
        <v>3.6225686168985929</v>
      </c>
      <c r="X39" s="4"/>
    </row>
    <row r="40" spans="1:24" x14ac:dyDescent="0.25">
      <c r="A40" s="8">
        <v>62</v>
      </c>
      <c r="G40">
        <f t="shared" si="2"/>
        <v>33.998033813552119</v>
      </c>
      <c r="H40">
        <f t="shared" si="2"/>
        <v>3.1228381051788379</v>
      </c>
      <c r="J40">
        <f t="shared" si="2"/>
        <v>2.6264367118565897</v>
      </c>
      <c r="K40">
        <f t="shared" si="2"/>
        <v>0.45999053317636207</v>
      </c>
      <c r="L40">
        <f t="shared" si="2"/>
        <v>7.9539523988688359</v>
      </c>
      <c r="M40">
        <f t="shared" si="2"/>
        <v>5.2237447355964708</v>
      </c>
      <c r="N40">
        <f t="shared" si="2"/>
        <v>8.3144199143131097</v>
      </c>
      <c r="O40">
        <f t="shared" si="2"/>
        <v>5.4270387047443354</v>
      </c>
      <c r="P40">
        <f t="shared" si="3"/>
        <v>62.945274477200726</v>
      </c>
      <c r="Q40">
        <f t="shared" si="3"/>
        <v>7.7597611447574435</v>
      </c>
      <c r="R40">
        <f t="shared" si="3"/>
        <v>0.50611095602781786</v>
      </c>
      <c r="S40">
        <f t="shared" si="3"/>
        <v>90.945225929387206</v>
      </c>
      <c r="T40">
        <f t="shared" si="3"/>
        <v>24.267231439564043</v>
      </c>
      <c r="U40">
        <f t="shared" si="3"/>
        <v>0.90784411297076206</v>
      </c>
      <c r="X40" s="4"/>
    </row>
    <row r="41" spans="1:24" x14ac:dyDescent="0.25">
      <c r="A41" s="8">
        <v>63</v>
      </c>
      <c r="G41">
        <f t="shared" si="2"/>
        <v>19.608689397209034</v>
      </c>
      <c r="H41">
        <f t="shared" si="2"/>
        <v>6.0369677690926427</v>
      </c>
      <c r="J41">
        <f t="shared" si="2"/>
        <v>4.2610442409032538</v>
      </c>
      <c r="K41">
        <f t="shared" si="2"/>
        <v>1.6613650047688315</v>
      </c>
      <c r="L41">
        <f t="shared" si="2"/>
        <v>6.5767249050229921</v>
      </c>
      <c r="M41">
        <f t="shared" si="2"/>
        <v>4.1198442004081484</v>
      </c>
      <c r="N41">
        <f t="shared" si="2"/>
        <v>10.186117638282795</v>
      </c>
      <c r="O41">
        <f t="shared" si="2"/>
        <v>5.6682491727808948</v>
      </c>
      <c r="P41">
        <f t="shared" si="3"/>
        <v>79.175924593850084</v>
      </c>
      <c r="Q41">
        <f t="shared" si="3"/>
        <v>11.569878035134833</v>
      </c>
      <c r="R41">
        <f t="shared" si="3"/>
        <v>0.23764233230497075</v>
      </c>
      <c r="S41">
        <f t="shared" si="3"/>
        <v>88.534023881455909</v>
      </c>
      <c r="T41">
        <f t="shared" si="3"/>
        <v>25.029705291538125</v>
      </c>
      <c r="U41">
        <f t="shared" si="3"/>
        <v>3.0573804994751619</v>
      </c>
      <c r="X41" s="4"/>
    </row>
    <row r="42" spans="1:24" x14ac:dyDescent="0.25">
      <c r="A42" s="8">
        <v>64</v>
      </c>
      <c r="G42">
        <f t="shared" si="2"/>
        <v>18.214836487323986</v>
      </c>
      <c r="H42">
        <f t="shared" si="2"/>
        <v>4.5162359655823474</v>
      </c>
      <c r="J42">
        <f t="shared" si="2"/>
        <v>4.0939423201648815</v>
      </c>
      <c r="K42">
        <f t="shared" si="2"/>
        <v>0.38554112678898289</v>
      </c>
      <c r="L42">
        <f t="shared" si="2"/>
        <v>4.0672787282187279</v>
      </c>
      <c r="M42">
        <f t="shared" si="2"/>
        <v>2.2339766225156019</v>
      </c>
      <c r="N42">
        <f t="shared" si="2"/>
        <v>8.7053024516091835</v>
      </c>
      <c r="O42">
        <f t="shared" si="2"/>
        <v>5.0833777726532432</v>
      </c>
      <c r="P42">
        <f t="shared" si="3"/>
        <v>81.022728910540039</v>
      </c>
      <c r="Q42">
        <f t="shared" si="3"/>
        <v>11.811971232146202</v>
      </c>
      <c r="R42">
        <f t="shared" si="3"/>
        <v>0.29978524998919043</v>
      </c>
      <c r="S42">
        <f t="shared" si="3"/>
        <v>91.457561650548399</v>
      </c>
      <c r="T42">
        <f t="shared" si="3"/>
        <v>22.860066586916101</v>
      </c>
      <c r="U42">
        <f t="shared" si="3"/>
        <v>1.447040341293977</v>
      </c>
      <c r="X42" s="4"/>
    </row>
    <row r="43" spans="1:24" x14ac:dyDescent="0.25">
      <c r="A43" s="8">
        <v>65</v>
      </c>
      <c r="G43">
        <f t="shared" si="2"/>
        <v>25.436827387509531</v>
      </c>
      <c r="H43">
        <f t="shared" si="2"/>
        <v>3.8657740869417845</v>
      </c>
      <c r="J43">
        <f t="shared" si="2"/>
        <v>5.0843148885687658E-3</v>
      </c>
      <c r="K43">
        <f t="shared" si="2"/>
        <v>3.826794339462757</v>
      </c>
      <c r="L43">
        <f t="shared" si="2"/>
        <v>11.424455554614015</v>
      </c>
      <c r="M43">
        <f t="shared" si="2"/>
        <v>4.6182526904499612</v>
      </c>
      <c r="N43">
        <f t="shared" si="2"/>
        <v>5.5825777476485046</v>
      </c>
      <c r="O43">
        <f t="shared" si="2"/>
        <v>3.6318956020676216</v>
      </c>
      <c r="P43">
        <f t="shared" si="3"/>
        <v>73.03279383103127</v>
      </c>
      <c r="Q43">
        <f t="shared" si="3"/>
        <v>6.0655876620625371</v>
      </c>
      <c r="R43">
        <f t="shared" si="3"/>
        <v>3.3692059994915686</v>
      </c>
      <c r="S43">
        <f t="shared" si="3"/>
        <v>92.348106092704001</v>
      </c>
      <c r="T43">
        <f t="shared" si="3"/>
        <v>13.75307177357851</v>
      </c>
      <c r="U43">
        <f t="shared" si="3"/>
        <v>3.5403779340733834</v>
      </c>
      <c r="X43" s="4"/>
    </row>
    <row r="44" spans="1:24" x14ac:dyDescent="0.25">
      <c r="A44" s="8">
        <v>66</v>
      </c>
      <c r="G44">
        <f t="shared" si="2"/>
        <v>27.216569767441861</v>
      </c>
      <c r="H44">
        <f t="shared" si="2"/>
        <v>7.6039560161779578</v>
      </c>
      <c r="J44">
        <f t="shared" si="2"/>
        <v>5.2586261375126391</v>
      </c>
      <c r="K44">
        <f t="shared" si="2"/>
        <v>2.2063005561172901</v>
      </c>
      <c r="L44">
        <f t="shared" si="2"/>
        <v>7.3606547017189081</v>
      </c>
      <c r="M44">
        <f t="shared" si="2"/>
        <v>4.6329941860465116</v>
      </c>
      <c r="N44">
        <f t="shared" si="2"/>
        <v>12.268547775530839</v>
      </c>
      <c r="O44">
        <f t="shared" si="2"/>
        <v>8.1640230030333676</v>
      </c>
      <c r="P44">
        <f t="shared" si="3"/>
        <v>71.329151921132464</v>
      </c>
      <c r="Q44">
        <f t="shared" si="3"/>
        <v>8.2706648129423659</v>
      </c>
      <c r="R44">
        <f t="shared" si="3"/>
        <v>0.71331521739130432</v>
      </c>
      <c r="S44">
        <f t="shared" si="3"/>
        <v>89.82163169868555</v>
      </c>
      <c r="T44">
        <f t="shared" si="3"/>
        <v>21.285705257836199</v>
      </c>
      <c r="U44">
        <f t="shared" si="3"/>
        <v>0.11059150657229526</v>
      </c>
      <c r="X44" s="4"/>
    </row>
    <row r="45" spans="1:24" x14ac:dyDescent="0.25">
      <c r="A45" s="8">
        <v>67</v>
      </c>
      <c r="G45">
        <f t="shared" si="2"/>
        <v>16.358746774076842</v>
      </c>
      <c r="H45">
        <f t="shared" si="2"/>
        <v>2.6181230554014614</v>
      </c>
      <c r="J45">
        <f t="shared" si="2"/>
        <v>1.6304478907889342</v>
      </c>
      <c r="K45">
        <f t="shared" si="2"/>
        <v>0.9599382552278044</v>
      </c>
      <c r="L45">
        <f t="shared" si="2"/>
        <v>5.9706712332071099</v>
      </c>
      <c r="M45">
        <f t="shared" si="2"/>
        <v>4.2992209546320641</v>
      </c>
      <c r="N45">
        <f t="shared" si="2"/>
        <v>3.5310291599334311</v>
      </c>
      <c r="O45">
        <f t="shared" si="2"/>
        <v>2.3335182460625647</v>
      </c>
      <c r="P45">
        <f t="shared" si="3"/>
        <v>81.722582668049498</v>
      </c>
      <c r="Q45">
        <f t="shared" si="3"/>
        <v>5.9007259834543309</v>
      </c>
      <c r="R45">
        <f t="shared" si="3"/>
        <v>2.709775451629242</v>
      </c>
      <c r="S45">
        <f t="shared" si="3"/>
        <v>93.023564313451189</v>
      </c>
      <c r="T45">
        <f t="shared" si="3"/>
        <v>12.098116302067002</v>
      </c>
      <c r="U45">
        <f t="shared" si="3"/>
        <v>1.2903692626805914</v>
      </c>
      <c r="X45" s="4"/>
    </row>
    <row r="46" spans="1:24" x14ac:dyDescent="0.25">
      <c r="A46" s="8">
        <v>68</v>
      </c>
      <c r="G46">
        <f t="shared" si="2"/>
        <v>19.567062818336161</v>
      </c>
      <c r="H46">
        <f t="shared" si="2"/>
        <v>5.8515309408114282</v>
      </c>
      <c r="J46">
        <f t="shared" si="2"/>
        <v>1.9605116796440489</v>
      </c>
      <c r="K46">
        <f t="shared" si="2"/>
        <v>3.7483168432761547</v>
      </c>
      <c r="L46">
        <f t="shared" si="2"/>
        <v>6.5460160412153856</v>
      </c>
      <c r="M46">
        <f t="shared" si="2"/>
        <v>4.9887301680229497</v>
      </c>
      <c r="N46">
        <f t="shared" si="2"/>
        <v>8.8043732802529124</v>
      </c>
      <c r="O46">
        <f t="shared" si="2"/>
        <v>5.228762952988701</v>
      </c>
      <c r="P46">
        <f t="shared" si="3"/>
        <v>79.280340729465493</v>
      </c>
      <c r="Q46">
        <f t="shared" si="3"/>
        <v>8.2789356595047128</v>
      </c>
      <c r="R46">
        <f t="shared" si="3"/>
        <v>1.19943211755752</v>
      </c>
      <c r="S46">
        <f t="shared" si="3"/>
        <v>91.118786956267201</v>
      </c>
      <c r="T46">
        <f t="shared" si="3"/>
        <v>18.706457467361396</v>
      </c>
      <c r="U46">
        <f t="shared" si="3"/>
        <v>2.3439786897722614</v>
      </c>
      <c r="X46" s="4"/>
    </row>
    <row r="47" spans="1:24" x14ac:dyDescent="0.25">
      <c r="A47" s="8">
        <v>69</v>
      </c>
      <c r="G47">
        <f t="shared" si="2"/>
        <v>24.944311387274524</v>
      </c>
      <c r="H47">
        <f t="shared" si="2"/>
        <v>7.6959150518364678</v>
      </c>
      <c r="J47">
        <f t="shared" si="2"/>
        <v>5.2715761970958184</v>
      </c>
      <c r="K47">
        <f t="shared" si="2"/>
        <v>2.3070996700554374</v>
      </c>
      <c r="L47">
        <f t="shared" si="2"/>
        <v>11.354615036762858</v>
      </c>
      <c r="M47">
        <f t="shared" si="2"/>
        <v>6.7429279648952383</v>
      </c>
      <c r="N47">
        <f t="shared" si="2"/>
        <v>10.842949737886681</v>
      </c>
      <c r="O47">
        <f t="shared" si="2"/>
        <v>7.0561240725543071</v>
      </c>
      <c r="P47">
        <f t="shared" si="3"/>
        <v>74.139548126685312</v>
      </c>
      <c r="Q47">
        <f t="shared" si="3"/>
        <v>8.7644664779674066</v>
      </c>
      <c r="R47">
        <f t="shared" si="3"/>
        <v>1.9972532533873748</v>
      </c>
      <c r="S47">
        <f t="shared" si="3"/>
        <v>88.660458572696669</v>
      </c>
      <c r="T47">
        <f t="shared" si="3"/>
        <v>19.622489825313615</v>
      </c>
      <c r="U47">
        <f t="shared" si="3"/>
        <v>2.0173513993334113</v>
      </c>
      <c r="X47" s="4"/>
    </row>
    <row r="48" spans="1:24" x14ac:dyDescent="0.25">
      <c r="A48" s="8">
        <v>70</v>
      </c>
      <c r="G48">
        <f t="shared" si="2"/>
        <v>24.937458508830819</v>
      </c>
      <c r="H48">
        <f t="shared" si="2"/>
        <v>6.4067991133548121</v>
      </c>
      <c r="J48">
        <f t="shared" si="2"/>
        <v>5.1188382097568477</v>
      </c>
      <c r="K48">
        <f t="shared" si="2"/>
        <v>1.195320733770155</v>
      </c>
      <c r="L48">
        <f t="shared" si="2"/>
        <v>8.4865146667766851</v>
      </c>
      <c r="M48">
        <f t="shared" si="2"/>
        <v>5.678804904303079</v>
      </c>
      <c r="N48">
        <f t="shared" si="2"/>
        <v>11.172329468950542</v>
      </c>
      <c r="O48">
        <f t="shared" si="2"/>
        <v>7.3305753817187567</v>
      </c>
      <c r="P48">
        <f t="shared" si="3"/>
        <v>73.177857874226902</v>
      </c>
      <c r="Q48">
        <f t="shared" si="3"/>
        <v>11.133698143070928</v>
      </c>
      <c r="R48">
        <f t="shared" si="3"/>
        <v>0.86451656458745119</v>
      </c>
      <c r="S48">
        <f t="shared" si="3"/>
        <v>90.055996669454615</v>
      </c>
      <c r="T48">
        <f t="shared" si="3"/>
        <v>22.259519996399408</v>
      </c>
      <c r="U48">
        <f t="shared" si="3"/>
        <v>5.9634765192800324E-2</v>
      </c>
      <c r="X48" s="4"/>
    </row>
    <row r="49" spans="1:24" x14ac:dyDescent="0.25">
      <c r="A49" s="8">
        <v>71</v>
      </c>
      <c r="G49">
        <f t="shared" si="2"/>
        <v>33.541612459576996</v>
      </c>
      <c r="H49">
        <f t="shared" si="2"/>
        <v>9.2171876742370742</v>
      </c>
      <c r="J49">
        <f t="shared" si="2"/>
        <v>8.5481173103371368</v>
      </c>
      <c r="K49">
        <f t="shared" si="2"/>
        <v>0.63227149388544035</v>
      </c>
      <c r="L49">
        <f t="shared" si="2"/>
        <v>8.3451659666208222</v>
      </c>
      <c r="M49">
        <f t="shared" si="2"/>
        <v>6.1212504181689775</v>
      </c>
      <c r="N49">
        <f t="shared" si="2"/>
        <v>18.209121659294503</v>
      </c>
      <c r="O49">
        <f t="shared" si="2"/>
        <v>13.725235103891759</v>
      </c>
      <c r="P49">
        <f t="shared" si="3"/>
        <v>65.632829052522027</v>
      </c>
      <c r="Q49">
        <f t="shared" si="3"/>
        <v>3.9471434412519053</v>
      </c>
      <c r="R49">
        <f t="shared" si="3"/>
        <v>1.2203100026019404</v>
      </c>
      <c r="S49">
        <f t="shared" si="3"/>
        <v>90.216704456752041</v>
      </c>
      <c r="T49">
        <f t="shared" si="3"/>
        <v>15.987436345388989</v>
      </c>
      <c r="U49">
        <f t="shared" si="3"/>
        <v>2.2956547596922277</v>
      </c>
      <c r="X49" s="4"/>
    </row>
    <row r="50" spans="1:24" x14ac:dyDescent="0.25">
      <c r="A50" s="8">
        <v>72</v>
      </c>
      <c r="G50">
        <f t="shared" si="2"/>
        <v>33.893445107025798</v>
      </c>
      <c r="H50">
        <f t="shared" si="2"/>
        <v>8.59796438845399</v>
      </c>
      <c r="J50">
        <f t="shared" si="2"/>
        <v>1.6318461775168897E-2</v>
      </c>
      <c r="K50">
        <f t="shared" si="2"/>
        <v>8.5494752448934861</v>
      </c>
      <c r="L50">
        <f t="shared" si="2"/>
        <v>21.329162023675757</v>
      </c>
      <c r="M50">
        <f t="shared" si="2"/>
        <v>6.1436677374685864</v>
      </c>
      <c r="N50">
        <f t="shared" si="2"/>
        <v>8.9154750304222752</v>
      </c>
      <c r="O50">
        <f t="shared" si="2"/>
        <v>4.5719667476373198</v>
      </c>
      <c r="P50">
        <f t="shared" si="3"/>
        <v>65.477128510217682</v>
      </c>
      <c r="Q50">
        <f t="shared" si="3"/>
        <v>5.4032758146409243</v>
      </c>
      <c r="R50">
        <f t="shared" si="3"/>
        <v>1.0397191359607612</v>
      </c>
      <c r="S50">
        <f t="shared" si="3"/>
        <v>84.41447027941868</v>
      </c>
      <c r="T50">
        <f t="shared" si="3"/>
        <v>17.833281269669573</v>
      </c>
      <c r="U50">
        <f t="shared" si="3"/>
        <v>3.3065865974142232</v>
      </c>
      <c r="X50" s="4"/>
    </row>
    <row r="51" spans="1:24" x14ac:dyDescent="0.25">
      <c r="A51" s="8">
        <v>73</v>
      </c>
      <c r="G51">
        <f t="shared" si="2"/>
        <v>26.652818566005298</v>
      </c>
      <c r="H51">
        <f t="shared" si="2"/>
        <v>7.3562065754602095</v>
      </c>
      <c r="J51">
        <f t="shared" si="2"/>
        <v>3.3564930878876873</v>
      </c>
      <c r="K51">
        <f t="shared" si="2"/>
        <v>3.8879736408566719</v>
      </c>
      <c r="L51">
        <f t="shared" si="2"/>
        <v>10.929016546092686</v>
      </c>
      <c r="M51">
        <f t="shared" si="2"/>
        <v>6.1356636344101423</v>
      </c>
      <c r="N51">
        <f t="shared" si="2"/>
        <v>12.692500537210801</v>
      </c>
      <c r="O51">
        <f t="shared" si="2"/>
        <v>7.1599455626387796</v>
      </c>
      <c r="P51">
        <f t="shared" si="3"/>
        <v>72.500537210801525</v>
      </c>
      <c r="Q51">
        <f t="shared" si="3"/>
        <v>8.0667573956020338</v>
      </c>
      <c r="R51">
        <f t="shared" si="3"/>
        <v>5.4666571162524171</v>
      </c>
      <c r="S51">
        <f t="shared" si="3"/>
        <v>92.027791705465219</v>
      </c>
      <c r="T51">
        <f t="shared" si="3"/>
        <v>19.800873862903803</v>
      </c>
      <c r="U51">
        <f t="shared" si="3"/>
        <v>0.6962251987679966</v>
      </c>
      <c r="X51" s="4"/>
    </row>
    <row r="52" spans="1:24" x14ac:dyDescent="0.25">
      <c r="A52" s="8">
        <v>74</v>
      </c>
      <c r="G52">
        <f t="shared" si="2"/>
        <v>38.685927306616961</v>
      </c>
      <c r="H52">
        <f t="shared" si="2"/>
        <v>7.1452173176311113</v>
      </c>
      <c r="J52">
        <f t="shared" si="2"/>
        <v>6.0107599762772175</v>
      </c>
      <c r="K52">
        <f t="shared" si="2"/>
        <v>1.018808777429467</v>
      </c>
      <c r="L52">
        <f t="shared" si="2"/>
        <v>9.7729390832839105</v>
      </c>
      <c r="M52">
        <f t="shared" si="2"/>
        <v>4.4577649750063539</v>
      </c>
      <c r="N52">
        <f t="shared" si="2"/>
        <v>14.155723121240364</v>
      </c>
      <c r="O52">
        <f t="shared" si="2"/>
        <v>8.9112937388799462</v>
      </c>
      <c r="P52">
        <f t="shared" si="3"/>
        <v>59.805134287892912</v>
      </c>
      <c r="Q52">
        <f t="shared" si="3"/>
        <v>11.042531559772939</v>
      </c>
      <c r="R52">
        <f t="shared" si="3"/>
        <v>0.7489621282724731</v>
      </c>
      <c r="S52">
        <f t="shared" si="3"/>
        <v>89.634414979242564</v>
      </c>
      <c r="T52">
        <f t="shared" si="3"/>
        <v>29.960179615352029</v>
      </c>
      <c r="U52">
        <f t="shared" si="3"/>
        <v>1.952893332203677</v>
      </c>
      <c r="X52" s="4"/>
    </row>
    <row r="53" spans="1:24" x14ac:dyDescent="0.25">
      <c r="A53" s="8">
        <v>75</v>
      </c>
      <c r="G53">
        <f>100*(G17/$F17)</f>
        <v>25.679092109328916</v>
      </c>
      <c r="H53">
        <f t="shared" si="2"/>
        <v>7.2581626824723537</v>
      </c>
      <c r="J53">
        <f t="shared" si="2"/>
        <v>6.2113167972883137</v>
      </c>
      <c r="K53">
        <f t="shared" si="2"/>
        <v>0.95461483000458813</v>
      </c>
      <c r="L53">
        <f t="shared" si="2"/>
        <v>10.782606252984635</v>
      </c>
      <c r="M53">
        <f t="shared" si="2"/>
        <v>8.3536990739440249</v>
      </c>
      <c r="N53">
        <f t="shared" si="2"/>
        <v>7.2909351386274901</v>
      </c>
      <c r="O53">
        <f t="shared" si="2"/>
        <v>3.87791791904267</v>
      </c>
      <c r="P53">
        <f t="shared" si="3"/>
        <v>73.262825734805276</v>
      </c>
      <c r="Q53">
        <f t="shared" si="3"/>
        <v>6.0235774413138943</v>
      </c>
      <c r="R53">
        <f t="shared" si="3"/>
        <v>0.57351798271487031</v>
      </c>
      <c r="S53">
        <f t="shared" si="3"/>
        <v>90.045600531850141</v>
      </c>
      <c r="T53">
        <f t="shared" si="3"/>
        <v>16.816483609090145</v>
      </c>
      <c r="U53">
        <f t="shared" si="3"/>
        <v>1.5421781510716592</v>
      </c>
      <c r="X53" s="4"/>
    </row>
    <row r="54" spans="1:24" s="10" customFormat="1" x14ac:dyDescent="0.25">
      <c r="A54" s="10" t="s">
        <v>87</v>
      </c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1:24" s="10" customFormat="1" ht="27" customHeight="1" x14ac:dyDescent="0.25">
      <c r="A55" s="10" t="s">
        <v>87</v>
      </c>
      <c r="B55" s="22" t="s">
        <v>70</v>
      </c>
      <c r="C55" s="22" t="s">
        <v>335</v>
      </c>
      <c r="D55" s="22" t="s">
        <v>89</v>
      </c>
      <c r="E55" s="21" t="s">
        <v>336</v>
      </c>
      <c r="F55" s="22" t="s">
        <v>326</v>
      </c>
      <c r="G55" s="22" t="s">
        <v>327</v>
      </c>
      <c r="H55" s="17" t="s">
        <v>328</v>
      </c>
      <c r="I55" s="25"/>
      <c r="J55" s="17" t="s">
        <v>330</v>
      </c>
      <c r="K55" s="17" t="s">
        <v>331</v>
      </c>
      <c r="L55" s="21"/>
      <c r="M55" s="17" t="s">
        <v>17</v>
      </c>
      <c r="N55" s="21"/>
      <c r="O55" s="17" t="s">
        <v>332</v>
      </c>
      <c r="P55" s="21"/>
      <c r="Q55" s="21"/>
      <c r="R55" s="18" t="s">
        <v>333</v>
      </c>
      <c r="S55" s="21"/>
      <c r="U55" s="18" t="s">
        <v>334</v>
      </c>
      <c r="V55" s="21"/>
      <c r="W55" s="21"/>
    </row>
    <row r="56" spans="1:24" s="6" customFormat="1" ht="20.100000000000001" customHeight="1" x14ac:dyDescent="0.25">
      <c r="A56" s="10">
        <v>61</v>
      </c>
      <c r="B56" s="1">
        <v>1500000</v>
      </c>
      <c r="C56">
        <v>326306</v>
      </c>
      <c r="D56" s="6">
        <v>6950000</v>
      </c>
      <c r="E56" s="6">
        <f>(C56/B56)*D56</f>
        <v>1511884.4666666666</v>
      </c>
      <c r="H56" s="6">
        <f>H22*$E56</f>
        <v>5161996.666666667</v>
      </c>
      <c r="J56" s="6">
        <f>J22*$E56</f>
        <v>2587253.333333333</v>
      </c>
      <c r="K56" s="6">
        <f>K22*$E56</f>
        <v>2466786.6666666665</v>
      </c>
      <c r="M56" s="6">
        <f>M22*$E56</f>
        <v>4982686.666666666</v>
      </c>
      <c r="O56" s="6">
        <f>O22*$E56</f>
        <v>4846930</v>
      </c>
      <c r="R56" s="6">
        <f>R22*$E56</f>
        <v>526346.66666666663</v>
      </c>
      <c r="U56" s="6">
        <f>U22*$E56</f>
        <v>3493070</v>
      </c>
    </row>
    <row r="57" spans="1:24" s="6" customFormat="1" x14ac:dyDescent="0.25">
      <c r="A57" s="10">
        <v>62</v>
      </c>
      <c r="B57" s="1">
        <v>1240000</v>
      </c>
      <c r="C57">
        <v>218456</v>
      </c>
      <c r="D57" s="6">
        <v>2320000</v>
      </c>
      <c r="E57" s="6">
        <f t="shared" ref="E57:E70" si="4">(C57/B57)*D57</f>
        <v>408724.12903225806</v>
      </c>
      <c r="H57" s="6">
        <f t="shared" ref="H57" si="5">H23*$E57</f>
        <v>962800</v>
      </c>
      <c r="J57" s="6">
        <f t="shared" ref="J57" si="6">J23*$E57</f>
        <v>809754.83870967734</v>
      </c>
      <c r="K57" s="6">
        <f t="shared" ref="K57" si="7">K23*$E57</f>
        <v>141819.35483870967</v>
      </c>
      <c r="M57" s="6">
        <f t="shared" ref="M57" si="8">M23*$E57</f>
        <v>1610529.0322580645</v>
      </c>
      <c r="O57" s="6">
        <f t="shared" ref="O57" si="9">O23*$E57</f>
        <v>1673206.4516129033</v>
      </c>
      <c r="R57" s="6">
        <f t="shared" ref="R57" si="10">R23*$E57</f>
        <v>156038.70967741936</v>
      </c>
      <c r="U57" s="6">
        <f t="shared" ref="U57:U70" si="11">U23*$E57</f>
        <v>279896.77419354836</v>
      </c>
    </row>
    <row r="58" spans="1:24" s="6" customFormat="1" x14ac:dyDescent="0.25">
      <c r="A58" s="10">
        <v>63</v>
      </c>
      <c r="B58" s="1">
        <v>1500000</v>
      </c>
      <c r="C58">
        <v>287591</v>
      </c>
      <c r="D58" s="6">
        <v>4900000</v>
      </c>
      <c r="E58" s="6">
        <f t="shared" si="4"/>
        <v>939463.93333333335</v>
      </c>
      <c r="H58" s="6">
        <f t="shared" ref="H58" si="12">H24*$E58</f>
        <v>3701133.3333333335</v>
      </c>
      <c r="J58" s="6">
        <f t="shared" ref="J58" si="13">J24*$E58</f>
        <v>2612353.3333333335</v>
      </c>
      <c r="K58" s="6">
        <f t="shared" ref="K58" si="14">K24*$E58</f>
        <v>1018546.6666666666</v>
      </c>
      <c r="M58" s="6">
        <f t="shared" ref="M58" si="15">M24*$E58</f>
        <v>2525786.6666666665</v>
      </c>
      <c r="O58" s="6">
        <f t="shared" ref="O58" si="16">O24*$E58</f>
        <v>3475080.0000000005</v>
      </c>
      <c r="R58" s="6">
        <f t="shared" ref="R58" si="17">R24*$E58</f>
        <v>145693.33333333331</v>
      </c>
      <c r="U58" s="6">
        <f t="shared" si="11"/>
        <v>1874413.3333333333</v>
      </c>
    </row>
    <row r="59" spans="1:24" s="6" customFormat="1" x14ac:dyDescent="0.25">
      <c r="A59" s="10">
        <v>64</v>
      </c>
      <c r="B59" s="1">
        <v>784000</v>
      </c>
      <c r="C59">
        <v>200933</v>
      </c>
      <c r="D59" s="6">
        <v>1825000</v>
      </c>
      <c r="E59" s="6">
        <f t="shared" si="4"/>
        <v>467733.06760204077</v>
      </c>
      <c r="H59" s="6">
        <f t="shared" ref="H59" si="18">H25*$E59</f>
        <v>1458836.0969387754</v>
      </c>
      <c r="J59" s="6">
        <f t="shared" ref="J59" si="19">J25*$E59</f>
        <v>1322426.6581632651</v>
      </c>
      <c r="K59" s="6">
        <f t="shared" ref="K59" si="20">K25*$E59</f>
        <v>124537.62755102038</v>
      </c>
      <c r="M59" s="6">
        <f t="shared" ref="M59" si="21">M25*$E59</f>
        <v>721619.89795918355</v>
      </c>
      <c r="O59" s="6">
        <f t="shared" ref="O59" si="22">O25*$E59</f>
        <v>1642034.4387755101</v>
      </c>
      <c r="R59" s="6">
        <f t="shared" ref="R59" si="23">R25*$E59</f>
        <v>96836.734693877544</v>
      </c>
      <c r="U59" s="6">
        <f t="shared" si="11"/>
        <v>467423.46938775503</v>
      </c>
    </row>
    <row r="60" spans="1:24" s="6" customFormat="1" x14ac:dyDescent="0.25">
      <c r="A60" s="10">
        <v>65</v>
      </c>
      <c r="B60" s="1">
        <v>1500000</v>
      </c>
      <c r="C60">
        <v>219495</v>
      </c>
      <c r="D60" s="6">
        <v>1550000</v>
      </c>
      <c r="E60" s="6">
        <f t="shared" si="4"/>
        <v>226811.49999999997</v>
      </c>
      <c r="H60" s="6">
        <f t="shared" ref="H60" si="24">H26*$E60</f>
        <v>235703.33333333328</v>
      </c>
      <c r="J60" s="6">
        <f t="shared" ref="J60" si="25">J26*$E60</f>
        <v>310</v>
      </c>
      <c r="K60" s="6">
        <f t="shared" ref="K60" si="26">K26*$E60</f>
        <v>233326.6666666666</v>
      </c>
      <c r="M60" s="6">
        <f t="shared" ref="M60" si="27">M26*$E60</f>
        <v>281583.33333333326</v>
      </c>
      <c r="O60" s="6">
        <f t="shared" ref="O60" si="28">O26*$E60</f>
        <v>221443.33333333331</v>
      </c>
      <c r="R60" s="6">
        <f t="shared" ref="R60" si="29">R26*$E60</f>
        <v>205426.66666666663</v>
      </c>
      <c r="U60" s="6">
        <f t="shared" si="11"/>
        <v>215863.33333333331</v>
      </c>
    </row>
    <row r="61" spans="1:24" s="6" customFormat="1" x14ac:dyDescent="0.25">
      <c r="A61" s="10">
        <v>66</v>
      </c>
      <c r="B61" s="1">
        <v>1500000</v>
      </c>
      <c r="C61">
        <v>239496</v>
      </c>
      <c r="D61" s="6">
        <v>4125000</v>
      </c>
      <c r="E61" s="6">
        <f t="shared" si="4"/>
        <v>658614</v>
      </c>
      <c r="H61" s="6">
        <f t="shared" ref="H61" si="30">H27*$E61</f>
        <v>2647150</v>
      </c>
      <c r="J61" s="6">
        <f t="shared" ref="J61" si="31">J27*$E61</f>
        <v>1830675</v>
      </c>
      <c r="K61" s="6">
        <f t="shared" ref="K61" si="32">K27*$E61</f>
        <v>768075</v>
      </c>
      <c r="M61" s="6">
        <f t="shared" ref="M61" si="33">M27*$E61</f>
        <v>1612875.0000000002</v>
      </c>
      <c r="O61" s="6">
        <f t="shared" ref="O61" si="34">O27*$E61</f>
        <v>2842125.0000000005</v>
      </c>
      <c r="R61" s="6">
        <f t="shared" ref="R61" si="35">R27*$E61</f>
        <v>248325</v>
      </c>
      <c r="U61" s="6">
        <f t="shared" si="11"/>
        <v>38500</v>
      </c>
    </row>
    <row r="62" spans="1:24" s="6" customFormat="1" x14ac:dyDescent="0.25">
      <c r="A62" s="10">
        <v>67</v>
      </c>
      <c r="B62" s="1">
        <v>992000</v>
      </c>
      <c r="C62">
        <v>170025</v>
      </c>
      <c r="D62" s="6">
        <v>1485000</v>
      </c>
      <c r="E62" s="6">
        <f t="shared" si="4"/>
        <v>254523.31149193548</v>
      </c>
      <c r="H62" s="6">
        <f t="shared" ref="H62" si="36">H28*$E62</f>
        <v>324993.44758064521</v>
      </c>
      <c r="J62" s="6">
        <f t="shared" ref="J62" si="37">J28*$E62</f>
        <v>202391.12903225806</v>
      </c>
      <c r="K62" s="6">
        <f t="shared" ref="K62" si="38">K28*$E62</f>
        <v>119159.27419354839</v>
      </c>
      <c r="M62" s="6">
        <f t="shared" ref="M62" si="39">M28*$E62</f>
        <v>533671.875</v>
      </c>
      <c r="O62" s="6">
        <f t="shared" ref="O62" si="40">O28*$E62</f>
        <v>289664.81854838709</v>
      </c>
      <c r="R62" s="6">
        <f t="shared" ref="R62" si="41">R28*$E62</f>
        <v>336370.46370967739</v>
      </c>
      <c r="U62" s="6">
        <f t="shared" si="11"/>
        <v>160176.41129032258</v>
      </c>
    </row>
    <row r="63" spans="1:24" s="6" customFormat="1" x14ac:dyDescent="0.25">
      <c r="A63" s="10">
        <v>68</v>
      </c>
      <c r="B63" s="1">
        <v>1250000</v>
      </c>
      <c r="C63">
        <v>215682</v>
      </c>
      <c r="D63" s="6">
        <v>4340000</v>
      </c>
      <c r="E63" s="6">
        <f t="shared" si="4"/>
        <v>748847.90399999998</v>
      </c>
      <c r="H63" s="6">
        <f t="shared" ref="H63" si="42">H29*$E63</f>
        <v>2776211.2</v>
      </c>
      <c r="J63" s="6">
        <f t="shared" ref="J63" si="43">J29*$E63</f>
        <v>930148.8</v>
      </c>
      <c r="K63" s="6">
        <f t="shared" ref="K63" si="44">K29*$E63</f>
        <v>1778358.4000000001</v>
      </c>
      <c r="M63" s="6">
        <f t="shared" ref="M63" si="45">M29*$E63</f>
        <v>2366862.4</v>
      </c>
      <c r="O63" s="6">
        <f t="shared" ref="O63" si="46">O29*$E63</f>
        <v>2480744</v>
      </c>
      <c r="R63" s="6">
        <f t="shared" ref="R63" si="47">R29*$E63</f>
        <v>569060.79999999993</v>
      </c>
      <c r="U63" s="6">
        <f t="shared" si="11"/>
        <v>1112081.6000000001</v>
      </c>
    </row>
    <row r="64" spans="1:24" s="6" customFormat="1" x14ac:dyDescent="0.25">
      <c r="A64" s="10">
        <v>69</v>
      </c>
      <c r="B64" s="1">
        <v>1300000</v>
      </c>
      <c r="C64">
        <v>170497</v>
      </c>
      <c r="D64" s="6">
        <v>3985000</v>
      </c>
      <c r="E64" s="6">
        <f t="shared" si="4"/>
        <v>522638.88076923077</v>
      </c>
      <c r="H64" s="6">
        <f t="shared" ref="H64" si="48">H30*$E64</f>
        <v>2817088.4615384615</v>
      </c>
      <c r="J64" s="6">
        <f t="shared" ref="J64" si="49">J30*$E64</f>
        <v>1929659.6153846155</v>
      </c>
      <c r="K64" s="6">
        <f t="shared" ref="K64" si="50">K30*$E64</f>
        <v>844513.4615384615</v>
      </c>
      <c r="M64" s="6">
        <f t="shared" ref="M64" si="51">M30*$E64</f>
        <v>2468247.6923076925</v>
      </c>
      <c r="O64" s="6">
        <f t="shared" ref="O64" si="52">O30*$E64</f>
        <v>2582893.076923077</v>
      </c>
      <c r="R64" s="6">
        <f t="shared" ref="R64" si="53">R30*$E64</f>
        <v>731094.23076923075</v>
      </c>
      <c r="U64" s="6">
        <f t="shared" si="11"/>
        <v>738451.15384615387</v>
      </c>
    </row>
    <row r="65" spans="1:21" s="6" customFormat="1" x14ac:dyDescent="0.25">
      <c r="A65" s="10">
        <v>70</v>
      </c>
      <c r="B65" s="1">
        <v>1500000</v>
      </c>
      <c r="C65">
        <v>345884</v>
      </c>
      <c r="D65" s="6">
        <v>3770000</v>
      </c>
      <c r="E65" s="6">
        <f t="shared" si="4"/>
        <v>869321.78666666674</v>
      </c>
      <c r="H65" s="6">
        <f t="shared" ref="H65" si="54">H31*$E65</f>
        <v>4293276</v>
      </c>
      <c r="J65" s="6">
        <f t="shared" ref="J65" si="55">J31*$E65</f>
        <v>3430197.3333333335</v>
      </c>
      <c r="K65" s="6">
        <f t="shared" ref="K65" si="56">K31*$E65</f>
        <v>800999.33333333337</v>
      </c>
      <c r="M65" s="6">
        <f t="shared" ref="M65" si="57">M31*$E65</f>
        <v>3805438.0000000005</v>
      </c>
      <c r="O65" s="6">
        <f t="shared" ref="O65" si="58">O31*$E65</f>
        <v>4912310.0000000009</v>
      </c>
      <c r="R65" s="6">
        <f t="shared" ref="R65" si="59">R31*$E65</f>
        <v>579323.33333333337</v>
      </c>
      <c r="U65" s="6">
        <f t="shared" si="11"/>
        <v>39962</v>
      </c>
    </row>
    <row r="66" spans="1:21" s="6" customFormat="1" x14ac:dyDescent="0.25">
      <c r="A66" s="10">
        <v>71</v>
      </c>
      <c r="B66" s="1">
        <v>1330000</v>
      </c>
      <c r="C66" s="1">
        <v>433000</v>
      </c>
      <c r="D66" s="6">
        <v>3345000</v>
      </c>
      <c r="E66" s="6">
        <f t="shared" si="4"/>
        <v>1089011.2781954887</v>
      </c>
      <c r="H66" s="6">
        <f t="shared" ref="H66" si="60">H32*$E66</f>
        <v>6236538.7218045108</v>
      </c>
      <c r="J66" s="6">
        <f t="shared" ref="J66" si="61">J32*$E66</f>
        <v>5783831.9548872178</v>
      </c>
      <c r="K66" s="6">
        <f t="shared" ref="K66" si="62">K32*$E66</f>
        <v>427807.89473684214</v>
      </c>
      <c r="M66" s="6">
        <f t="shared" ref="M66" si="63">M32*$E66</f>
        <v>4141763.9097744361</v>
      </c>
      <c r="O66" s="6">
        <f t="shared" ref="O66" si="64">O32*$E66</f>
        <v>9286776.3157894742</v>
      </c>
      <c r="R66" s="6">
        <f t="shared" ref="R66" si="65">R32*$E66</f>
        <v>825686.84210526315</v>
      </c>
      <c r="U66" s="6">
        <f t="shared" si="11"/>
        <v>1553287.2180451129</v>
      </c>
    </row>
    <row r="67" spans="1:21" s="6" customFormat="1" x14ac:dyDescent="0.25">
      <c r="A67" s="10">
        <v>72</v>
      </c>
      <c r="B67" s="1">
        <v>1500000</v>
      </c>
      <c r="C67">
        <v>356257</v>
      </c>
      <c r="D67" s="6">
        <v>4855000</v>
      </c>
      <c r="E67" s="6">
        <f t="shared" si="4"/>
        <v>1153085.1566666667</v>
      </c>
      <c r="H67" s="6">
        <f t="shared" ref="H67" si="66">H33*$E67</f>
        <v>5968737</v>
      </c>
      <c r="J67" s="6">
        <f t="shared" ref="J67" si="67">J33*$E67</f>
        <v>11328.333333333334</v>
      </c>
      <c r="K67" s="6">
        <f t="shared" ref="K67" si="68">K33*$E67</f>
        <v>5935075.666666667</v>
      </c>
      <c r="M67" s="6">
        <f t="shared" ref="M67" si="69">M33*$E67</f>
        <v>4264955.666666667</v>
      </c>
      <c r="O67" s="6">
        <f t="shared" ref="O67" si="70">O33*$E67</f>
        <v>3173875.3333333335</v>
      </c>
      <c r="R67" s="6">
        <f t="shared" ref="R67" si="71">R33*$E67</f>
        <v>721776.66666666674</v>
      </c>
      <c r="U67" s="6">
        <f t="shared" si="11"/>
        <v>2295444</v>
      </c>
    </row>
    <row r="68" spans="1:21" s="6" customFormat="1" x14ac:dyDescent="0.25">
      <c r="A68" s="10">
        <v>73</v>
      </c>
      <c r="B68" s="1">
        <v>708000</v>
      </c>
      <c r="C68">
        <v>106044</v>
      </c>
      <c r="D68" s="6">
        <v>1110000</v>
      </c>
      <c r="E68" s="6">
        <f t="shared" si="4"/>
        <v>166255.42372881356</v>
      </c>
      <c r="H68" s="6">
        <f t="shared" ref="H68" si="72">H34*$E68</f>
        <v>805063.55932203389</v>
      </c>
      <c r="J68" s="6">
        <f t="shared" ref="J68" si="73">J34*$E68</f>
        <v>367334.74576271191</v>
      </c>
      <c r="K68" s="6">
        <f t="shared" ref="K68" si="74">K34*$E68</f>
        <v>425500.00000000006</v>
      </c>
      <c r="M68" s="6">
        <f t="shared" ref="M68" si="75">M34*$E68</f>
        <v>671487.28813559317</v>
      </c>
      <c r="O68" s="6">
        <f t="shared" ref="O68" si="76">O34*$E68</f>
        <v>783584.74576271186</v>
      </c>
      <c r="R68" s="6">
        <f t="shared" ref="R68" si="77">R34*$E68</f>
        <v>598271.18644067796</v>
      </c>
      <c r="U68" s="6">
        <f t="shared" si="11"/>
        <v>76194.91525423729</v>
      </c>
    </row>
    <row r="69" spans="1:21" s="6" customFormat="1" x14ac:dyDescent="0.25">
      <c r="A69" s="10">
        <v>74</v>
      </c>
      <c r="B69" s="1">
        <v>1500000</v>
      </c>
      <c r="C69">
        <v>299852</v>
      </c>
      <c r="D69" s="6">
        <v>2875000</v>
      </c>
      <c r="E69" s="6">
        <f t="shared" si="4"/>
        <v>574716.33333333326</v>
      </c>
      <c r="H69" s="6">
        <f t="shared" ref="H69" si="78">H35*$E69</f>
        <v>3232841.666666666</v>
      </c>
      <c r="J69" s="6">
        <f t="shared" ref="J69" si="79">J35*$E69</f>
        <v>2719558.333333333</v>
      </c>
      <c r="K69" s="6">
        <f t="shared" ref="K69" si="80">K35*$E69</f>
        <v>460958.33333333326</v>
      </c>
      <c r="M69" s="6">
        <f t="shared" ref="M69" si="81">M35*$E69</f>
        <v>2016908.333333333</v>
      </c>
      <c r="O69" s="6">
        <f t="shared" ref="O69" si="82">O35*$E69</f>
        <v>4031899.9999999995</v>
      </c>
      <c r="R69" s="6">
        <f t="shared" ref="R69" si="83">R35*$E69</f>
        <v>338866.66666666663</v>
      </c>
      <c r="U69" s="6">
        <f t="shared" si="11"/>
        <v>883583.33333333326</v>
      </c>
    </row>
    <row r="70" spans="1:21" s="6" customFormat="1" x14ac:dyDescent="0.25">
      <c r="A70" s="10">
        <v>75</v>
      </c>
      <c r="B70" s="1">
        <v>1500000</v>
      </c>
      <c r="C70">
        <v>283717</v>
      </c>
      <c r="D70" s="6">
        <v>2890000</v>
      </c>
      <c r="E70" s="6">
        <f t="shared" si="4"/>
        <v>546628.08666666667</v>
      </c>
      <c r="H70" s="6">
        <f t="shared" ref="H70" si="84">H36*$E70</f>
        <v>2986911.3333333335</v>
      </c>
      <c r="J70" s="6">
        <f t="shared" ref="J70" si="85">J36*$E70</f>
        <v>2556108.6666666665</v>
      </c>
      <c r="K70" s="6">
        <f t="shared" ref="K70" si="86">K36*$E70</f>
        <v>392847.33333333331</v>
      </c>
      <c r="M70" s="6">
        <f t="shared" ref="M70" si="87">M36*$E70</f>
        <v>3437751.3333333335</v>
      </c>
      <c r="O70" s="6">
        <f t="shared" ref="O70" si="88">O36*$E70</f>
        <v>1595858</v>
      </c>
      <c r="R70" s="6">
        <f t="shared" ref="R70" si="89">R36*$E70</f>
        <v>236016.66666666669</v>
      </c>
      <c r="U70" s="6">
        <f t="shared" si="11"/>
        <v>634644</v>
      </c>
    </row>
    <row r="71" spans="1:21" s="10" customFormat="1" x14ac:dyDescent="0.25">
      <c r="I71"/>
      <c r="J71"/>
      <c r="K71"/>
      <c r="L71"/>
      <c r="M71"/>
      <c r="N71"/>
      <c r="O71"/>
      <c r="P71"/>
      <c r="Q71"/>
      <c r="R71"/>
      <c r="S71"/>
      <c r="T71"/>
      <c r="U7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405D-73E7-5F48-B3A5-B6658DDC7CDF}">
  <dimension ref="A1:E88"/>
  <sheetViews>
    <sheetView topLeftCell="A64" workbookViewId="0">
      <selection activeCell="H49" sqref="H49"/>
    </sheetView>
  </sheetViews>
  <sheetFormatPr defaultColWidth="11" defaultRowHeight="15.75" x14ac:dyDescent="0.25"/>
  <sheetData>
    <row r="1" spans="1:5" x14ac:dyDescent="0.25">
      <c r="A1" t="s">
        <v>522</v>
      </c>
      <c r="B1" t="s">
        <v>523</v>
      </c>
      <c r="C1" t="s">
        <v>524</v>
      </c>
      <c r="D1" t="s">
        <v>525</v>
      </c>
      <c r="E1" t="s">
        <v>526</v>
      </c>
    </row>
    <row r="2" spans="1:5" x14ac:dyDescent="0.25">
      <c r="A2">
        <v>1</v>
      </c>
      <c r="B2">
        <f>16+17+16</f>
        <v>49</v>
      </c>
      <c r="C2" s="5">
        <f>B2/3</f>
        <v>16.333333333333332</v>
      </c>
      <c r="D2" s="5">
        <f>C2*10^5</f>
        <v>1633333.3333333333</v>
      </c>
      <c r="E2" s="6">
        <f>D2/2</f>
        <v>816666.66666666663</v>
      </c>
    </row>
    <row r="3" spans="1:5" x14ac:dyDescent="0.25">
      <c r="A3">
        <v>2</v>
      </c>
      <c r="B3">
        <f>6+4+6</f>
        <v>16</v>
      </c>
      <c r="C3" s="5">
        <f t="shared" ref="C3:C60" si="0">B3/3</f>
        <v>5.333333333333333</v>
      </c>
      <c r="D3" s="5">
        <f t="shared" ref="D3:D66" si="1">C3*10^5</f>
        <v>533333.33333333326</v>
      </c>
      <c r="E3" s="6">
        <f t="shared" ref="E3:E66" si="2">D3/2</f>
        <v>266666.66666666663</v>
      </c>
    </row>
    <row r="4" spans="1:5" x14ac:dyDescent="0.25">
      <c r="A4">
        <v>3</v>
      </c>
      <c r="B4">
        <f>9+6+7</f>
        <v>22</v>
      </c>
      <c r="C4" s="5">
        <f t="shared" si="0"/>
        <v>7.333333333333333</v>
      </c>
      <c r="D4" s="5">
        <f t="shared" si="1"/>
        <v>733333.33333333326</v>
      </c>
      <c r="E4" s="6">
        <f t="shared" si="2"/>
        <v>366666.66666666663</v>
      </c>
    </row>
    <row r="5" spans="1:5" x14ac:dyDescent="0.25">
      <c r="A5">
        <v>4</v>
      </c>
      <c r="B5">
        <f>5+2+6</f>
        <v>13</v>
      </c>
      <c r="C5" s="5">
        <f t="shared" si="0"/>
        <v>4.333333333333333</v>
      </c>
      <c r="D5" s="5">
        <f t="shared" si="1"/>
        <v>433333.33333333331</v>
      </c>
      <c r="E5" s="6">
        <f t="shared" si="2"/>
        <v>216666.66666666666</v>
      </c>
    </row>
    <row r="6" spans="1:5" x14ac:dyDescent="0.25">
      <c r="A6">
        <v>5</v>
      </c>
      <c r="B6">
        <f>9+9+8</f>
        <v>26</v>
      </c>
      <c r="C6" s="5">
        <f t="shared" si="0"/>
        <v>8.6666666666666661</v>
      </c>
      <c r="D6" s="5">
        <f t="shared" si="1"/>
        <v>866666.66666666663</v>
      </c>
      <c r="E6" s="6">
        <f t="shared" si="2"/>
        <v>433333.33333333331</v>
      </c>
    </row>
    <row r="7" spans="1:5" x14ac:dyDescent="0.25">
      <c r="A7">
        <v>6</v>
      </c>
      <c r="B7">
        <f>8+5+8</f>
        <v>21</v>
      </c>
      <c r="C7" s="5">
        <f t="shared" si="0"/>
        <v>7</v>
      </c>
      <c r="D7" s="5">
        <f t="shared" si="1"/>
        <v>700000</v>
      </c>
      <c r="E7" s="6">
        <f t="shared" si="2"/>
        <v>350000</v>
      </c>
    </row>
    <row r="8" spans="1:5" x14ac:dyDescent="0.25">
      <c r="A8">
        <v>7</v>
      </c>
      <c r="B8">
        <f>7+10+7</f>
        <v>24</v>
      </c>
      <c r="C8" s="5">
        <f t="shared" si="0"/>
        <v>8</v>
      </c>
      <c r="D8" s="5">
        <f t="shared" si="1"/>
        <v>800000</v>
      </c>
      <c r="E8" s="6">
        <f t="shared" si="2"/>
        <v>400000</v>
      </c>
    </row>
    <row r="9" spans="1:5" x14ac:dyDescent="0.25">
      <c r="A9">
        <v>8</v>
      </c>
      <c r="B9">
        <f>5+6+5</f>
        <v>16</v>
      </c>
      <c r="C9" s="5">
        <f t="shared" si="0"/>
        <v>5.333333333333333</v>
      </c>
      <c r="D9" s="5">
        <f t="shared" si="1"/>
        <v>533333.33333333326</v>
      </c>
      <c r="E9" s="6">
        <f t="shared" si="2"/>
        <v>266666.66666666663</v>
      </c>
    </row>
    <row r="10" spans="1:5" x14ac:dyDescent="0.25">
      <c r="A10">
        <v>9</v>
      </c>
      <c r="B10">
        <f>12+8+10</f>
        <v>30</v>
      </c>
      <c r="C10" s="5">
        <f t="shared" si="0"/>
        <v>10</v>
      </c>
      <c r="D10" s="5">
        <f t="shared" si="1"/>
        <v>1000000</v>
      </c>
      <c r="E10" s="6">
        <f t="shared" si="2"/>
        <v>500000</v>
      </c>
    </row>
    <row r="11" spans="1:5" x14ac:dyDescent="0.25">
      <c r="A11">
        <v>10</v>
      </c>
      <c r="B11">
        <f>10+8+9</f>
        <v>27</v>
      </c>
      <c r="C11" s="5">
        <f t="shared" si="0"/>
        <v>9</v>
      </c>
      <c r="D11" s="5">
        <f t="shared" si="1"/>
        <v>900000</v>
      </c>
      <c r="E11" s="6">
        <f t="shared" si="2"/>
        <v>450000</v>
      </c>
    </row>
    <row r="12" spans="1:5" x14ac:dyDescent="0.25">
      <c r="A12">
        <v>11</v>
      </c>
      <c r="B12">
        <f>9+6+4</f>
        <v>19</v>
      </c>
      <c r="C12" s="5">
        <f t="shared" si="0"/>
        <v>6.333333333333333</v>
      </c>
      <c r="D12" s="5">
        <f t="shared" si="1"/>
        <v>633333.33333333326</v>
      </c>
      <c r="E12" s="6">
        <f t="shared" si="2"/>
        <v>316666.66666666663</v>
      </c>
    </row>
    <row r="13" spans="1:5" x14ac:dyDescent="0.25">
      <c r="A13">
        <v>12</v>
      </c>
      <c r="B13">
        <f>4+3+4</f>
        <v>11</v>
      </c>
      <c r="C13" s="5">
        <f t="shared" si="0"/>
        <v>3.6666666666666665</v>
      </c>
      <c r="D13" s="5">
        <f t="shared" si="1"/>
        <v>366666.66666666663</v>
      </c>
      <c r="E13" s="6">
        <f t="shared" si="2"/>
        <v>183333.33333333331</v>
      </c>
    </row>
    <row r="14" spans="1:5" x14ac:dyDescent="0.25">
      <c r="A14">
        <v>13</v>
      </c>
      <c r="B14">
        <f>9+7+6</f>
        <v>22</v>
      </c>
      <c r="C14" s="5">
        <f t="shared" si="0"/>
        <v>7.333333333333333</v>
      </c>
      <c r="D14" s="5">
        <f t="shared" si="1"/>
        <v>733333.33333333326</v>
      </c>
      <c r="E14" s="6">
        <f t="shared" si="2"/>
        <v>366666.66666666663</v>
      </c>
    </row>
    <row r="15" spans="1:5" x14ac:dyDescent="0.25">
      <c r="A15">
        <v>14</v>
      </c>
      <c r="B15">
        <f>4+2+4</f>
        <v>10</v>
      </c>
      <c r="C15" s="5">
        <f t="shared" si="0"/>
        <v>3.3333333333333335</v>
      </c>
      <c r="D15" s="5">
        <f t="shared" si="1"/>
        <v>333333.33333333337</v>
      </c>
      <c r="E15" s="6">
        <f t="shared" si="2"/>
        <v>166666.66666666669</v>
      </c>
    </row>
    <row r="16" spans="1:5" x14ac:dyDescent="0.25">
      <c r="A16">
        <v>15</v>
      </c>
      <c r="B16">
        <f>4+3+4</f>
        <v>11</v>
      </c>
      <c r="C16" s="5">
        <f t="shared" si="0"/>
        <v>3.6666666666666665</v>
      </c>
      <c r="D16" s="5">
        <f t="shared" si="1"/>
        <v>366666.66666666663</v>
      </c>
      <c r="E16" s="6">
        <f t="shared" si="2"/>
        <v>183333.33333333331</v>
      </c>
    </row>
    <row r="17" spans="1:5" x14ac:dyDescent="0.25">
      <c r="A17">
        <v>16</v>
      </c>
      <c r="B17">
        <f>6+6+6</f>
        <v>18</v>
      </c>
      <c r="C17" s="5">
        <f t="shared" si="0"/>
        <v>6</v>
      </c>
      <c r="D17" s="5">
        <f t="shared" si="1"/>
        <v>600000</v>
      </c>
      <c r="E17" s="6">
        <f t="shared" si="2"/>
        <v>300000</v>
      </c>
    </row>
    <row r="18" spans="1:5" x14ac:dyDescent="0.25">
      <c r="A18">
        <v>17</v>
      </c>
      <c r="B18">
        <f>10+9+10</f>
        <v>29</v>
      </c>
      <c r="C18" s="5">
        <f t="shared" si="0"/>
        <v>9.6666666666666661</v>
      </c>
      <c r="D18" s="5">
        <f t="shared" si="1"/>
        <v>966666.66666666663</v>
      </c>
      <c r="E18" s="6">
        <f t="shared" si="2"/>
        <v>483333.33333333331</v>
      </c>
    </row>
    <row r="19" spans="1:5" x14ac:dyDescent="0.25">
      <c r="A19">
        <v>18</v>
      </c>
      <c r="B19">
        <f>5+5+6</f>
        <v>16</v>
      </c>
      <c r="C19" s="5">
        <f t="shared" si="0"/>
        <v>5.333333333333333</v>
      </c>
      <c r="D19" s="5">
        <f t="shared" si="1"/>
        <v>533333.33333333326</v>
      </c>
      <c r="E19" s="6">
        <f t="shared" si="2"/>
        <v>266666.66666666663</v>
      </c>
    </row>
    <row r="20" spans="1:5" x14ac:dyDescent="0.25">
      <c r="A20">
        <v>19</v>
      </c>
      <c r="B20">
        <f>6+5+4</f>
        <v>15</v>
      </c>
      <c r="C20" s="5">
        <f t="shared" si="0"/>
        <v>5</v>
      </c>
      <c r="D20" s="5">
        <f t="shared" si="1"/>
        <v>500000</v>
      </c>
      <c r="E20" s="6">
        <f t="shared" si="2"/>
        <v>250000</v>
      </c>
    </row>
    <row r="21" spans="1:5" x14ac:dyDescent="0.25">
      <c r="A21">
        <v>20</v>
      </c>
      <c r="B21">
        <f>4+4+8</f>
        <v>16</v>
      </c>
      <c r="C21" s="5">
        <f t="shared" si="0"/>
        <v>5.333333333333333</v>
      </c>
      <c r="D21" s="5">
        <f t="shared" si="1"/>
        <v>533333.33333333326</v>
      </c>
      <c r="E21" s="6">
        <f t="shared" si="2"/>
        <v>266666.66666666663</v>
      </c>
    </row>
    <row r="22" spans="1:5" x14ac:dyDescent="0.25">
      <c r="A22">
        <v>21</v>
      </c>
      <c r="B22">
        <f>4+6+8</f>
        <v>18</v>
      </c>
      <c r="C22" s="5">
        <f t="shared" si="0"/>
        <v>6</v>
      </c>
      <c r="D22" s="5">
        <f t="shared" si="1"/>
        <v>600000</v>
      </c>
      <c r="E22" s="6">
        <f t="shared" si="2"/>
        <v>300000</v>
      </c>
    </row>
    <row r="23" spans="1:5" x14ac:dyDescent="0.25">
      <c r="A23">
        <v>22</v>
      </c>
      <c r="B23">
        <f>12+9+6</f>
        <v>27</v>
      </c>
      <c r="C23" s="5">
        <f t="shared" si="0"/>
        <v>9</v>
      </c>
      <c r="D23" s="5">
        <f t="shared" si="1"/>
        <v>900000</v>
      </c>
      <c r="E23" s="6">
        <f t="shared" si="2"/>
        <v>450000</v>
      </c>
    </row>
    <row r="24" spans="1:5" x14ac:dyDescent="0.25">
      <c r="A24">
        <v>23</v>
      </c>
      <c r="B24">
        <f>7+10+10</f>
        <v>27</v>
      </c>
      <c r="C24" s="5">
        <f t="shared" si="0"/>
        <v>9</v>
      </c>
      <c r="D24" s="5">
        <f t="shared" si="1"/>
        <v>900000</v>
      </c>
      <c r="E24" s="6">
        <f t="shared" si="2"/>
        <v>450000</v>
      </c>
    </row>
    <row r="25" spans="1:5" x14ac:dyDescent="0.25">
      <c r="A25">
        <v>24</v>
      </c>
      <c r="B25">
        <f>5+4+6</f>
        <v>15</v>
      </c>
      <c r="C25" s="5">
        <f t="shared" si="0"/>
        <v>5</v>
      </c>
      <c r="D25" s="5">
        <f t="shared" si="1"/>
        <v>500000</v>
      </c>
      <c r="E25" s="6">
        <f t="shared" si="2"/>
        <v>250000</v>
      </c>
    </row>
    <row r="26" spans="1:5" x14ac:dyDescent="0.25">
      <c r="A26">
        <v>25</v>
      </c>
      <c r="B26">
        <f>6+10+10</f>
        <v>26</v>
      </c>
      <c r="C26" s="5">
        <f t="shared" si="0"/>
        <v>8.6666666666666661</v>
      </c>
      <c r="D26" s="5">
        <f t="shared" si="1"/>
        <v>866666.66666666663</v>
      </c>
      <c r="E26" s="6">
        <f t="shared" si="2"/>
        <v>433333.33333333331</v>
      </c>
    </row>
    <row r="27" spans="1:5" x14ac:dyDescent="0.25">
      <c r="A27">
        <v>26</v>
      </c>
      <c r="B27">
        <f>15+16+15</f>
        <v>46</v>
      </c>
      <c r="C27" s="5">
        <f t="shared" si="0"/>
        <v>15.333333333333334</v>
      </c>
      <c r="D27" s="5">
        <f t="shared" si="1"/>
        <v>1533333.3333333335</v>
      </c>
      <c r="E27" s="6">
        <f t="shared" si="2"/>
        <v>766666.66666666674</v>
      </c>
    </row>
    <row r="28" spans="1:5" x14ac:dyDescent="0.25">
      <c r="A28">
        <v>27</v>
      </c>
      <c r="B28">
        <f>12+12+10</f>
        <v>34</v>
      </c>
      <c r="C28" s="5">
        <f t="shared" si="0"/>
        <v>11.333333333333334</v>
      </c>
      <c r="D28" s="5">
        <f t="shared" si="1"/>
        <v>1133333.3333333335</v>
      </c>
      <c r="E28" s="6">
        <f t="shared" si="2"/>
        <v>566666.66666666674</v>
      </c>
    </row>
    <row r="29" spans="1:5" x14ac:dyDescent="0.25">
      <c r="A29">
        <v>28</v>
      </c>
      <c r="B29">
        <f>4+7+4</f>
        <v>15</v>
      </c>
      <c r="C29" s="5">
        <f t="shared" si="0"/>
        <v>5</v>
      </c>
      <c r="D29" s="5">
        <f t="shared" si="1"/>
        <v>500000</v>
      </c>
      <c r="E29" s="6">
        <f t="shared" si="2"/>
        <v>250000</v>
      </c>
    </row>
    <row r="30" spans="1:5" x14ac:dyDescent="0.25">
      <c r="A30">
        <v>29</v>
      </c>
      <c r="B30">
        <f>6+6+4</f>
        <v>16</v>
      </c>
      <c r="C30" s="5">
        <f t="shared" si="0"/>
        <v>5.333333333333333</v>
      </c>
      <c r="D30" s="5">
        <f t="shared" si="1"/>
        <v>533333.33333333326</v>
      </c>
      <c r="E30" s="6">
        <f t="shared" si="2"/>
        <v>266666.66666666663</v>
      </c>
    </row>
    <row r="31" spans="1:5" x14ac:dyDescent="0.25">
      <c r="A31">
        <v>31</v>
      </c>
      <c r="B31">
        <f>8+9+15</f>
        <v>32</v>
      </c>
      <c r="C31" s="5">
        <f t="shared" si="0"/>
        <v>10.666666666666666</v>
      </c>
      <c r="D31" s="5">
        <f t="shared" si="1"/>
        <v>1066666.6666666665</v>
      </c>
      <c r="E31" s="6">
        <f t="shared" si="2"/>
        <v>533333.33333333326</v>
      </c>
    </row>
    <row r="32" spans="1:5" x14ac:dyDescent="0.25">
      <c r="A32">
        <v>32</v>
      </c>
      <c r="B32">
        <f>25+24+37</f>
        <v>86</v>
      </c>
      <c r="C32" s="5">
        <f t="shared" si="0"/>
        <v>28.666666666666668</v>
      </c>
      <c r="D32" s="5">
        <f t="shared" si="1"/>
        <v>2866666.666666667</v>
      </c>
      <c r="E32" s="6">
        <f t="shared" si="2"/>
        <v>1433333.3333333335</v>
      </c>
    </row>
    <row r="33" spans="1:5" x14ac:dyDescent="0.25">
      <c r="A33">
        <v>33</v>
      </c>
      <c r="B33">
        <f>5+6+6</f>
        <v>17</v>
      </c>
      <c r="C33" s="5">
        <f t="shared" si="0"/>
        <v>5.666666666666667</v>
      </c>
      <c r="D33" s="5">
        <f t="shared" si="1"/>
        <v>566666.66666666674</v>
      </c>
      <c r="E33" s="6">
        <f t="shared" si="2"/>
        <v>283333.33333333337</v>
      </c>
    </row>
    <row r="34" spans="1:5" x14ac:dyDescent="0.25">
      <c r="A34">
        <v>34</v>
      </c>
      <c r="B34">
        <f>8+7+4</f>
        <v>19</v>
      </c>
      <c r="C34" s="5">
        <f t="shared" si="0"/>
        <v>6.333333333333333</v>
      </c>
      <c r="D34" s="5">
        <f t="shared" si="1"/>
        <v>633333.33333333326</v>
      </c>
      <c r="E34" s="6">
        <f t="shared" si="2"/>
        <v>316666.66666666663</v>
      </c>
    </row>
    <row r="35" spans="1:5" x14ac:dyDescent="0.25">
      <c r="A35">
        <v>35</v>
      </c>
      <c r="B35">
        <f>11+13+8</f>
        <v>32</v>
      </c>
      <c r="C35" s="5">
        <f t="shared" si="0"/>
        <v>10.666666666666666</v>
      </c>
      <c r="D35" s="5">
        <f t="shared" si="1"/>
        <v>1066666.6666666665</v>
      </c>
      <c r="E35" s="6">
        <f t="shared" si="2"/>
        <v>533333.33333333326</v>
      </c>
    </row>
    <row r="36" spans="1:5" x14ac:dyDescent="0.25">
      <c r="A36">
        <v>36</v>
      </c>
      <c r="B36">
        <f>9+10+8</f>
        <v>27</v>
      </c>
      <c r="C36" s="5">
        <f t="shared" si="0"/>
        <v>9</v>
      </c>
      <c r="D36" s="5">
        <f t="shared" si="1"/>
        <v>900000</v>
      </c>
      <c r="E36" s="6">
        <f t="shared" si="2"/>
        <v>450000</v>
      </c>
    </row>
    <row r="37" spans="1:5" x14ac:dyDescent="0.25">
      <c r="A37">
        <v>37</v>
      </c>
      <c r="B37">
        <f>15+12+10</f>
        <v>37</v>
      </c>
      <c r="C37" s="5">
        <f t="shared" si="0"/>
        <v>12.333333333333334</v>
      </c>
      <c r="D37" s="5">
        <f t="shared" si="1"/>
        <v>1233333.3333333335</v>
      </c>
      <c r="E37" s="6">
        <f t="shared" si="2"/>
        <v>616666.66666666674</v>
      </c>
    </row>
    <row r="38" spans="1:5" x14ac:dyDescent="0.25">
      <c r="A38">
        <v>38</v>
      </c>
      <c r="B38">
        <f>13+10+8</f>
        <v>31</v>
      </c>
      <c r="C38" s="5">
        <f t="shared" si="0"/>
        <v>10.333333333333334</v>
      </c>
      <c r="D38" s="5">
        <f t="shared" si="1"/>
        <v>1033333.3333333334</v>
      </c>
      <c r="E38" s="6">
        <f t="shared" si="2"/>
        <v>516666.66666666669</v>
      </c>
    </row>
    <row r="39" spans="1:5" x14ac:dyDescent="0.25">
      <c r="A39">
        <v>39</v>
      </c>
      <c r="B39">
        <f>5+5+7</f>
        <v>17</v>
      </c>
      <c r="C39" s="5">
        <f t="shared" si="0"/>
        <v>5.666666666666667</v>
      </c>
      <c r="D39" s="5">
        <f t="shared" si="1"/>
        <v>566666.66666666674</v>
      </c>
      <c r="E39" s="6">
        <f t="shared" si="2"/>
        <v>283333.33333333337</v>
      </c>
    </row>
    <row r="40" spans="1:5" x14ac:dyDescent="0.25">
      <c r="A40">
        <v>40</v>
      </c>
      <c r="B40">
        <f>6+4+4</f>
        <v>14</v>
      </c>
      <c r="C40" s="5">
        <f t="shared" si="0"/>
        <v>4.666666666666667</v>
      </c>
      <c r="D40" s="5">
        <f t="shared" si="1"/>
        <v>466666.66666666669</v>
      </c>
      <c r="E40" s="6">
        <f t="shared" si="2"/>
        <v>233333.33333333334</v>
      </c>
    </row>
    <row r="41" spans="1:5" x14ac:dyDescent="0.25">
      <c r="A41">
        <v>41</v>
      </c>
      <c r="B41">
        <f>5+5+5</f>
        <v>15</v>
      </c>
      <c r="C41" s="5">
        <f t="shared" si="0"/>
        <v>5</v>
      </c>
      <c r="D41" s="5">
        <f t="shared" si="1"/>
        <v>500000</v>
      </c>
      <c r="E41" s="6">
        <f t="shared" si="2"/>
        <v>250000</v>
      </c>
    </row>
    <row r="42" spans="1:5" x14ac:dyDescent="0.25">
      <c r="A42">
        <v>42</v>
      </c>
      <c r="B42">
        <f>5+4+5</f>
        <v>14</v>
      </c>
      <c r="C42" s="5">
        <f t="shared" si="0"/>
        <v>4.666666666666667</v>
      </c>
      <c r="D42" s="5">
        <f t="shared" si="1"/>
        <v>466666.66666666669</v>
      </c>
      <c r="E42" s="6">
        <f t="shared" si="2"/>
        <v>233333.33333333334</v>
      </c>
    </row>
    <row r="43" spans="1:5" x14ac:dyDescent="0.25">
      <c r="A43">
        <v>43</v>
      </c>
      <c r="B43">
        <f>7+6+6</f>
        <v>19</v>
      </c>
      <c r="C43" s="5">
        <f t="shared" si="0"/>
        <v>6.333333333333333</v>
      </c>
      <c r="D43" s="5">
        <f t="shared" si="1"/>
        <v>633333.33333333326</v>
      </c>
      <c r="E43" s="6">
        <f t="shared" si="2"/>
        <v>316666.66666666663</v>
      </c>
    </row>
    <row r="44" spans="1:5" x14ac:dyDescent="0.25">
      <c r="A44">
        <v>44</v>
      </c>
      <c r="B44">
        <f>7+4+7</f>
        <v>18</v>
      </c>
      <c r="C44" s="5">
        <f t="shared" si="0"/>
        <v>6</v>
      </c>
      <c r="D44" s="5">
        <f t="shared" si="1"/>
        <v>600000</v>
      </c>
      <c r="E44" s="6">
        <f t="shared" si="2"/>
        <v>300000</v>
      </c>
    </row>
    <row r="45" spans="1:5" x14ac:dyDescent="0.25">
      <c r="A45">
        <v>45</v>
      </c>
      <c r="B45">
        <f>11+10+10</f>
        <v>31</v>
      </c>
      <c r="C45" s="5">
        <f t="shared" si="0"/>
        <v>10.333333333333334</v>
      </c>
      <c r="D45" s="5">
        <f t="shared" si="1"/>
        <v>1033333.3333333334</v>
      </c>
      <c r="E45" s="6">
        <f t="shared" si="2"/>
        <v>516666.66666666669</v>
      </c>
    </row>
    <row r="46" spans="1:5" x14ac:dyDescent="0.25">
      <c r="A46">
        <v>46</v>
      </c>
      <c r="B46">
        <f>16+15+21</f>
        <v>52</v>
      </c>
      <c r="C46" s="5">
        <f t="shared" si="0"/>
        <v>17.333333333333332</v>
      </c>
      <c r="D46" s="5">
        <f t="shared" si="1"/>
        <v>1733333.3333333333</v>
      </c>
      <c r="E46" s="6">
        <f t="shared" si="2"/>
        <v>866666.66666666663</v>
      </c>
    </row>
    <row r="47" spans="1:5" x14ac:dyDescent="0.25">
      <c r="A47">
        <v>47</v>
      </c>
      <c r="B47">
        <f>8+10+7</f>
        <v>25</v>
      </c>
      <c r="C47" s="5">
        <f t="shared" si="0"/>
        <v>8.3333333333333339</v>
      </c>
      <c r="D47" s="5">
        <f t="shared" si="1"/>
        <v>833333.33333333337</v>
      </c>
      <c r="E47" s="6">
        <f t="shared" si="2"/>
        <v>416666.66666666669</v>
      </c>
    </row>
    <row r="48" spans="1:5" x14ac:dyDescent="0.25">
      <c r="A48">
        <v>48</v>
      </c>
      <c r="B48">
        <f>10+10+18</f>
        <v>38</v>
      </c>
      <c r="C48" s="5">
        <f t="shared" si="0"/>
        <v>12.666666666666666</v>
      </c>
      <c r="D48" s="5">
        <f t="shared" si="1"/>
        <v>1266666.6666666665</v>
      </c>
      <c r="E48" s="6">
        <f t="shared" si="2"/>
        <v>633333.33333333326</v>
      </c>
    </row>
    <row r="49" spans="1:5" x14ac:dyDescent="0.25">
      <c r="A49">
        <v>49</v>
      </c>
      <c r="B49">
        <f>14+17+10</f>
        <v>41</v>
      </c>
      <c r="C49" s="5">
        <f t="shared" si="0"/>
        <v>13.666666666666666</v>
      </c>
      <c r="D49" s="5">
        <f t="shared" si="1"/>
        <v>1366666.6666666665</v>
      </c>
      <c r="E49" s="6">
        <f t="shared" si="2"/>
        <v>683333.33333333326</v>
      </c>
    </row>
    <row r="50" spans="1:5" x14ac:dyDescent="0.25">
      <c r="A50">
        <v>50</v>
      </c>
      <c r="B50">
        <f>11+10+11</f>
        <v>32</v>
      </c>
      <c r="C50" s="5">
        <f t="shared" si="0"/>
        <v>10.666666666666666</v>
      </c>
      <c r="D50" s="5">
        <f t="shared" si="1"/>
        <v>1066666.6666666665</v>
      </c>
      <c r="E50" s="6">
        <f t="shared" si="2"/>
        <v>533333.33333333326</v>
      </c>
    </row>
    <row r="51" spans="1:5" x14ac:dyDescent="0.25">
      <c r="A51">
        <v>51</v>
      </c>
      <c r="B51">
        <f>7+3+8</f>
        <v>18</v>
      </c>
      <c r="C51" s="5">
        <f t="shared" si="0"/>
        <v>6</v>
      </c>
      <c r="D51" s="5">
        <f t="shared" si="1"/>
        <v>600000</v>
      </c>
      <c r="E51" s="6">
        <f t="shared" si="2"/>
        <v>300000</v>
      </c>
    </row>
    <row r="52" spans="1:5" x14ac:dyDescent="0.25">
      <c r="A52">
        <v>52</v>
      </c>
      <c r="B52">
        <f>9+8+9</f>
        <v>26</v>
      </c>
      <c r="C52" s="5">
        <f t="shared" si="0"/>
        <v>8.6666666666666661</v>
      </c>
      <c r="D52" s="5">
        <f t="shared" si="1"/>
        <v>866666.66666666663</v>
      </c>
      <c r="E52" s="6">
        <f t="shared" si="2"/>
        <v>433333.33333333331</v>
      </c>
    </row>
    <row r="53" spans="1:5" x14ac:dyDescent="0.25">
      <c r="A53">
        <v>53</v>
      </c>
      <c r="B53">
        <f>12+10+11</f>
        <v>33</v>
      </c>
      <c r="C53" s="5">
        <f t="shared" si="0"/>
        <v>11</v>
      </c>
      <c r="D53" s="5">
        <f t="shared" si="1"/>
        <v>1100000</v>
      </c>
      <c r="E53" s="6">
        <f t="shared" si="2"/>
        <v>550000</v>
      </c>
    </row>
    <row r="54" spans="1:5" x14ac:dyDescent="0.25">
      <c r="A54">
        <v>54</v>
      </c>
      <c r="B54">
        <f>10+6+9</f>
        <v>25</v>
      </c>
      <c r="C54" s="5">
        <f t="shared" si="0"/>
        <v>8.3333333333333339</v>
      </c>
      <c r="D54" s="5">
        <f t="shared" si="1"/>
        <v>833333.33333333337</v>
      </c>
      <c r="E54" s="6">
        <f t="shared" si="2"/>
        <v>416666.66666666669</v>
      </c>
    </row>
    <row r="55" spans="1:5" x14ac:dyDescent="0.25">
      <c r="A55">
        <v>55</v>
      </c>
      <c r="B55">
        <f>10+12+9</f>
        <v>31</v>
      </c>
      <c r="C55" s="5">
        <f t="shared" si="0"/>
        <v>10.333333333333334</v>
      </c>
      <c r="D55" s="5">
        <f t="shared" si="1"/>
        <v>1033333.3333333334</v>
      </c>
      <c r="E55" s="6">
        <f t="shared" si="2"/>
        <v>516666.66666666669</v>
      </c>
    </row>
    <row r="56" spans="1:5" x14ac:dyDescent="0.25">
      <c r="A56">
        <v>56</v>
      </c>
      <c r="B56">
        <f>5+4+4</f>
        <v>13</v>
      </c>
      <c r="C56" s="5">
        <f t="shared" si="0"/>
        <v>4.333333333333333</v>
      </c>
      <c r="D56" s="5">
        <f t="shared" si="1"/>
        <v>433333.33333333331</v>
      </c>
      <c r="E56" s="6">
        <f t="shared" si="2"/>
        <v>216666.66666666666</v>
      </c>
    </row>
    <row r="57" spans="1:5" x14ac:dyDescent="0.25">
      <c r="A57">
        <v>57</v>
      </c>
      <c r="B57">
        <f>5+7+5</f>
        <v>17</v>
      </c>
      <c r="C57" s="5">
        <f t="shared" si="0"/>
        <v>5.666666666666667</v>
      </c>
      <c r="D57" s="5">
        <f t="shared" si="1"/>
        <v>566666.66666666674</v>
      </c>
      <c r="E57" s="6">
        <f t="shared" si="2"/>
        <v>283333.33333333337</v>
      </c>
    </row>
    <row r="58" spans="1:5" x14ac:dyDescent="0.25">
      <c r="A58">
        <v>58</v>
      </c>
      <c r="B58">
        <f>7+12+7</f>
        <v>26</v>
      </c>
      <c r="C58" s="5">
        <f t="shared" si="0"/>
        <v>8.6666666666666661</v>
      </c>
      <c r="D58" s="5">
        <f t="shared" si="1"/>
        <v>866666.66666666663</v>
      </c>
      <c r="E58" s="6">
        <f t="shared" si="2"/>
        <v>433333.33333333331</v>
      </c>
    </row>
    <row r="59" spans="1:5" x14ac:dyDescent="0.25">
      <c r="A59">
        <v>59</v>
      </c>
      <c r="B59">
        <f>7+7+8</f>
        <v>22</v>
      </c>
      <c r="C59" s="5">
        <f t="shared" si="0"/>
        <v>7.333333333333333</v>
      </c>
      <c r="D59" s="5">
        <f t="shared" si="1"/>
        <v>733333.33333333326</v>
      </c>
      <c r="E59" s="6">
        <f t="shared" si="2"/>
        <v>366666.66666666663</v>
      </c>
    </row>
    <row r="60" spans="1:5" x14ac:dyDescent="0.25">
      <c r="A60">
        <v>60</v>
      </c>
      <c r="B60">
        <f>15+10+11</f>
        <v>36</v>
      </c>
      <c r="C60" s="5">
        <f t="shared" si="0"/>
        <v>12</v>
      </c>
      <c r="D60" s="5">
        <f t="shared" si="1"/>
        <v>1200000</v>
      </c>
      <c r="E60" s="6">
        <f t="shared" si="2"/>
        <v>600000</v>
      </c>
    </row>
    <row r="61" spans="1:5" x14ac:dyDescent="0.25">
      <c r="A61">
        <v>61</v>
      </c>
      <c r="B61">
        <f>24+14+12+19</f>
        <v>69</v>
      </c>
      <c r="C61" s="5">
        <f>B61/4</f>
        <v>17.25</v>
      </c>
      <c r="D61" s="5">
        <f t="shared" si="1"/>
        <v>1725000</v>
      </c>
      <c r="E61" s="6">
        <f t="shared" si="2"/>
        <v>862500</v>
      </c>
    </row>
    <row r="62" spans="1:5" x14ac:dyDescent="0.25">
      <c r="A62">
        <v>62</v>
      </c>
      <c r="B62">
        <f>15+12+14+25</f>
        <v>66</v>
      </c>
      <c r="C62" s="5">
        <f t="shared" ref="C62:C88" si="3">B62/4</f>
        <v>16.5</v>
      </c>
      <c r="D62" s="5">
        <f t="shared" si="1"/>
        <v>1650000</v>
      </c>
      <c r="E62" s="6">
        <f t="shared" si="2"/>
        <v>825000</v>
      </c>
    </row>
    <row r="63" spans="1:5" x14ac:dyDescent="0.25">
      <c r="A63">
        <v>63</v>
      </c>
      <c r="B63">
        <f>44</f>
        <v>44</v>
      </c>
      <c r="C63" s="5">
        <f t="shared" si="3"/>
        <v>11</v>
      </c>
      <c r="D63" s="5">
        <f t="shared" si="1"/>
        <v>1100000</v>
      </c>
      <c r="E63" s="6">
        <f t="shared" si="2"/>
        <v>550000</v>
      </c>
    </row>
    <row r="64" spans="1:5" x14ac:dyDescent="0.25">
      <c r="A64">
        <v>64</v>
      </c>
      <c r="B64">
        <v>53</v>
      </c>
      <c r="C64" s="5">
        <f t="shared" si="3"/>
        <v>13.25</v>
      </c>
      <c r="D64" s="5">
        <f t="shared" si="1"/>
        <v>1325000</v>
      </c>
      <c r="E64" s="6">
        <f t="shared" si="2"/>
        <v>662500</v>
      </c>
    </row>
    <row r="65" spans="1:5" x14ac:dyDescent="0.25">
      <c r="A65">
        <v>65</v>
      </c>
      <c r="B65">
        <v>36</v>
      </c>
      <c r="C65" s="5">
        <f t="shared" si="3"/>
        <v>9</v>
      </c>
      <c r="D65" s="5">
        <f t="shared" si="1"/>
        <v>900000</v>
      </c>
      <c r="E65" s="6">
        <f t="shared" si="2"/>
        <v>450000</v>
      </c>
    </row>
    <row r="66" spans="1:5" x14ac:dyDescent="0.25">
      <c r="A66">
        <v>66</v>
      </c>
      <c r="B66">
        <v>68</v>
      </c>
      <c r="C66" s="5">
        <f t="shared" si="3"/>
        <v>17</v>
      </c>
      <c r="D66" s="5">
        <f t="shared" si="1"/>
        <v>1700000</v>
      </c>
      <c r="E66" s="6">
        <f t="shared" si="2"/>
        <v>850000</v>
      </c>
    </row>
    <row r="67" spans="1:5" x14ac:dyDescent="0.25">
      <c r="A67">
        <v>67</v>
      </c>
      <c r="B67">
        <v>29</v>
      </c>
      <c r="C67" s="5">
        <f t="shared" si="3"/>
        <v>7.25</v>
      </c>
      <c r="D67" s="5">
        <f t="shared" ref="D67:D88" si="4">C67*10^5</f>
        <v>725000</v>
      </c>
      <c r="E67" s="6">
        <f t="shared" ref="E67:E88" si="5">D67/2</f>
        <v>362500</v>
      </c>
    </row>
    <row r="68" spans="1:5" x14ac:dyDescent="0.25">
      <c r="A68">
        <v>68</v>
      </c>
      <c r="B68">
        <v>31</v>
      </c>
      <c r="C68" s="5">
        <f t="shared" si="3"/>
        <v>7.75</v>
      </c>
      <c r="D68" s="5">
        <f t="shared" si="4"/>
        <v>775000</v>
      </c>
      <c r="E68" s="6">
        <f t="shared" si="5"/>
        <v>387500</v>
      </c>
    </row>
    <row r="69" spans="1:5" x14ac:dyDescent="0.25">
      <c r="A69">
        <v>69</v>
      </c>
      <c r="B69">
        <v>42</v>
      </c>
      <c r="C69" s="5">
        <f t="shared" si="3"/>
        <v>10.5</v>
      </c>
      <c r="D69" s="5">
        <f t="shared" si="4"/>
        <v>1050000</v>
      </c>
      <c r="E69" s="6">
        <f t="shared" si="5"/>
        <v>525000</v>
      </c>
    </row>
    <row r="70" spans="1:5" x14ac:dyDescent="0.25">
      <c r="A70">
        <v>70</v>
      </c>
      <c r="B70">
        <v>44</v>
      </c>
      <c r="C70" s="5">
        <f t="shared" si="3"/>
        <v>11</v>
      </c>
      <c r="D70" s="5">
        <f t="shared" si="4"/>
        <v>1100000</v>
      </c>
      <c r="E70" s="6">
        <f t="shared" si="5"/>
        <v>550000</v>
      </c>
    </row>
    <row r="71" spans="1:5" x14ac:dyDescent="0.25">
      <c r="A71">
        <v>71</v>
      </c>
      <c r="B71">
        <v>74</v>
      </c>
      <c r="C71" s="5">
        <f t="shared" si="3"/>
        <v>18.5</v>
      </c>
      <c r="D71" s="5">
        <f t="shared" si="4"/>
        <v>1850000</v>
      </c>
      <c r="E71" s="6">
        <f t="shared" si="5"/>
        <v>925000</v>
      </c>
    </row>
    <row r="72" spans="1:5" x14ac:dyDescent="0.25">
      <c r="A72">
        <v>72</v>
      </c>
      <c r="B72">
        <v>70</v>
      </c>
      <c r="C72" s="5">
        <f t="shared" si="3"/>
        <v>17.5</v>
      </c>
      <c r="D72" s="5">
        <f t="shared" si="4"/>
        <v>1750000</v>
      </c>
      <c r="E72" s="6">
        <f t="shared" si="5"/>
        <v>875000</v>
      </c>
    </row>
    <row r="73" spans="1:5" x14ac:dyDescent="0.25">
      <c r="A73">
        <v>73</v>
      </c>
      <c r="B73">
        <v>26</v>
      </c>
      <c r="C73" s="5">
        <f t="shared" si="3"/>
        <v>6.5</v>
      </c>
      <c r="D73" s="5">
        <f t="shared" si="4"/>
        <v>650000</v>
      </c>
      <c r="E73" s="6">
        <f t="shared" si="5"/>
        <v>325000</v>
      </c>
    </row>
    <row r="74" spans="1:5" x14ac:dyDescent="0.25">
      <c r="A74">
        <v>74</v>
      </c>
      <c r="B74">
        <v>30</v>
      </c>
      <c r="C74" s="5">
        <f t="shared" si="3"/>
        <v>7.5</v>
      </c>
      <c r="D74" s="5">
        <f t="shared" si="4"/>
        <v>750000</v>
      </c>
      <c r="E74" s="6">
        <f t="shared" si="5"/>
        <v>375000</v>
      </c>
    </row>
    <row r="75" spans="1:5" x14ac:dyDescent="0.25">
      <c r="A75">
        <v>75</v>
      </c>
      <c r="B75">
        <v>199</v>
      </c>
      <c r="C75" s="5">
        <f t="shared" si="3"/>
        <v>49.75</v>
      </c>
      <c r="D75" s="5">
        <f t="shared" si="4"/>
        <v>4975000</v>
      </c>
      <c r="E75" s="6">
        <f t="shared" si="5"/>
        <v>2487500</v>
      </c>
    </row>
    <row r="76" spans="1:5" x14ac:dyDescent="0.25">
      <c r="A76">
        <v>76</v>
      </c>
      <c r="B76">
        <v>82</v>
      </c>
      <c r="C76" s="5">
        <f t="shared" si="3"/>
        <v>20.5</v>
      </c>
      <c r="D76" s="5">
        <f t="shared" si="4"/>
        <v>2050000</v>
      </c>
      <c r="E76" s="6">
        <f t="shared" si="5"/>
        <v>1025000</v>
      </c>
    </row>
    <row r="77" spans="1:5" x14ac:dyDescent="0.25">
      <c r="A77">
        <v>77</v>
      </c>
      <c r="B77">
        <v>57</v>
      </c>
      <c r="C77" s="5">
        <f t="shared" si="3"/>
        <v>14.25</v>
      </c>
      <c r="D77" s="5">
        <f t="shared" si="4"/>
        <v>1425000</v>
      </c>
      <c r="E77" s="6">
        <f t="shared" si="5"/>
        <v>712500</v>
      </c>
    </row>
    <row r="78" spans="1:5" x14ac:dyDescent="0.25">
      <c r="A78">
        <v>78</v>
      </c>
      <c r="B78">
        <v>63</v>
      </c>
      <c r="C78" s="5">
        <f t="shared" si="3"/>
        <v>15.75</v>
      </c>
      <c r="D78" s="5">
        <f t="shared" si="4"/>
        <v>1575000</v>
      </c>
      <c r="E78" s="6">
        <f t="shared" si="5"/>
        <v>787500</v>
      </c>
    </row>
    <row r="79" spans="1:5" x14ac:dyDescent="0.25">
      <c r="A79">
        <v>79</v>
      </c>
      <c r="B79">
        <v>28</v>
      </c>
      <c r="C79" s="5">
        <f t="shared" si="3"/>
        <v>7</v>
      </c>
      <c r="D79" s="5">
        <f t="shared" si="4"/>
        <v>700000</v>
      </c>
      <c r="E79" s="6">
        <f t="shared" si="5"/>
        <v>350000</v>
      </c>
    </row>
    <row r="80" spans="1:5" x14ac:dyDescent="0.25">
      <c r="A80">
        <v>81</v>
      </c>
      <c r="B80">
        <v>72</v>
      </c>
      <c r="C80" s="5">
        <f t="shared" si="3"/>
        <v>18</v>
      </c>
      <c r="D80" s="5">
        <f t="shared" si="4"/>
        <v>1800000</v>
      </c>
      <c r="E80" s="6">
        <f t="shared" si="5"/>
        <v>900000</v>
      </c>
    </row>
    <row r="81" spans="1:5" x14ac:dyDescent="0.25">
      <c r="A81">
        <v>82</v>
      </c>
      <c r="B81">
        <v>73</v>
      </c>
      <c r="C81" s="5">
        <f t="shared" si="3"/>
        <v>18.25</v>
      </c>
      <c r="D81" s="5">
        <f t="shared" si="4"/>
        <v>1825000</v>
      </c>
      <c r="E81" s="6">
        <f t="shared" si="5"/>
        <v>912500</v>
      </c>
    </row>
    <row r="82" spans="1:5" x14ac:dyDescent="0.25">
      <c r="A82">
        <v>84</v>
      </c>
      <c r="B82">
        <v>113</v>
      </c>
      <c r="C82" s="5">
        <f t="shared" si="3"/>
        <v>28.25</v>
      </c>
      <c r="D82" s="5">
        <f t="shared" si="4"/>
        <v>2825000</v>
      </c>
      <c r="E82" s="6">
        <f t="shared" si="5"/>
        <v>1412500</v>
      </c>
    </row>
    <row r="83" spans="1:5" x14ac:dyDescent="0.25">
      <c r="A83">
        <v>85</v>
      </c>
      <c r="B83">
        <v>42</v>
      </c>
      <c r="C83" s="5">
        <f t="shared" si="3"/>
        <v>10.5</v>
      </c>
      <c r="D83" s="5">
        <f t="shared" si="4"/>
        <v>1050000</v>
      </c>
      <c r="E83" s="6">
        <f t="shared" si="5"/>
        <v>525000</v>
      </c>
    </row>
    <row r="84" spans="1:5" x14ac:dyDescent="0.25">
      <c r="A84">
        <v>86</v>
      </c>
      <c r="B84">
        <v>62</v>
      </c>
      <c r="C84" s="5">
        <f t="shared" si="3"/>
        <v>15.5</v>
      </c>
      <c r="D84" s="5">
        <f t="shared" si="4"/>
        <v>1550000</v>
      </c>
      <c r="E84" s="6">
        <f t="shared" si="5"/>
        <v>775000</v>
      </c>
    </row>
    <row r="85" spans="1:5" x14ac:dyDescent="0.25">
      <c r="A85">
        <v>87</v>
      </c>
      <c r="B85">
        <v>36</v>
      </c>
      <c r="C85" s="5">
        <f t="shared" si="3"/>
        <v>9</v>
      </c>
      <c r="D85" s="5">
        <f t="shared" si="4"/>
        <v>900000</v>
      </c>
      <c r="E85" s="6">
        <f t="shared" si="5"/>
        <v>450000</v>
      </c>
    </row>
    <row r="86" spans="1:5" x14ac:dyDescent="0.25">
      <c r="A86">
        <v>88</v>
      </c>
      <c r="B86">
        <v>41</v>
      </c>
      <c r="C86" s="5">
        <f t="shared" si="3"/>
        <v>10.25</v>
      </c>
      <c r="D86" s="5">
        <f t="shared" si="4"/>
        <v>1025000</v>
      </c>
      <c r="E86" s="6">
        <f t="shared" si="5"/>
        <v>512500</v>
      </c>
    </row>
    <row r="87" spans="1:5" x14ac:dyDescent="0.25">
      <c r="A87">
        <v>89</v>
      </c>
      <c r="B87">
        <v>70</v>
      </c>
      <c r="C87" s="5">
        <f t="shared" si="3"/>
        <v>17.5</v>
      </c>
      <c r="D87" s="5">
        <f t="shared" si="4"/>
        <v>1750000</v>
      </c>
      <c r="E87" s="6">
        <f t="shared" si="5"/>
        <v>875000</v>
      </c>
    </row>
    <row r="88" spans="1:5" x14ac:dyDescent="0.25">
      <c r="A88">
        <v>90</v>
      </c>
      <c r="B88">
        <v>48</v>
      </c>
      <c r="C88" s="5">
        <f t="shared" si="3"/>
        <v>12</v>
      </c>
      <c r="D88" s="5">
        <f t="shared" si="4"/>
        <v>1200000</v>
      </c>
      <c r="E88" s="6">
        <f t="shared" si="5"/>
        <v>600000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0D29-EFB8-E94F-A5A5-020F5BB60A7E}">
  <dimension ref="A1:C75"/>
  <sheetViews>
    <sheetView workbookViewId="0">
      <selection activeCell="C2" sqref="C2:C15"/>
    </sheetView>
  </sheetViews>
  <sheetFormatPr defaultColWidth="11" defaultRowHeight="15.75" x14ac:dyDescent="0.25"/>
  <sheetData>
    <row r="1" spans="1:3" x14ac:dyDescent="0.25">
      <c r="A1" t="s">
        <v>522</v>
      </c>
      <c r="B1" t="s">
        <v>223</v>
      </c>
      <c r="C1" t="s">
        <v>527</v>
      </c>
    </row>
    <row r="2" spans="1:3" x14ac:dyDescent="0.25">
      <c r="A2">
        <v>1</v>
      </c>
      <c r="B2">
        <v>3970000</v>
      </c>
      <c r="C2">
        <f>B2/2</f>
        <v>1985000</v>
      </c>
    </row>
    <row r="3" spans="1:3" x14ac:dyDescent="0.25">
      <c r="A3">
        <v>2</v>
      </c>
      <c r="B3">
        <v>4580000</v>
      </c>
      <c r="C3">
        <f t="shared" ref="C3:C66" si="0">B3/2</f>
        <v>2290000</v>
      </c>
    </row>
    <row r="4" spans="1:3" x14ac:dyDescent="0.25">
      <c r="A4">
        <v>3</v>
      </c>
      <c r="B4">
        <v>1390000</v>
      </c>
      <c r="C4">
        <f t="shared" si="0"/>
        <v>695000</v>
      </c>
    </row>
    <row r="5" spans="1:3" x14ac:dyDescent="0.25">
      <c r="A5">
        <v>4</v>
      </c>
      <c r="B5">
        <v>2380000</v>
      </c>
      <c r="C5">
        <f t="shared" si="0"/>
        <v>1190000</v>
      </c>
    </row>
    <row r="6" spans="1:3" x14ac:dyDescent="0.25">
      <c r="A6">
        <v>6</v>
      </c>
      <c r="B6">
        <v>2330000</v>
      </c>
      <c r="C6">
        <f t="shared" si="0"/>
        <v>1165000</v>
      </c>
    </row>
    <row r="7" spans="1:3" x14ac:dyDescent="0.25">
      <c r="A7">
        <v>7</v>
      </c>
      <c r="B7">
        <v>3840000</v>
      </c>
      <c r="C7">
        <f t="shared" si="0"/>
        <v>1920000</v>
      </c>
    </row>
    <row r="8" spans="1:3" x14ac:dyDescent="0.25">
      <c r="A8">
        <v>8</v>
      </c>
      <c r="B8">
        <v>2120000</v>
      </c>
      <c r="C8">
        <f t="shared" si="0"/>
        <v>1060000</v>
      </c>
    </row>
    <row r="9" spans="1:3" x14ac:dyDescent="0.25">
      <c r="A9">
        <v>9</v>
      </c>
      <c r="B9">
        <v>2350000</v>
      </c>
      <c r="C9">
        <f t="shared" si="0"/>
        <v>1175000</v>
      </c>
    </row>
    <row r="10" spans="1:3" x14ac:dyDescent="0.25">
      <c r="A10">
        <v>10</v>
      </c>
      <c r="B10">
        <v>2100000</v>
      </c>
      <c r="C10">
        <f t="shared" si="0"/>
        <v>1050000</v>
      </c>
    </row>
    <row r="11" spans="1:3" x14ac:dyDescent="0.25">
      <c r="A11">
        <v>11</v>
      </c>
      <c r="B11">
        <v>2600000</v>
      </c>
      <c r="C11">
        <f t="shared" si="0"/>
        <v>1300000</v>
      </c>
    </row>
    <row r="12" spans="1:3" x14ac:dyDescent="0.25">
      <c r="A12">
        <v>12</v>
      </c>
      <c r="B12">
        <v>1450000</v>
      </c>
      <c r="C12">
        <f t="shared" si="0"/>
        <v>725000</v>
      </c>
    </row>
    <row r="13" spans="1:3" x14ac:dyDescent="0.25">
      <c r="A13">
        <v>13</v>
      </c>
      <c r="B13">
        <v>1420000</v>
      </c>
      <c r="C13">
        <f t="shared" si="0"/>
        <v>710000</v>
      </c>
    </row>
    <row r="14" spans="1:3" x14ac:dyDescent="0.25">
      <c r="A14">
        <v>14</v>
      </c>
      <c r="B14">
        <v>2860000</v>
      </c>
      <c r="C14">
        <f t="shared" si="0"/>
        <v>1430000</v>
      </c>
    </row>
    <row r="15" spans="1:3" x14ac:dyDescent="0.25">
      <c r="A15">
        <v>15</v>
      </c>
      <c r="B15">
        <v>1150000</v>
      </c>
      <c r="C15">
        <f t="shared" si="0"/>
        <v>575000</v>
      </c>
    </row>
    <row r="16" spans="1:3" x14ac:dyDescent="0.25">
      <c r="A16">
        <v>16</v>
      </c>
      <c r="B16">
        <v>3750000</v>
      </c>
      <c r="C16">
        <f t="shared" si="0"/>
        <v>1875000</v>
      </c>
    </row>
    <row r="17" spans="1:3" x14ac:dyDescent="0.25">
      <c r="A17">
        <v>17</v>
      </c>
      <c r="B17">
        <v>2310000</v>
      </c>
      <c r="C17">
        <f t="shared" si="0"/>
        <v>1155000</v>
      </c>
    </row>
    <row r="18" spans="1:3" x14ac:dyDescent="0.25">
      <c r="A18">
        <v>18</v>
      </c>
      <c r="B18">
        <v>2580000</v>
      </c>
      <c r="C18">
        <f t="shared" si="0"/>
        <v>1290000</v>
      </c>
    </row>
    <row r="19" spans="1:3" x14ac:dyDescent="0.25">
      <c r="A19">
        <v>19</v>
      </c>
      <c r="B19">
        <v>3340000</v>
      </c>
      <c r="C19">
        <f t="shared" si="0"/>
        <v>1670000</v>
      </c>
    </row>
    <row r="20" spans="1:3" x14ac:dyDescent="0.25">
      <c r="A20">
        <v>20</v>
      </c>
      <c r="B20">
        <v>3270000.0000000005</v>
      </c>
      <c r="C20">
        <f t="shared" si="0"/>
        <v>1635000.0000000002</v>
      </c>
    </row>
    <row r="21" spans="1:3" x14ac:dyDescent="0.25">
      <c r="A21">
        <v>21</v>
      </c>
      <c r="B21">
        <v>4440000</v>
      </c>
      <c r="C21">
        <f t="shared" si="0"/>
        <v>2220000</v>
      </c>
    </row>
    <row r="22" spans="1:3" x14ac:dyDescent="0.25">
      <c r="A22">
        <v>22</v>
      </c>
      <c r="B22">
        <v>3080000</v>
      </c>
      <c r="C22">
        <f t="shared" si="0"/>
        <v>1540000</v>
      </c>
    </row>
    <row r="23" spans="1:3" x14ac:dyDescent="0.25">
      <c r="A23">
        <v>23</v>
      </c>
      <c r="B23">
        <v>3350000</v>
      </c>
      <c r="C23">
        <f t="shared" si="0"/>
        <v>1675000</v>
      </c>
    </row>
    <row r="24" spans="1:3" x14ac:dyDescent="0.25">
      <c r="A24">
        <v>24</v>
      </c>
      <c r="B24">
        <v>2010000.0000000002</v>
      </c>
      <c r="C24">
        <f t="shared" si="0"/>
        <v>1005000.0000000001</v>
      </c>
    </row>
    <row r="25" spans="1:3" x14ac:dyDescent="0.25">
      <c r="A25">
        <v>25</v>
      </c>
      <c r="B25">
        <v>911999.99999999988</v>
      </c>
      <c r="C25">
        <f>B25/2</f>
        <v>455999.99999999994</v>
      </c>
    </row>
    <row r="26" spans="1:3" x14ac:dyDescent="0.25">
      <c r="A26">
        <v>26</v>
      </c>
      <c r="B26">
        <v>2630000</v>
      </c>
      <c r="C26">
        <f t="shared" si="0"/>
        <v>1315000</v>
      </c>
    </row>
    <row r="27" spans="1:3" x14ac:dyDescent="0.25">
      <c r="A27">
        <v>27</v>
      </c>
      <c r="B27">
        <v>4680000</v>
      </c>
      <c r="C27">
        <f t="shared" si="0"/>
        <v>2340000</v>
      </c>
    </row>
    <row r="28" spans="1:3" x14ac:dyDescent="0.25">
      <c r="A28">
        <v>28</v>
      </c>
      <c r="B28">
        <v>1320000</v>
      </c>
      <c r="C28">
        <f t="shared" si="0"/>
        <v>660000</v>
      </c>
    </row>
    <row r="29" spans="1:3" x14ac:dyDescent="0.25">
      <c r="A29">
        <v>29</v>
      </c>
      <c r="B29">
        <v>1450000</v>
      </c>
      <c r="C29">
        <f t="shared" si="0"/>
        <v>725000</v>
      </c>
    </row>
    <row r="30" spans="1:3" x14ac:dyDescent="0.25">
      <c r="A30">
        <v>30</v>
      </c>
      <c r="B30">
        <v>1320000</v>
      </c>
      <c r="C30">
        <f t="shared" si="0"/>
        <v>660000</v>
      </c>
    </row>
    <row r="31" spans="1:3" x14ac:dyDescent="0.25">
      <c r="A31">
        <v>31</v>
      </c>
      <c r="B31">
        <v>2030000</v>
      </c>
      <c r="C31">
        <f t="shared" si="0"/>
        <v>1015000</v>
      </c>
    </row>
    <row r="32" spans="1:3" x14ac:dyDescent="0.25">
      <c r="A32">
        <v>32</v>
      </c>
      <c r="B32">
        <v>1770000</v>
      </c>
      <c r="C32">
        <f t="shared" si="0"/>
        <v>885000</v>
      </c>
    </row>
    <row r="33" spans="1:3" x14ac:dyDescent="0.25">
      <c r="A33">
        <v>33</v>
      </c>
      <c r="B33">
        <v>1380000</v>
      </c>
      <c r="C33">
        <f t="shared" si="0"/>
        <v>690000</v>
      </c>
    </row>
    <row r="34" spans="1:3" x14ac:dyDescent="0.25">
      <c r="A34">
        <v>34</v>
      </c>
      <c r="B34">
        <v>1450000</v>
      </c>
      <c r="C34">
        <f t="shared" si="0"/>
        <v>725000</v>
      </c>
    </row>
    <row r="35" spans="1:3" x14ac:dyDescent="0.25">
      <c r="A35">
        <v>35</v>
      </c>
      <c r="B35">
        <v>575000</v>
      </c>
      <c r="C35">
        <f t="shared" si="0"/>
        <v>287500</v>
      </c>
    </row>
    <row r="36" spans="1:3" x14ac:dyDescent="0.25">
      <c r="A36">
        <v>36</v>
      </c>
      <c r="B36">
        <v>4150000</v>
      </c>
      <c r="C36">
        <f t="shared" si="0"/>
        <v>2075000</v>
      </c>
    </row>
    <row r="37" spans="1:3" x14ac:dyDescent="0.25">
      <c r="A37">
        <v>37</v>
      </c>
      <c r="B37">
        <v>1930000</v>
      </c>
      <c r="C37">
        <f t="shared" si="0"/>
        <v>965000</v>
      </c>
    </row>
    <row r="38" spans="1:3" x14ac:dyDescent="0.25">
      <c r="A38">
        <v>38</v>
      </c>
      <c r="B38">
        <v>3860000</v>
      </c>
      <c r="C38">
        <f t="shared" si="0"/>
        <v>1930000</v>
      </c>
    </row>
    <row r="39" spans="1:3" x14ac:dyDescent="0.25">
      <c r="A39">
        <v>39</v>
      </c>
      <c r="B39">
        <v>2730000</v>
      </c>
      <c r="C39">
        <f t="shared" si="0"/>
        <v>1365000</v>
      </c>
    </row>
    <row r="40" spans="1:3" x14ac:dyDescent="0.25">
      <c r="A40">
        <v>40</v>
      </c>
      <c r="B40">
        <v>11800000</v>
      </c>
      <c r="C40">
        <f t="shared" si="0"/>
        <v>5900000</v>
      </c>
    </row>
    <row r="41" spans="1:3" x14ac:dyDescent="0.25">
      <c r="A41">
        <v>41</v>
      </c>
      <c r="B41">
        <v>4670000</v>
      </c>
      <c r="C41">
        <f t="shared" si="0"/>
        <v>2335000</v>
      </c>
    </row>
    <row r="42" spans="1:3" x14ac:dyDescent="0.25">
      <c r="A42">
        <v>42</v>
      </c>
      <c r="B42">
        <v>5230000</v>
      </c>
      <c r="C42">
        <f t="shared" si="0"/>
        <v>2615000</v>
      </c>
    </row>
    <row r="43" spans="1:3" x14ac:dyDescent="0.25">
      <c r="A43">
        <v>43</v>
      </c>
      <c r="B43">
        <v>3460000</v>
      </c>
      <c r="C43">
        <f t="shared" si="0"/>
        <v>1730000</v>
      </c>
    </row>
    <row r="44" spans="1:3" x14ac:dyDescent="0.25">
      <c r="A44">
        <v>44</v>
      </c>
      <c r="B44">
        <v>2250000</v>
      </c>
      <c r="C44">
        <f t="shared" si="0"/>
        <v>1125000</v>
      </c>
    </row>
    <row r="45" spans="1:3" x14ac:dyDescent="0.25">
      <c r="A45">
        <v>45</v>
      </c>
      <c r="B45">
        <v>3629999.9999999995</v>
      </c>
      <c r="C45">
        <f>B45/2</f>
        <v>1814999.9999999998</v>
      </c>
    </row>
    <row r="46" spans="1:3" x14ac:dyDescent="0.25">
      <c r="A46">
        <v>46</v>
      </c>
      <c r="B46">
        <v>6910000</v>
      </c>
      <c r="C46">
        <f t="shared" si="0"/>
        <v>3455000</v>
      </c>
    </row>
    <row r="47" spans="1:3" x14ac:dyDescent="0.25">
      <c r="A47">
        <v>47</v>
      </c>
      <c r="B47">
        <v>2440000</v>
      </c>
      <c r="C47">
        <f t="shared" si="0"/>
        <v>1220000</v>
      </c>
    </row>
    <row r="48" spans="1:3" x14ac:dyDescent="0.25">
      <c r="A48">
        <v>48</v>
      </c>
      <c r="B48">
        <v>2130000</v>
      </c>
      <c r="C48">
        <f t="shared" si="0"/>
        <v>1065000</v>
      </c>
    </row>
    <row r="49" spans="1:3" x14ac:dyDescent="0.25">
      <c r="A49">
        <v>49</v>
      </c>
      <c r="B49">
        <v>1970000</v>
      </c>
      <c r="C49">
        <f t="shared" si="0"/>
        <v>985000</v>
      </c>
    </row>
    <row r="50" spans="1:3" x14ac:dyDescent="0.25">
      <c r="A50">
        <v>50</v>
      </c>
      <c r="B50">
        <v>1480000</v>
      </c>
      <c r="C50">
        <f t="shared" si="0"/>
        <v>740000</v>
      </c>
    </row>
    <row r="51" spans="1:3" x14ac:dyDescent="0.25">
      <c r="A51">
        <v>51</v>
      </c>
      <c r="B51">
        <v>3900000</v>
      </c>
      <c r="C51">
        <f t="shared" si="0"/>
        <v>1950000</v>
      </c>
    </row>
    <row r="52" spans="1:3" x14ac:dyDescent="0.25">
      <c r="A52">
        <v>52</v>
      </c>
      <c r="B52">
        <v>2950000</v>
      </c>
      <c r="C52">
        <f t="shared" si="0"/>
        <v>1475000</v>
      </c>
    </row>
    <row r="53" spans="1:3" x14ac:dyDescent="0.25">
      <c r="A53">
        <v>53</v>
      </c>
      <c r="B53">
        <v>2130000</v>
      </c>
      <c r="C53">
        <f t="shared" si="0"/>
        <v>1065000</v>
      </c>
    </row>
    <row r="54" spans="1:3" x14ac:dyDescent="0.25">
      <c r="A54">
        <v>54</v>
      </c>
      <c r="B54">
        <v>1580000</v>
      </c>
      <c r="C54">
        <f t="shared" si="0"/>
        <v>790000</v>
      </c>
    </row>
    <row r="55" spans="1:3" x14ac:dyDescent="0.25">
      <c r="A55">
        <v>55</v>
      </c>
      <c r="B55">
        <v>2200000</v>
      </c>
      <c r="C55">
        <f t="shared" si="0"/>
        <v>1100000</v>
      </c>
    </row>
    <row r="56" spans="1:3" x14ac:dyDescent="0.25">
      <c r="A56">
        <v>56</v>
      </c>
      <c r="B56">
        <v>1180000</v>
      </c>
      <c r="C56">
        <f t="shared" si="0"/>
        <v>590000</v>
      </c>
    </row>
    <row r="57" spans="1:3" x14ac:dyDescent="0.25">
      <c r="A57">
        <v>57</v>
      </c>
      <c r="B57">
        <v>3890000</v>
      </c>
      <c r="C57">
        <f t="shared" si="0"/>
        <v>1945000</v>
      </c>
    </row>
    <row r="58" spans="1:3" x14ac:dyDescent="0.25">
      <c r="A58">
        <v>58</v>
      </c>
      <c r="B58">
        <v>1720000</v>
      </c>
      <c r="C58">
        <f t="shared" si="0"/>
        <v>860000</v>
      </c>
    </row>
    <row r="59" spans="1:3" x14ac:dyDescent="0.25">
      <c r="A59">
        <v>59</v>
      </c>
      <c r="B59">
        <v>2290000</v>
      </c>
      <c r="C59">
        <f t="shared" si="0"/>
        <v>1145000</v>
      </c>
    </row>
    <row r="60" spans="1:3" x14ac:dyDescent="0.25">
      <c r="A60">
        <v>60</v>
      </c>
      <c r="B60">
        <v>1650000</v>
      </c>
      <c r="C60">
        <f t="shared" si="0"/>
        <v>825000</v>
      </c>
    </row>
    <row r="61" spans="1:3" x14ac:dyDescent="0.25">
      <c r="A61">
        <v>61</v>
      </c>
      <c r="B61">
        <v>13900000</v>
      </c>
      <c r="C61">
        <f t="shared" si="0"/>
        <v>6950000</v>
      </c>
    </row>
    <row r="62" spans="1:3" x14ac:dyDescent="0.25">
      <c r="A62">
        <v>62</v>
      </c>
      <c r="B62">
        <v>4640000</v>
      </c>
      <c r="C62">
        <f t="shared" si="0"/>
        <v>2320000</v>
      </c>
    </row>
    <row r="63" spans="1:3" x14ac:dyDescent="0.25">
      <c r="A63">
        <v>63</v>
      </c>
      <c r="B63">
        <v>9800000</v>
      </c>
      <c r="C63">
        <f t="shared" si="0"/>
        <v>4900000</v>
      </c>
    </row>
    <row r="64" spans="1:3" x14ac:dyDescent="0.25">
      <c r="A64">
        <v>64</v>
      </c>
      <c r="B64">
        <v>3650000</v>
      </c>
      <c r="C64">
        <f>B64/2</f>
        <v>1825000</v>
      </c>
    </row>
    <row r="65" spans="1:3" x14ac:dyDescent="0.25">
      <c r="A65">
        <v>65</v>
      </c>
      <c r="B65">
        <v>3100000</v>
      </c>
      <c r="C65">
        <f t="shared" si="0"/>
        <v>1550000</v>
      </c>
    </row>
    <row r="66" spans="1:3" x14ac:dyDescent="0.25">
      <c r="A66">
        <v>66</v>
      </c>
      <c r="B66">
        <v>8250000</v>
      </c>
      <c r="C66">
        <f t="shared" si="0"/>
        <v>4125000</v>
      </c>
    </row>
    <row r="67" spans="1:3" x14ac:dyDescent="0.25">
      <c r="A67">
        <v>67</v>
      </c>
      <c r="B67">
        <v>2970000</v>
      </c>
      <c r="C67">
        <f t="shared" ref="C67:C75" si="1">B67/2</f>
        <v>1485000</v>
      </c>
    </row>
    <row r="68" spans="1:3" x14ac:dyDescent="0.25">
      <c r="A68">
        <v>68</v>
      </c>
      <c r="B68">
        <v>8680000</v>
      </c>
      <c r="C68">
        <f t="shared" si="1"/>
        <v>4340000</v>
      </c>
    </row>
    <row r="69" spans="1:3" x14ac:dyDescent="0.25">
      <c r="A69">
        <v>69</v>
      </c>
      <c r="B69">
        <v>7970000</v>
      </c>
      <c r="C69">
        <f t="shared" si="1"/>
        <v>3985000</v>
      </c>
    </row>
    <row r="70" spans="1:3" x14ac:dyDescent="0.25">
      <c r="A70">
        <v>70</v>
      </c>
      <c r="B70">
        <v>7540000</v>
      </c>
      <c r="C70">
        <f t="shared" si="1"/>
        <v>3770000</v>
      </c>
    </row>
    <row r="71" spans="1:3" x14ac:dyDescent="0.25">
      <c r="A71">
        <v>71</v>
      </c>
      <c r="B71">
        <v>6690000</v>
      </c>
      <c r="C71">
        <f t="shared" si="1"/>
        <v>3345000</v>
      </c>
    </row>
    <row r="72" spans="1:3" x14ac:dyDescent="0.25">
      <c r="A72">
        <v>72</v>
      </c>
      <c r="B72">
        <v>9710000</v>
      </c>
      <c r="C72">
        <f t="shared" si="1"/>
        <v>4855000</v>
      </c>
    </row>
    <row r="73" spans="1:3" x14ac:dyDescent="0.25">
      <c r="A73">
        <v>73</v>
      </c>
      <c r="B73">
        <v>2220000</v>
      </c>
      <c r="C73">
        <f t="shared" si="1"/>
        <v>1110000</v>
      </c>
    </row>
    <row r="74" spans="1:3" x14ac:dyDescent="0.25">
      <c r="A74">
        <v>74</v>
      </c>
      <c r="B74">
        <v>5750000</v>
      </c>
      <c r="C74">
        <f t="shared" si="1"/>
        <v>2875000</v>
      </c>
    </row>
    <row r="75" spans="1:3" x14ac:dyDescent="0.25">
      <c r="A75">
        <v>75</v>
      </c>
      <c r="B75">
        <v>5780000</v>
      </c>
      <c r="C75">
        <f t="shared" si="1"/>
        <v>2890000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7DEDB721378F4ABE01DF43C082BF72" ma:contentTypeVersion="4" ma:contentTypeDescription="Create a new document." ma:contentTypeScope="" ma:versionID="ab235ce3fdfaabc05946528347d3c446">
  <xsd:schema xmlns:xsd="http://www.w3.org/2001/XMLSchema" xmlns:xs="http://www.w3.org/2001/XMLSchema" xmlns:p="http://schemas.microsoft.com/office/2006/metadata/properties" xmlns:ns2="8b164f46-aaef-4c2e-9818-4011414ce37c" targetNamespace="http://schemas.microsoft.com/office/2006/metadata/properties" ma:root="true" ma:fieldsID="c7be0201ea5b6252b9cc4f2737abd279" ns2:_="">
    <xsd:import namespace="8b164f46-aaef-4c2e-9818-4011414ce3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64f46-aaef-4c2e-9818-4011414ce3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E79FB2-1B93-42B2-9165-160D634D4AC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8b164f46-aaef-4c2e-9818-4011414ce37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4532B83-6DC4-44B8-84CF-A6BB319160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843FD1-256D-4FA3-8EF4-19BF1E518D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164f46-aaef-4c2e-9818-4011414ce3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Sheet1</vt:lpstr>
      <vt:lpstr>Female Lymphoid Panel Day 8</vt:lpstr>
      <vt:lpstr>Female Lymphoid Panel Day 5</vt:lpstr>
      <vt:lpstr>Female Lymphoid Panel Day 4</vt:lpstr>
      <vt:lpstr>Female Lymphoid Panel Day 3</vt:lpstr>
      <vt:lpstr>Female Lymphoid Panel Day 0</vt:lpstr>
      <vt:lpstr>Male Lymphoid Panel Day 8</vt:lpstr>
      <vt:lpstr>Male Lymphoid Panel Day 5</vt:lpstr>
      <vt:lpstr>Male Lymphoid Panel Day 3</vt:lpstr>
      <vt:lpstr>Male Lymphoid Panel Day 0</vt:lpstr>
      <vt:lpstr>Male Lymphoid Panel Day 4</vt:lpstr>
      <vt:lpstr>Male Myeloid Panel Day 3</vt:lpstr>
      <vt:lpstr>Male Myeloid Panel Day 5</vt:lpstr>
      <vt:lpstr>Male Myeloid Panel Day 8</vt:lpstr>
      <vt:lpstr>Male Myeloid Panel Day 0</vt:lpstr>
      <vt:lpstr>Male Myeloid Panel Day 4</vt:lpstr>
      <vt:lpstr>Female Myeloid Panel Day 0</vt:lpstr>
      <vt:lpstr>Female Myeloid Panel Day 3</vt:lpstr>
      <vt:lpstr>Female Myeloid Panel Day 4</vt:lpstr>
      <vt:lpstr>Female Myeloid Panel Day 5</vt:lpstr>
      <vt:lpstr>Female Myeloid panel day 8</vt:lpstr>
      <vt:lpstr>MALE CELL COUNTS</vt:lpstr>
      <vt:lpstr>FEMALE CELL 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Suresh, Ramakrishna</cp:lastModifiedBy>
  <cp:revision/>
  <dcterms:created xsi:type="dcterms:W3CDTF">2023-07-20T17:09:51Z</dcterms:created>
  <dcterms:modified xsi:type="dcterms:W3CDTF">2024-09-30T17:16:12Z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0x0101004D7DEDB721378F4ABE01DF43C082BF72</vt:lpwstr>
  </property>
</Properties>
</file>