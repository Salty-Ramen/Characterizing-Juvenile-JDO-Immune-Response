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60" documentId="13_ncr:1_{AA657C58-BDC6-1D42-A5E4-F25A44CB4C92}" xr6:coauthVersionLast="47" xr6:coauthVersionMax="47" xr10:uidLastSave="{9C13CAD1-69C6-47E5-8C17-F35CC1F25F79}"/>
  <bookViews>
    <workbookView xWindow="-108" yWindow="-108" windowWidth="30936" windowHeight="18696" firstSheet="1" activeTab="1" xr2:uid="{A9FF5C54-84A9-2544-9DD5-62F9D808C417}"/>
  </bookViews>
  <sheets>
    <sheet name="IDs and Notes" sheetId="1" r:id="rId1"/>
    <sheet name="Body weights" sheetId="2" r:id="rId2"/>
    <sheet name="BAL Cell counts" sheetId="3" r:id="rId3"/>
    <sheet name="BAL protein Assay" sheetId="4" r:id="rId4"/>
    <sheet name="Data_Reordered_BW" sheetId="5" r:id="rId5"/>
    <sheet name="Data_Reordered_BAL_Protein" sheetId="6" r:id="rId6"/>
    <sheet name="Data_Reordered_BAL_Cell_Coun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7" l="1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84" i="3"/>
  <c r="E81" i="3"/>
  <c r="E44" i="3"/>
  <c r="E31" i="3"/>
  <c r="E18" i="3"/>
  <c r="E21" i="3" l="1"/>
  <c r="H87" i="4" l="1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86" i="4"/>
  <c r="I86" i="4" s="1"/>
  <c r="H60" i="4"/>
  <c r="I60" i="4" s="1"/>
  <c r="H59" i="4"/>
  <c r="I59" i="4" s="1"/>
  <c r="H58" i="4"/>
  <c r="I58" i="4" s="1"/>
  <c r="H36" i="4"/>
  <c r="I36" i="4" s="1"/>
  <c r="H35" i="4"/>
  <c r="I35" i="4" s="1"/>
  <c r="H34" i="4"/>
  <c r="I34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30" i="4"/>
  <c r="I30" i="4" s="1"/>
  <c r="H31" i="4"/>
  <c r="I31" i="4" s="1"/>
  <c r="H32" i="4"/>
  <c r="I32" i="4" s="1"/>
  <c r="H33" i="4"/>
  <c r="I33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B207" i="2" l="1"/>
  <c r="E78" i="3" l="1"/>
  <c r="E79" i="3"/>
  <c r="E80" i="3"/>
  <c r="E82" i="3"/>
  <c r="E83" i="3"/>
  <c r="E85" i="3"/>
  <c r="E86" i="3"/>
  <c r="E87" i="3"/>
  <c r="E88" i="3"/>
  <c r="E89" i="3"/>
  <c r="E90" i="3"/>
  <c r="E91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1" i="3"/>
  <c r="E46" i="3"/>
  <c r="E45" i="3"/>
  <c r="E43" i="3"/>
  <c r="E42" i="3"/>
  <c r="E40" i="3"/>
  <c r="E39" i="3"/>
  <c r="E38" i="3"/>
  <c r="E37" i="3"/>
  <c r="E36" i="3"/>
  <c r="E35" i="3"/>
  <c r="E34" i="3"/>
  <c r="E33" i="3"/>
  <c r="E32" i="3"/>
  <c r="E23" i="3"/>
  <c r="E19" i="3"/>
  <c r="E20" i="3"/>
  <c r="E22" i="3"/>
  <c r="E24" i="3"/>
  <c r="E25" i="3"/>
  <c r="E26" i="3"/>
  <c r="E27" i="3"/>
  <c r="E28" i="3"/>
  <c r="E29" i="3"/>
  <c r="E30" i="3"/>
  <c r="E17" i="3"/>
  <c r="E10" i="3"/>
  <c r="E3" i="3"/>
  <c r="E4" i="3"/>
  <c r="E5" i="3"/>
  <c r="E6" i="3"/>
  <c r="E7" i="3"/>
  <c r="E8" i="3"/>
  <c r="E9" i="3"/>
  <c r="E11" i="3"/>
  <c r="E12" i="3"/>
  <c r="E13" i="3"/>
  <c r="E14" i="3"/>
  <c r="E15" i="3"/>
  <c r="E16" i="3"/>
  <c r="E2" i="3"/>
  <c r="K172" i="2"/>
  <c r="K173" i="2"/>
  <c r="K174" i="2"/>
  <c r="K176" i="2"/>
  <c r="K177" i="2"/>
  <c r="K179" i="2"/>
  <c r="K180" i="2"/>
  <c r="K181" i="2"/>
  <c r="K182" i="2"/>
  <c r="K183" i="2"/>
  <c r="K184" i="2"/>
  <c r="K185" i="2"/>
  <c r="K171" i="2"/>
  <c r="J172" i="2"/>
  <c r="J173" i="2"/>
  <c r="J174" i="2"/>
  <c r="J176" i="2"/>
  <c r="J177" i="2"/>
  <c r="J179" i="2"/>
  <c r="J180" i="2"/>
  <c r="J181" i="2"/>
  <c r="J182" i="2"/>
  <c r="J183" i="2"/>
  <c r="J184" i="2"/>
  <c r="J185" i="2"/>
  <c r="J171" i="2"/>
  <c r="I185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71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56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41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26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11" i="2"/>
  <c r="D178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9" i="2"/>
  <c r="D180" i="2"/>
  <c r="D181" i="2"/>
  <c r="D182" i="2"/>
  <c r="D183" i="2"/>
  <c r="D184" i="2"/>
  <c r="D185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96" i="2"/>
</calcChain>
</file>

<file path=xl/sharedStrings.xml><?xml version="1.0" encoding="utf-8"?>
<sst xmlns="http://schemas.openxmlformats.org/spreadsheetml/2006/main" count="596" uniqueCount="46">
  <si>
    <t>JDO Master List</t>
  </si>
  <si>
    <t xml:space="preserve">Trial 1-males </t>
  </si>
  <si>
    <t>Infecting all but Day 0 on 2/19/21 w 10^4 PFU CA/07 strain in 10uL IN</t>
  </si>
  <si>
    <t>ID</t>
  </si>
  <si>
    <t>Group</t>
  </si>
  <si>
    <t>Cage #</t>
  </si>
  <si>
    <t>Cage ID</t>
  </si>
  <si>
    <t>Day 0 BW</t>
  </si>
  <si>
    <t>Sac BW</t>
  </si>
  <si>
    <t>Sac Date</t>
  </si>
  <si>
    <t xml:space="preserve">Sac Notes </t>
  </si>
  <si>
    <t>Day 0</t>
  </si>
  <si>
    <t>No Vent</t>
  </si>
  <si>
    <t>Day 3</t>
  </si>
  <si>
    <t>No vent</t>
  </si>
  <si>
    <t>No vent/BAL</t>
  </si>
  <si>
    <t>ESCAPEE</t>
  </si>
  <si>
    <t>Day 4</t>
  </si>
  <si>
    <t>No BAL</t>
  </si>
  <si>
    <t>Day 5</t>
  </si>
  <si>
    <t>QP after script</t>
  </si>
  <si>
    <t>Day 8</t>
  </si>
  <si>
    <t>Day 21</t>
  </si>
  <si>
    <t>Tail necrotic at sac</t>
  </si>
  <si>
    <t>Early sac-necrotic tail</t>
  </si>
  <si>
    <t>*D13-used scale that only weighs to the gram</t>
  </si>
  <si>
    <t>Day 10</t>
  </si>
  <si>
    <t>Day 13</t>
  </si>
  <si>
    <t>sac</t>
  </si>
  <si>
    <t>%BW difference</t>
  </si>
  <si>
    <t>Day 8: Comparison between weight at day 3 and day 8</t>
  </si>
  <si>
    <t>Pearsons</t>
  </si>
  <si>
    <t>BAL Cell counts (*10^4)</t>
  </si>
  <si>
    <t>Volume resuspended (ul)</t>
  </si>
  <si>
    <t>Adjusted count per mL</t>
  </si>
  <si>
    <t xml:space="preserve">03.25.21 BAL protein assay- coommasssie </t>
  </si>
  <si>
    <t xml:space="preserve">10uL sample + 200uL coommassie </t>
  </si>
  <si>
    <t>Undiluted</t>
  </si>
  <si>
    <t>1:5 Dilution</t>
  </si>
  <si>
    <t>1:10 Dilution</t>
  </si>
  <si>
    <t>Stnd/ID</t>
  </si>
  <si>
    <t>ABS1</t>
  </si>
  <si>
    <t xml:space="preserve">ABS2 </t>
  </si>
  <si>
    <t>AVG ABS</t>
  </si>
  <si>
    <t>Calculated protein (ug/mL)</t>
  </si>
  <si>
    <t>Mouse_ID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</si>
</sst>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208573928258965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'Body weights'!$B$191:$B$205</c:f>
              <c:numCache>
                <c:formatCode>General</c:formatCode>
                <c:ptCount val="15"/>
                <c:pt idx="0">
                  <c:v>1.2925170068027212</c:v>
                </c:pt>
                <c:pt idx="1">
                  <c:v>1.1388888888888888</c:v>
                </c:pt>
                <c:pt idx="2">
                  <c:v>1.186813186813187</c:v>
                </c:pt>
                <c:pt idx="3">
                  <c:v>1.248</c:v>
                </c:pt>
                <c:pt idx="4">
                  <c:v>1.2518518518518518</c:v>
                </c:pt>
                <c:pt idx="5">
                  <c:v>1.2773109243697478</c:v>
                </c:pt>
                <c:pt idx="6">
                  <c:v>1.2160493827160495</c:v>
                </c:pt>
                <c:pt idx="7">
                  <c:v>1.2349397590361444</c:v>
                </c:pt>
                <c:pt idx="8">
                  <c:v>1.201834862385321</c:v>
                </c:pt>
                <c:pt idx="9">
                  <c:v>1.1409395973154361</c:v>
                </c:pt>
                <c:pt idx="10">
                  <c:v>1.2999999999999998</c:v>
                </c:pt>
                <c:pt idx="11">
                  <c:v>1.2578616352201257</c:v>
                </c:pt>
                <c:pt idx="12">
                  <c:v>1.6276595744680851</c:v>
                </c:pt>
                <c:pt idx="13">
                  <c:v>1.6363636363636362</c:v>
                </c:pt>
                <c:pt idx="14">
                  <c:v>1.6219512195121955</c:v>
                </c:pt>
              </c:numCache>
            </c:numRef>
          </c:xVal>
          <c:yVal>
            <c:numRef>
              <c:f>'Body weights'!$C$191:$C$205</c:f>
              <c:numCache>
                <c:formatCode>General</c:formatCode>
                <c:ptCount val="15"/>
                <c:pt idx="0">
                  <c:v>1.6190476190476191</c:v>
                </c:pt>
                <c:pt idx="1">
                  <c:v>0.93555555555555558</c:v>
                </c:pt>
                <c:pt idx="2">
                  <c:v>1.365934065934066</c:v>
                </c:pt>
                <c:pt idx="3">
                  <c:v>1.6272</c:v>
                </c:pt>
                <c:pt idx="4">
                  <c:v>1.585925925925926</c:v>
                </c:pt>
                <c:pt idx="5">
                  <c:v>1.5949579831932772</c:v>
                </c:pt>
                <c:pt idx="6">
                  <c:v>1.338888888888889</c:v>
                </c:pt>
                <c:pt idx="7">
                  <c:v>1.4186746987951806</c:v>
                </c:pt>
                <c:pt idx="8">
                  <c:v>1.6137614678899082</c:v>
                </c:pt>
                <c:pt idx="9">
                  <c:v>1.2919463087248322</c:v>
                </c:pt>
                <c:pt idx="10">
                  <c:v>1.426923076923077</c:v>
                </c:pt>
                <c:pt idx="11">
                  <c:v>1.5949685534591194</c:v>
                </c:pt>
                <c:pt idx="12">
                  <c:v>2.0797872340425534</c:v>
                </c:pt>
                <c:pt idx="13">
                  <c:v>2.2852272727272727</c:v>
                </c:pt>
                <c:pt idx="14">
                  <c:v>2.2317073170731709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C-494F-80B6-C387562CF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965199"/>
        <c:axId val="1624365631"/>
      </c:scatterChart>
      <c:valAx>
        <c:axId val="162396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365631"/>
        <c:crosses val="autoZero"/>
        <c:crossBetween val="midCat"/>
      </c:valAx>
      <c:valAx>
        <c:axId val="16243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96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354286964129485"/>
                  <c:y val="-7.0831510644502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'BAL protein Assay'!$M$5:$M$13</c:f>
              <c:numCache>
                <c:formatCode>General</c:formatCode>
                <c:ptCount val="9"/>
                <c:pt idx="0">
                  <c:v>0.32750000000000001</c:v>
                </c:pt>
                <c:pt idx="1">
                  <c:v>0.35849999999999999</c:v>
                </c:pt>
                <c:pt idx="2">
                  <c:v>0.51500000000000001</c:v>
                </c:pt>
                <c:pt idx="3">
                  <c:v>0.66249999999999998</c:v>
                </c:pt>
                <c:pt idx="4">
                  <c:v>0.84499999999999997</c:v>
                </c:pt>
                <c:pt idx="5">
                  <c:v>0.9355</c:v>
                </c:pt>
                <c:pt idx="6">
                  <c:v>1.0855000000000001</c:v>
                </c:pt>
                <c:pt idx="7">
                  <c:v>1.1625000000000001</c:v>
                </c:pt>
                <c:pt idx="8">
                  <c:v>1.3054999999999999</c:v>
                </c:pt>
              </c:numCache>
            </c:numRef>
          </c:xVal>
          <c:yVal>
            <c:numRef>
              <c:f>'BAL protein Assay'!$N$5:$N$13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125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6-9846-AFEC-C3CBECFC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498975"/>
        <c:axId val="1781031071"/>
      </c:scatterChart>
      <c:valAx>
        <c:axId val="174049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031071"/>
        <c:crosses val="autoZero"/>
        <c:crossBetween val="midCat"/>
      </c:valAx>
      <c:valAx>
        <c:axId val="178103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9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190</xdr:row>
      <xdr:rowOff>44450</xdr:rowOff>
    </xdr:from>
    <xdr:to>
      <xdr:col>10</xdr:col>
      <xdr:colOff>749300</xdr:colOff>
      <xdr:row>203</xdr:row>
      <xdr:rowOff>146050</xdr:rowOff>
    </xdr:to>
    <xdr:graphicFrame macro="">
      <xdr:nvGraphicFramePr>
        <xdr:cNvPr id="3" name="Chart 2" title="Day 3 by Day 8 bw">
          <a:extLst>
            <a:ext uri="{FF2B5EF4-FFF2-40B4-BE49-F238E27FC236}">
              <a16:creationId xmlns:a16="http://schemas.microsoft.com/office/drawing/2014/main" id="{87E91FAD-117B-7E4D-927E-83CDEC781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13</xdr:row>
      <xdr:rowOff>184150</xdr:rowOff>
    </xdr:from>
    <xdr:to>
      <xdr:col>14</xdr:col>
      <xdr:colOff>762000</xdr:colOff>
      <xdr:row>27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2FF771-CDBE-1044-9F86-475386A34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C94F-01E1-2841-A86B-2553ABFB6892}">
  <dimension ref="A1:I94"/>
  <sheetViews>
    <sheetView topLeftCell="A75" workbookViewId="0">
      <selection activeCell="G20" sqref="G20"/>
    </sheetView>
  </sheetViews>
  <sheetFormatPr defaultColWidth="11" defaultRowHeight="15.6" x14ac:dyDescent="0.3"/>
  <cols>
    <col min="2" max="3" width="10.8984375" style="1"/>
    <col min="6" max="8" width="10.8984375" style="1"/>
  </cols>
  <sheetData>
    <row r="1" spans="1:9" x14ac:dyDescent="0.3">
      <c r="A1" s="5" t="s">
        <v>0</v>
      </c>
    </row>
    <row r="2" spans="1:9" x14ac:dyDescent="0.3">
      <c r="A2" s="5" t="s">
        <v>1</v>
      </c>
    </row>
    <row r="3" spans="1:9" x14ac:dyDescent="0.3">
      <c r="A3" t="s">
        <v>2</v>
      </c>
    </row>
    <row r="4" spans="1:9" ht="16.2" thickBot="1" x14ac:dyDescent="0.35">
      <c r="B4" s="1" t="s">
        <v>3</v>
      </c>
      <c r="C4" s="1" t="s">
        <v>4</v>
      </c>
      <c r="D4" t="s">
        <v>5</v>
      </c>
      <c r="E4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">
      <c r="B5" s="2">
        <v>1</v>
      </c>
      <c r="C5" s="6" t="s">
        <v>11</v>
      </c>
      <c r="D5" s="2">
        <v>1</v>
      </c>
      <c r="E5" s="6">
        <v>1</v>
      </c>
      <c r="F5" s="11">
        <v>12.7</v>
      </c>
      <c r="G5" s="11"/>
      <c r="H5" s="12">
        <v>44245</v>
      </c>
    </row>
    <row r="6" spans="1:9" x14ac:dyDescent="0.3">
      <c r="B6" s="3">
        <v>2</v>
      </c>
      <c r="C6" s="1" t="s">
        <v>11</v>
      </c>
      <c r="D6" s="3">
        <v>1</v>
      </c>
      <c r="E6" s="1">
        <v>2</v>
      </c>
      <c r="F6" s="11">
        <v>12.5</v>
      </c>
      <c r="G6" s="11"/>
      <c r="H6" s="12">
        <v>44245</v>
      </c>
    </row>
    <row r="7" spans="1:9" x14ac:dyDescent="0.3">
      <c r="B7" s="3">
        <v>3</v>
      </c>
      <c r="C7" s="1" t="s">
        <v>11</v>
      </c>
      <c r="D7" s="3">
        <v>1</v>
      </c>
      <c r="E7" s="1">
        <v>3</v>
      </c>
      <c r="F7" s="11">
        <v>14.4</v>
      </c>
      <c r="G7" s="11"/>
      <c r="H7" s="12">
        <v>44245</v>
      </c>
    </row>
    <row r="8" spans="1:9" x14ac:dyDescent="0.3">
      <c r="B8" s="3">
        <v>4</v>
      </c>
      <c r="C8" s="1" t="s">
        <v>11</v>
      </c>
      <c r="D8" s="3">
        <v>1</v>
      </c>
      <c r="E8" s="1">
        <v>4</v>
      </c>
      <c r="F8" s="11">
        <v>13.3</v>
      </c>
      <c r="G8" s="11"/>
      <c r="H8" s="12">
        <v>44245</v>
      </c>
    </row>
    <row r="9" spans="1:9" x14ac:dyDescent="0.3">
      <c r="B9" s="3">
        <v>5</v>
      </c>
      <c r="C9" s="1" t="s">
        <v>11</v>
      </c>
      <c r="D9" s="3">
        <v>2</v>
      </c>
      <c r="E9" s="1">
        <v>1</v>
      </c>
      <c r="F9" s="11">
        <v>16.600000000000001</v>
      </c>
      <c r="G9" s="11"/>
      <c r="H9" s="12">
        <v>44245</v>
      </c>
    </row>
    <row r="10" spans="1:9" x14ac:dyDescent="0.3">
      <c r="B10" s="3">
        <v>6</v>
      </c>
      <c r="C10" s="1" t="s">
        <v>11</v>
      </c>
      <c r="D10" s="3">
        <v>2</v>
      </c>
      <c r="E10" s="1">
        <v>2</v>
      </c>
      <c r="F10" s="11">
        <v>16.43</v>
      </c>
      <c r="G10" s="11"/>
      <c r="H10" s="12">
        <v>44245</v>
      </c>
    </row>
    <row r="11" spans="1:9" x14ac:dyDescent="0.3">
      <c r="B11" s="3">
        <v>7</v>
      </c>
      <c r="C11" s="1" t="s">
        <v>11</v>
      </c>
      <c r="D11" s="3">
        <v>2</v>
      </c>
      <c r="E11" s="1">
        <v>3</v>
      </c>
      <c r="F11" s="11">
        <v>15.9</v>
      </c>
      <c r="G11" s="11"/>
      <c r="H11" s="12">
        <v>44245</v>
      </c>
    </row>
    <row r="12" spans="1:9" x14ac:dyDescent="0.3">
      <c r="B12" s="3">
        <v>8</v>
      </c>
      <c r="C12" s="1" t="s">
        <v>11</v>
      </c>
      <c r="D12" s="3">
        <v>2</v>
      </c>
      <c r="E12" s="1">
        <v>4</v>
      </c>
      <c r="F12" s="11">
        <v>13.41</v>
      </c>
      <c r="G12" s="11"/>
      <c r="H12" s="12">
        <v>44245</v>
      </c>
    </row>
    <row r="13" spans="1:9" x14ac:dyDescent="0.3">
      <c r="B13" s="3">
        <v>9</v>
      </c>
      <c r="C13" s="1" t="s">
        <v>11</v>
      </c>
      <c r="D13" s="3">
        <v>3</v>
      </c>
      <c r="E13" s="1">
        <v>1</v>
      </c>
      <c r="F13" s="11">
        <v>12.25</v>
      </c>
      <c r="G13" s="11"/>
      <c r="H13" s="12">
        <v>44245</v>
      </c>
    </row>
    <row r="14" spans="1:9" x14ac:dyDescent="0.3">
      <c r="B14" s="3">
        <v>10</v>
      </c>
      <c r="C14" s="1" t="s">
        <v>11</v>
      </c>
      <c r="D14" s="3">
        <v>3</v>
      </c>
      <c r="E14" s="1">
        <v>2</v>
      </c>
      <c r="F14" s="11">
        <v>12.43</v>
      </c>
      <c r="G14" s="11"/>
      <c r="H14" s="12">
        <v>44245</v>
      </c>
    </row>
    <row r="15" spans="1:9" x14ac:dyDescent="0.3">
      <c r="B15" s="3">
        <v>11</v>
      </c>
      <c r="C15" s="1" t="s">
        <v>11</v>
      </c>
      <c r="D15" s="3">
        <v>3</v>
      </c>
      <c r="E15" s="1">
        <v>3</v>
      </c>
      <c r="F15" s="11">
        <v>9.58</v>
      </c>
      <c r="G15" s="11"/>
      <c r="H15" s="12">
        <v>44245</v>
      </c>
      <c r="I15" t="s">
        <v>12</v>
      </c>
    </row>
    <row r="16" spans="1:9" x14ac:dyDescent="0.3">
      <c r="B16" s="3">
        <v>12</v>
      </c>
      <c r="C16" s="1" t="s">
        <v>11</v>
      </c>
      <c r="D16" s="3">
        <v>3</v>
      </c>
      <c r="E16" s="1">
        <v>4</v>
      </c>
      <c r="F16" s="11">
        <v>10.66</v>
      </c>
      <c r="G16" s="11"/>
      <c r="H16" s="12">
        <v>44245</v>
      </c>
    </row>
    <row r="17" spans="2:9" x14ac:dyDescent="0.3">
      <c r="B17" s="3">
        <v>13</v>
      </c>
      <c r="C17" s="1" t="s">
        <v>11</v>
      </c>
      <c r="D17" s="3">
        <v>4</v>
      </c>
      <c r="E17" s="1">
        <v>1</v>
      </c>
      <c r="F17" s="11">
        <v>12.36</v>
      </c>
      <c r="G17" s="11"/>
      <c r="H17" s="12">
        <v>44245</v>
      </c>
    </row>
    <row r="18" spans="2:9" x14ac:dyDescent="0.3">
      <c r="B18" s="3">
        <v>14</v>
      </c>
      <c r="C18" s="1" t="s">
        <v>11</v>
      </c>
      <c r="D18" s="3">
        <v>4</v>
      </c>
      <c r="E18" s="1">
        <v>2</v>
      </c>
      <c r="F18" s="11">
        <v>12.43</v>
      </c>
      <c r="G18" s="11"/>
      <c r="H18" s="12">
        <v>44245</v>
      </c>
    </row>
    <row r="19" spans="2:9" ht="16.2" thickBot="1" x14ac:dyDescent="0.35">
      <c r="B19" s="3">
        <v>15</v>
      </c>
      <c r="C19" s="1" t="s">
        <v>11</v>
      </c>
      <c r="D19" s="4">
        <v>4</v>
      </c>
      <c r="E19" s="7">
        <v>3</v>
      </c>
      <c r="F19" s="11">
        <v>11.7</v>
      </c>
      <c r="G19" s="11"/>
      <c r="H19" s="12">
        <v>44245</v>
      </c>
    </row>
    <row r="20" spans="2:9" x14ac:dyDescent="0.3">
      <c r="B20" s="2">
        <v>16</v>
      </c>
      <c r="C20" s="6" t="s">
        <v>13</v>
      </c>
      <c r="D20" s="2">
        <v>5</v>
      </c>
      <c r="E20" s="6">
        <v>1</v>
      </c>
      <c r="F20" s="11">
        <v>11</v>
      </c>
      <c r="G20" s="11">
        <v>14.11</v>
      </c>
      <c r="H20" s="12">
        <v>44249</v>
      </c>
      <c r="I20" t="s">
        <v>14</v>
      </c>
    </row>
    <row r="21" spans="2:9" x14ac:dyDescent="0.3">
      <c r="B21" s="3">
        <v>17</v>
      </c>
      <c r="C21" s="1" t="s">
        <v>13</v>
      </c>
      <c r="D21" s="3">
        <v>5</v>
      </c>
      <c r="E21" s="1">
        <v>2</v>
      </c>
      <c r="F21" s="11">
        <v>11.7</v>
      </c>
      <c r="G21" s="11">
        <v>14.45</v>
      </c>
      <c r="H21" s="12">
        <v>44249</v>
      </c>
      <c r="I21" t="s">
        <v>15</v>
      </c>
    </row>
    <row r="22" spans="2:9" x14ac:dyDescent="0.3">
      <c r="B22" s="3">
        <v>18</v>
      </c>
      <c r="C22" s="1" t="s">
        <v>13</v>
      </c>
      <c r="D22" s="3">
        <v>5</v>
      </c>
      <c r="E22" s="1">
        <v>3</v>
      </c>
      <c r="F22" s="11">
        <v>13.1</v>
      </c>
      <c r="G22" s="11">
        <v>17.14</v>
      </c>
      <c r="H22" s="12">
        <v>44249</v>
      </c>
    </row>
    <row r="23" spans="2:9" x14ac:dyDescent="0.3">
      <c r="B23" s="3">
        <v>19</v>
      </c>
      <c r="C23" s="1" t="s">
        <v>13</v>
      </c>
      <c r="D23" s="3">
        <v>5</v>
      </c>
      <c r="E23" s="1">
        <v>4</v>
      </c>
      <c r="F23" s="11">
        <v>13.1</v>
      </c>
      <c r="G23" s="11">
        <v>16</v>
      </c>
      <c r="H23" s="12">
        <v>44249</v>
      </c>
    </row>
    <row r="24" spans="2:9" x14ac:dyDescent="0.3">
      <c r="B24" s="3">
        <v>20</v>
      </c>
      <c r="C24" s="1" t="s">
        <v>13</v>
      </c>
      <c r="D24" s="3">
        <v>6</v>
      </c>
      <c r="E24" s="1">
        <v>1</v>
      </c>
      <c r="F24" s="11">
        <v>13</v>
      </c>
      <c r="G24" s="11">
        <v>16.59</v>
      </c>
      <c r="H24" s="12">
        <v>44249</v>
      </c>
    </row>
    <row r="25" spans="2:9" x14ac:dyDescent="0.3">
      <c r="B25" s="3">
        <v>21</v>
      </c>
      <c r="C25" s="1" t="s">
        <v>13</v>
      </c>
      <c r="D25" s="3">
        <v>6</v>
      </c>
      <c r="E25" s="1">
        <v>2</v>
      </c>
      <c r="F25" s="11">
        <v>16</v>
      </c>
      <c r="G25" s="11">
        <v>20.12</v>
      </c>
      <c r="H25" s="12">
        <v>44249</v>
      </c>
    </row>
    <row r="26" spans="2:9" x14ac:dyDescent="0.3">
      <c r="B26" s="3">
        <v>22</v>
      </c>
      <c r="C26" s="1" t="s">
        <v>13</v>
      </c>
      <c r="D26" s="3">
        <v>6</v>
      </c>
      <c r="E26" s="1">
        <v>3</v>
      </c>
      <c r="F26" s="11">
        <v>15.9</v>
      </c>
      <c r="G26" s="11">
        <v>18.82</v>
      </c>
      <c r="H26" s="12">
        <v>44249</v>
      </c>
    </row>
    <row r="27" spans="2:9" x14ac:dyDescent="0.3">
      <c r="B27" s="3">
        <v>23</v>
      </c>
      <c r="C27" s="1" t="s">
        <v>13</v>
      </c>
      <c r="D27" s="3">
        <v>6</v>
      </c>
      <c r="E27" s="1">
        <v>4</v>
      </c>
      <c r="F27" s="11">
        <v>12</v>
      </c>
      <c r="G27" s="11">
        <v>15.32</v>
      </c>
      <c r="H27" s="12">
        <v>44249</v>
      </c>
    </row>
    <row r="28" spans="2:9" x14ac:dyDescent="0.3">
      <c r="B28" s="3">
        <v>24</v>
      </c>
      <c r="C28" s="1" t="s">
        <v>13</v>
      </c>
      <c r="D28" s="3">
        <v>7</v>
      </c>
      <c r="E28" s="1">
        <v>1</v>
      </c>
      <c r="F28" s="11">
        <v>13.9</v>
      </c>
      <c r="G28" s="11">
        <v>16.39</v>
      </c>
      <c r="H28" s="12">
        <v>44249</v>
      </c>
    </row>
    <row r="29" spans="2:9" x14ac:dyDescent="0.3">
      <c r="B29" s="3">
        <v>25</v>
      </c>
      <c r="C29" s="1" t="s">
        <v>13</v>
      </c>
      <c r="D29" s="3">
        <v>7</v>
      </c>
      <c r="E29" s="1">
        <v>2</v>
      </c>
      <c r="F29" s="11">
        <v>16.7</v>
      </c>
      <c r="G29" s="11">
        <v>20.420000000000002</v>
      </c>
      <c r="H29" s="12">
        <v>44249</v>
      </c>
    </row>
    <row r="30" spans="2:9" x14ac:dyDescent="0.3">
      <c r="B30" s="3">
        <v>26</v>
      </c>
      <c r="C30" s="1" t="s">
        <v>13</v>
      </c>
      <c r="D30" s="3">
        <v>7</v>
      </c>
      <c r="E30" s="1">
        <v>3</v>
      </c>
      <c r="F30" s="11">
        <v>16.8</v>
      </c>
      <c r="G30" s="11">
        <v>17.489999999999998</v>
      </c>
      <c r="H30" s="12">
        <v>44249</v>
      </c>
    </row>
    <row r="31" spans="2:9" x14ac:dyDescent="0.3">
      <c r="B31" s="3">
        <v>27</v>
      </c>
      <c r="C31" s="1" t="s">
        <v>13</v>
      </c>
      <c r="D31" s="3">
        <v>7</v>
      </c>
      <c r="E31" s="1">
        <v>4</v>
      </c>
      <c r="F31" s="11">
        <v>19.899999999999999</v>
      </c>
      <c r="G31" s="11">
        <v>24.36</v>
      </c>
      <c r="H31" s="12">
        <v>44249</v>
      </c>
    </row>
    <row r="32" spans="2:9" x14ac:dyDescent="0.3">
      <c r="B32" s="3">
        <v>28</v>
      </c>
      <c r="C32" s="1" t="s">
        <v>13</v>
      </c>
      <c r="D32" s="3">
        <v>8</v>
      </c>
      <c r="E32" s="1">
        <v>1</v>
      </c>
      <c r="F32" s="11">
        <v>12.2</v>
      </c>
      <c r="G32" s="11">
        <v>15.02</v>
      </c>
      <c r="H32" s="12">
        <v>44249</v>
      </c>
    </row>
    <row r="33" spans="2:9" x14ac:dyDescent="0.3">
      <c r="B33" s="3">
        <v>29</v>
      </c>
      <c r="C33" s="1" t="s">
        <v>13</v>
      </c>
      <c r="D33" s="3">
        <v>8</v>
      </c>
      <c r="E33" s="1">
        <v>2</v>
      </c>
      <c r="F33" s="11">
        <v>11.9</v>
      </c>
      <c r="G33" s="11">
        <v>13.42</v>
      </c>
      <c r="H33" s="12">
        <v>44249</v>
      </c>
    </row>
    <row r="34" spans="2:9" ht="16.2" thickBot="1" x14ac:dyDescent="0.35">
      <c r="B34" s="4">
        <v>30</v>
      </c>
      <c r="C34" s="7" t="s">
        <v>13</v>
      </c>
      <c r="D34" s="4">
        <v>8</v>
      </c>
      <c r="E34" s="7">
        <v>3</v>
      </c>
      <c r="F34" s="11" t="s">
        <v>16</v>
      </c>
      <c r="G34" s="11"/>
      <c r="H34" s="12">
        <v>44249</v>
      </c>
    </row>
    <row r="35" spans="2:9" x14ac:dyDescent="0.3">
      <c r="B35" s="3">
        <v>31</v>
      </c>
      <c r="C35" s="1" t="s">
        <v>17</v>
      </c>
      <c r="D35" s="2">
        <v>9</v>
      </c>
      <c r="E35" s="8">
        <v>1</v>
      </c>
      <c r="F35" s="11">
        <v>16.399999999999999</v>
      </c>
      <c r="G35" s="11">
        <v>21.54</v>
      </c>
      <c r="H35" s="12">
        <v>44250</v>
      </c>
    </row>
    <row r="36" spans="2:9" x14ac:dyDescent="0.3">
      <c r="B36" s="3">
        <v>32</v>
      </c>
      <c r="C36" s="1" t="s">
        <v>17</v>
      </c>
      <c r="D36" s="3">
        <v>9</v>
      </c>
      <c r="E36" s="9">
        <v>2</v>
      </c>
      <c r="F36" s="11">
        <v>16.399999999999999</v>
      </c>
      <c r="G36" s="11">
        <v>20.21</v>
      </c>
      <c r="H36" s="12">
        <v>44250</v>
      </c>
    </row>
    <row r="37" spans="2:9" x14ac:dyDescent="0.3">
      <c r="B37" s="3">
        <v>33</v>
      </c>
      <c r="C37" s="1" t="s">
        <v>17</v>
      </c>
      <c r="D37" s="3">
        <v>9</v>
      </c>
      <c r="E37" s="9">
        <v>3</v>
      </c>
      <c r="F37" s="11">
        <v>13.6</v>
      </c>
      <c r="G37" s="11">
        <v>17.21</v>
      </c>
      <c r="H37" s="12">
        <v>44250</v>
      </c>
    </row>
    <row r="38" spans="2:9" x14ac:dyDescent="0.3">
      <c r="B38" s="3">
        <v>34</v>
      </c>
      <c r="C38" s="1" t="s">
        <v>17</v>
      </c>
      <c r="D38" s="3">
        <v>9</v>
      </c>
      <c r="E38" s="9">
        <v>4</v>
      </c>
      <c r="F38" s="11">
        <v>18.3</v>
      </c>
      <c r="G38" s="11">
        <v>23.72</v>
      </c>
      <c r="H38" s="12">
        <v>44250</v>
      </c>
    </row>
    <row r="39" spans="2:9" x14ac:dyDescent="0.3">
      <c r="B39" s="3">
        <v>35</v>
      </c>
      <c r="C39" s="1" t="s">
        <v>17</v>
      </c>
      <c r="D39" s="3">
        <v>10</v>
      </c>
      <c r="E39" s="9">
        <v>1</v>
      </c>
      <c r="F39" s="11">
        <v>16.3</v>
      </c>
      <c r="G39" s="11">
        <v>19.309999999999999</v>
      </c>
      <c r="H39" s="12">
        <v>44250</v>
      </c>
    </row>
    <row r="40" spans="2:9" x14ac:dyDescent="0.3">
      <c r="B40" s="3">
        <v>36</v>
      </c>
      <c r="C40" s="1" t="s">
        <v>17</v>
      </c>
      <c r="D40" s="3">
        <v>10</v>
      </c>
      <c r="E40" s="9">
        <v>2</v>
      </c>
      <c r="F40" s="11">
        <v>11.6</v>
      </c>
      <c r="G40" s="11">
        <v>15.09</v>
      </c>
      <c r="H40" s="12">
        <v>44250</v>
      </c>
    </row>
    <row r="41" spans="2:9" x14ac:dyDescent="0.3">
      <c r="B41" s="3">
        <v>37</v>
      </c>
      <c r="C41" s="1" t="s">
        <v>17</v>
      </c>
      <c r="D41" s="3">
        <v>10</v>
      </c>
      <c r="E41" s="9">
        <v>3</v>
      </c>
      <c r="F41" s="11">
        <v>13.8</v>
      </c>
      <c r="G41" s="11">
        <v>17.010000000000002</v>
      </c>
      <c r="H41" s="12">
        <v>44250</v>
      </c>
    </row>
    <row r="42" spans="2:9" x14ac:dyDescent="0.3">
      <c r="B42" s="3">
        <v>38</v>
      </c>
      <c r="C42" s="1" t="s">
        <v>17</v>
      </c>
      <c r="D42" s="3">
        <v>10</v>
      </c>
      <c r="E42" s="9">
        <v>4</v>
      </c>
      <c r="F42" s="11">
        <v>17.5</v>
      </c>
      <c r="G42" s="11">
        <v>21.52</v>
      </c>
      <c r="H42" s="12">
        <v>44250</v>
      </c>
    </row>
    <row r="43" spans="2:9" x14ac:dyDescent="0.3">
      <c r="B43" s="3">
        <v>39</v>
      </c>
      <c r="C43" s="1" t="s">
        <v>17</v>
      </c>
      <c r="D43" s="3">
        <v>11</v>
      </c>
      <c r="E43" s="9">
        <v>1</v>
      </c>
      <c r="F43" s="11">
        <v>14.9</v>
      </c>
      <c r="G43" s="11">
        <v>19.100000000000001</v>
      </c>
      <c r="H43" s="12">
        <v>44250</v>
      </c>
    </row>
    <row r="44" spans="2:9" x14ac:dyDescent="0.3">
      <c r="B44" s="3">
        <v>40</v>
      </c>
      <c r="C44" s="1" t="s">
        <v>17</v>
      </c>
      <c r="D44" s="3">
        <v>11</v>
      </c>
      <c r="E44" s="9">
        <v>2</v>
      </c>
      <c r="F44" s="11">
        <v>15.3</v>
      </c>
      <c r="G44" s="11">
        <v>19.309999999999999</v>
      </c>
      <c r="H44" s="12">
        <v>44250</v>
      </c>
    </row>
    <row r="45" spans="2:9" x14ac:dyDescent="0.3">
      <c r="B45" s="3">
        <v>41</v>
      </c>
      <c r="C45" s="1" t="s">
        <v>17</v>
      </c>
      <c r="D45" s="3">
        <v>11</v>
      </c>
      <c r="E45" s="9">
        <v>3</v>
      </c>
      <c r="F45" s="11">
        <v>11.4</v>
      </c>
      <c r="G45" s="11">
        <v>15.52</v>
      </c>
      <c r="H45" s="12">
        <v>44250</v>
      </c>
    </row>
    <row r="46" spans="2:9" x14ac:dyDescent="0.3">
      <c r="B46" s="3">
        <v>42</v>
      </c>
      <c r="C46" s="1" t="s">
        <v>17</v>
      </c>
      <c r="D46" s="3">
        <v>11</v>
      </c>
      <c r="E46" s="9">
        <v>4</v>
      </c>
      <c r="F46" s="11">
        <v>14.9</v>
      </c>
      <c r="G46" s="11">
        <v>19.93</v>
      </c>
      <c r="H46" s="12">
        <v>44250</v>
      </c>
    </row>
    <row r="47" spans="2:9" x14ac:dyDescent="0.3">
      <c r="B47" s="3">
        <v>43</v>
      </c>
      <c r="C47" s="1" t="s">
        <v>17</v>
      </c>
      <c r="D47" s="3">
        <v>12</v>
      </c>
      <c r="E47" s="9">
        <v>1</v>
      </c>
      <c r="F47" s="11">
        <v>14.7</v>
      </c>
      <c r="G47" s="11">
        <v>16.7</v>
      </c>
      <c r="H47" s="12">
        <v>44250</v>
      </c>
      <c r="I47" t="s">
        <v>18</v>
      </c>
    </row>
    <row r="48" spans="2:9" x14ac:dyDescent="0.3">
      <c r="B48" s="3">
        <v>44</v>
      </c>
      <c r="C48" s="1" t="s">
        <v>17</v>
      </c>
      <c r="D48" s="3">
        <v>12</v>
      </c>
      <c r="E48" s="9">
        <v>2</v>
      </c>
      <c r="F48" s="11">
        <v>13.3</v>
      </c>
      <c r="G48" s="11">
        <v>17.64</v>
      </c>
      <c r="H48" s="12">
        <v>44250</v>
      </c>
    </row>
    <row r="49" spans="2:9" ht="16.2" thickBot="1" x14ac:dyDescent="0.35">
      <c r="B49" s="4">
        <v>45</v>
      </c>
      <c r="C49" s="7" t="s">
        <v>17</v>
      </c>
      <c r="D49" s="4">
        <v>12</v>
      </c>
      <c r="E49" s="10">
        <v>3</v>
      </c>
      <c r="F49" s="11">
        <v>14.8</v>
      </c>
      <c r="G49" s="11">
        <v>18.41</v>
      </c>
      <c r="H49" s="12">
        <v>44250</v>
      </c>
    </row>
    <row r="50" spans="2:9" x14ac:dyDescent="0.3">
      <c r="B50" s="2">
        <v>46</v>
      </c>
      <c r="C50" s="6" t="s">
        <v>19</v>
      </c>
      <c r="D50" s="2">
        <v>13</v>
      </c>
      <c r="E50" s="8">
        <v>1</v>
      </c>
      <c r="F50" s="11">
        <v>12.1</v>
      </c>
      <c r="G50" s="11">
        <v>17.72</v>
      </c>
      <c r="H50" s="12">
        <v>44251</v>
      </c>
    </row>
    <row r="51" spans="2:9" x14ac:dyDescent="0.3">
      <c r="B51" s="3">
        <v>47</v>
      </c>
      <c r="C51" s="1" t="s">
        <v>19</v>
      </c>
      <c r="D51" s="3">
        <v>13</v>
      </c>
      <c r="E51" s="9">
        <v>2</v>
      </c>
      <c r="F51" s="11">
        <v>13.8</v>
      </c>
      <c r="G51" s="11">
        <v>19.559999999999999</v>
      </c>
      <c r="H51" s="12">
        <v>44251</v>
      </c>
    </row>
    <row r="52" spans="2:9" x14ac:dyDescent="0.3">
      <c r="B52" s="3">
        <v>48</v>
      </c>
      <c r="C52" s="1" t="s">
        <v>19</v>
      </c>
      <c r="D52" s="3">
        <v>13</v>
      </c>
      <c r="E52" s="9">
        <v>3</v>
      </c>
      <c r="F52" s="11">
        <v>14</v>
      </c>
      <c r="G52" s="11">
        <v>18.96</v>
      </c>
      <c r="H52" s="12">
        <v>44251</v>
      </c>
    </row>
    <row r="53" spans="2:9" x14ac:dyDescent="0.3">
      <c r="B53" s="3">
        <v>49</v>
      </c>
      <c r="C53" s="1" t="s">
        <v>19</v>
      </c>
      <c r="D53" s="3">
        <v>13</v>
      </c>
      <c r="E53" s="9">
        <v>4</v>
      </c>
      <c r="F53" s="11">
        <v>11.8</v>
      </c>
      <c r="G53" s="11">
        <v>16.829999999999998</v>
      </c>
      <c r="H53" s="12">
        <v>44251</v>
      </c>
    </row>
    <row r="54" spans="2:9" x14ac:dyDescent="0.3">
      <c r="B54" s="3">
        <v>50</v>
      </c>
      <c r="C54" s="1" t="s">
        <v>19</v>
      </c>
      <c r="D54" s="3">
        <v>14</v>
      </c>
      <c r="E54" s="9">
        <v>1</v>
      </c>
      <c r="F54" s="11">
        <v>7.3</v>
      </c>
      <c r="G54" s="11">
        <v>12.69</v>
      </c>
      <c r="H54" s="12">
        <v>44251</v>
      </c>
    </row>
    <row r="55" spans="2:9" x14ac:dyDescent="0.3">
      <c r="B55" s="3">
        <v>51</v>
      </c>
      <c r="C55" s="1" t="s">
        <v>19</v>
      </c>
      <c r="D55" s="3">
        <v>14</v>
      </c>
      <c r="E55" s="9">
        <v>2</v>
      </c>
      <c r="F55" s="11">
        <v>9.1</v>
      </c>
      <c r="G55" s="11">
        <v>15.7</v>
      </c>
      <c r="H55" s="12">
        <v>44251</v>
      </c>
    </row>
    <row r="56" spans="2:9" x14ac:dyDescent="0.3">
      <c r="B56" s="3">
        <v>52</v>
      </c>
      <c r="C56" s="1" t="s">
        <v>19</v>
      </c>
      <c r="D56" s="3">
        <v>14</v>
      </c>
      <c r="E56" s="9">
        <v>3</v>
      </c>
      <c r="F56" s="11">
        <v>13</v>
      </c>
      <c r="G56" s="11">
        <v>22.74</v>
      </c>
      <c r="H56" s="12">
        <v>44251</v>
      </c>
    </row>
    <row r="57" spans="2:9" x14ac:dyDescent="0.3">
      <c r="B57" s="3">
        <v>53</v>
      </c>
      <c r="C57" s="1" t="s">
        <v>19</v>
      </c>
      <c r="D57" s="3">
        <v>14</v>
      </c>
      <c r="E57" s="9">
        <v>4</v>
      </c>
      <c r="F57" s="11">
        <v>11.3</v>
      </c>
      <c r="G57" s="11">
        <v>19.13</v>
      </c>
      <c r="H57" s="12">
        <v>44251</v>
      </c>
      <c r="I57" t="s">
        <v>20</v>
      </c>
    </row>
    <row r="58" spans="2:9" x14ac:dyDescent="0.3">
      <c r="B58" s="3">
        <v>54</v>
      </c>
      <c r="C58" s="1" t="s">
        <v>19</v>
      </c>
      <c r="D58" s="3">
        <v>15</v>
      </c>
      <c r="E58" s="9">
        <v>1</v>
      </c>
      <c r="F58" s="11">
        <v>11.5</v>
      </c>
      <c r="G58" s="11">
        <v>14.85</v>
      </c>
      <c r="H58" s="12">
        <v>44251</v>
      </c>
    </row>
    <row r="59" spans="2:9" x14ac:dyDescent="0.3">
      <c r="B59" s="3">
        <v>55</v>
      </c>
      <c r="C59" s="1" t="s">
        <v>19</v>
      </c>
      <c r="D59" s="3">
        <v>15</v>
      </c>
      <c r="E59" s="9">
        <v>2</v>
      </c>
      <c r="F59" s="11">
        <v>11.3</v>
      </c>
      <c r="G59" s="11">
        <v>15.61</v>
      </c>
      <c r="H59" s="12">
        <v>44251</v>
      </c>
    </row>
    <row r="60" spans="2:9" x14ac:dyDescent="0.3">
      <c r="B60" s="3">
        <v>56</v>
      </c>
      <c r="C60" s="1" t="s">
        <v>19</v>
      </c>
      <c r="D60" s="3">
        <v>15</v>
      </c>
      <c r="E60" s="9">
        <v>3</v>
      </c>
      <c r="F60" s="11">
        <v>15.5</v>
      </c>
      <c r="G60" s="11">
        <v>21.51</v>
      </c>
      <c r="H60" s="12">
        <v>44251</v>
      </c>
    </row>
    <row r="61" spans="2:9" x14ac:dyDescent="0.3">
      <c r="B61" s="3">
        <v>57</v>
      </c>
      <c r="C61" s="1" t="s">
        <v>19</v>
      </c>
      <c r="D61" s="3">
        <v>15</v>
      </c>
      <c r="E61" s="9">
        <v>4</v>
      </c>
      <c r="F61" s="11">
        <v>10.3</v>
      </c>
      <c r="G61" s="11">
        <v>15.4</v>
      </c>
      <c r="H61" s="12">
        <v>44251</v>
      </c>
    </row>
    <row r="62" spans="2:9" x14ac:dyDescent="0.3">
      <c r="B62" s="3">
        <v>58</v>
      </c>
      <c r="C62" s="1" t="s">
        <v>19</v>
      </c>
      <c r="D62" s="3">
        <v>16</v>
      </c>
      <c r="E62" s="9">
        <v>1</v>
      </c>
      <c r="F62" s="11">
        <v>13.6</v>
      </c>
      <c r="G62" s="11">
        <v>20.059999999999999</v>
      </c>
      <c r="H62" s="12">
        <v>44251</v>
      </c>
    </row>
    <row r="63" spans="2:9" x14ac:dyDescent="0.3">
      <c r="B63" s="3">
        <v>59</v>
      </c>
      <c r="C63" s="1" t="s">
        <v>19</v>
      </c>
      <c r="D63" s="3">
        <v>16</v>
      </c>
      <c r="E63" s="9">
        <v>2</v>
      </c>
      <c r="F63" s="11">
        <v>13.3</v>
      </c>
      <c r="G63" s="11">
        <v>20.86</v>
      </c>
      <c r="H63" s="12">
        <v>44251</v>
      </c>
    </row>
    <row r="64" spans="2:9" ht="16.2" thickBot="1" x14ac:dyDescent="0.35">
      <c r="B64" s="4">
        <v>60</v>
      </c>
      <c r="C64" s="7" t="s">
        <v>19</v>
      </c>
      <c r="D64" s="4">
        <v>16</v>
      </c>
      <c r="E64" s="10">
        <v>3</v>
      </c>
      <c r="F64" s="11">
        <v>11.3</v>
      </c>
      <c r="G64" s="11">
        <v>16.579999999999998</v>
      </c>
      <c r="H64" s="12">
        <v>44251</v>
      </c>
    </row>
    <row r="65" spans="2:9" x14ac:dyDescent="0.3">
      <c r="B65" s="2">
        <v>61</v>
      </c>
      <c r="C65" s="6" t="s">
        <v>21</v>
      </c>
      <c r="D65" s="2">
        <v>17</v>
      </c>
      <c r="E65" s="8">
        <v>1</v>
      </c>
      <c r="F65" s="11">
        <v>14.7</v>
      </c>
      <c r="G65" s="11">
        <v>23.8</v>
      </c>
      <c r="H65" s="12">
        <v>44254</v>
      </c>
    </row>
    <row r="66" spans="2:9" x14ac:dyDescent="0.3">
      <c r="B66" s="3">
        <v>62</v>
      </c>
      <c r="C66" s="1" t="s">
        <v>21</v>
      </c>
      <c r="D66" s="3">
        <v>17</v>
      </c>
      <c r="E66" s="9">
        <v>2</v>
      </c>
      <c r="F66" s="11">
        <v>18</v>
      </c>
      <c r="G66" s="11">
        <v>16.84</v>
      </c>
      <c r="H66" s="12">
        <v>44254</v>
      </c>
    </row>
    <row r="67" spans="2:9" x14ac:dyDescent="0.3">
      <c r="B67" s="3">
        <v>63</v>
      </c>
      <c r="C67" s="1" t="s">
        <v>21</v>
      </c>
      <c r="D67" s="3">
        <v>17</v>
      </c>
      <c r="E67" s="9">
        <v>3</v>
      </c>
      <c r="F67" s="11">
        <v>18.2</v>
      </c>
      <c r="G67" s="11">
        <v>24.86</v>
      </c>
      <c r="H67" s="12">
        <v>44254</v>
      </c>
      <c r="I67" t="s">
        <v>20</v>
      </c>
    </row>
    <row r="68" spans="2:9" x14ac:dyDescent="0.3">
      <c r="B68" s="3">
        <v>64</v>
      </c>
      <c r="C68" s="1" t="s">
        <v>21</v>
      </c>
      <c r="D68" s="3">
        <v>17</v>
      </c>
      <c r="E68" s="9">
        <v>4</v>
      </c>
      <c r="F68" s="11">
        <v>12.5</v>
      </c>
      <c r="G68" s="11">
        <v>20.34</v>
      </c>
      <c r="H68" s="12">
        <v>44254</v>
      </c>
    </row>
    <row r="69" spans="2:9" x14ac:dyDescent="0.3">
      <c r="B69" s="3">
        <v>65</v>
      </c>
      <c r="C69" s="1" t="s">
        <v>21</v>
      </c>
      <c r="D69" s="3">
        <v>18</v>
      </c>
      <c r="E69" s="9">
        <v>1</v>
      </c>
      <c r="F69" s="11">
        <v>13.5</v>
      </c>
      <c r="G69" s="11">
        <v>21.41</v>
      </c>
      <c r="H69" s="12">
        <v>44254</v>
      </c>
    </row>
    <row r="70" spans="2:9" x14ac:dyDescent="0.3">
      <c r="B70" s="3">
        <v>66</v>
      </c>
      <c r="C70" s="1" t="s">
        <v>21</v>
      </c>
      <c r="D70" s="3">
        <v>18</v>
      </c>
      <c r="E70" s="9">
        <v>2</v>
      </c>
      <c r="F70" s="11">
        <v>11.9</v>
      </c>
      <c r="G70" s="11">
        <v>18.98</v>
      </c>
      <c r="H70" s="12">
        <v>44254</v>
      </c>
    </row>
    <row r="71" spans="2:9" x14ac:dyDescent="0.3">
      <c r="B71" s="3">
        <v>67</v>
      </c>
      <c r="C71" s="1" t="s">
        <v>21</v>
      </c>
      <c r="D71" s="3">
        <v>18</v>
      </c>
      <c r="E71" s="9">
        <v>3</v>
      </c>
      <c r="F71" s="11">
        <v>16.2</v>
      </c>
      <c r="G71" s="11">
        <v>21.69</v>
      </c>
      <c r="H71" s="12">
        <v>44254</v>
      </c>
    </row>
    <row r="72" spans="2:9" x14ac:dyDescent="0.3">
      <c r="B72" s="3">
        <v>68</v>
      </c>
      <c r="C72" s="1" t="s">
        <v>21</v>
      </c>
      <c r="D72" s="3">
        <v>18</v>
      </c>
      <c r="E72" s="9">
        <v>4</v>
      </c>
      <c r="F72" s="11">
        <v>16.600000000000001</v>
      </c>
      <c r="G72" s="11">
        <v>23.55</v>
      </c>
      <c r="H72" s="12">
        <v>44254</v>
      </c>
    </row>
    <row r="73" spans="2:9" x14ac:dyDescent="0.3">
      <c r="B73" s="3">
        <v>69</v>
      </c>
      <c r="C73" s="1" t="s">
        <v>21</v>
      </c>
      <c r="D73" s="3">
        <v>19</v>
      </c>
      <c r="E73" s="9">
        <v>1</v>
      </c>
      <c r="F73" s="11">
        <v>10.9</v>
      </c>
      <c r="G73" s="11">
        <v>17.59</v>
      </c>
      <c r="H73" s="12">
        <v>44254</v>
      </c>
    </row>
    <row r="74" spans="2:9" x14ac:dyDescent="0.3">
      <c r="B74" s="3">
        <v>70</v>
      </c>
      <c r="C74" s="1" t="s">
        <v>21</v>
      </c>
      <c r="D74" s="3">
        <v>19</v>
      </c>
      <c r="E74" s="9">
        <v>2</v>
      </c>
      <c r="F74" s="11">
        <v>14.9</v>
      </c>
      <c r="G74" s="11">
        <v>19.25</v>
      </c>
      <c r="H74" s="12">
        <v>44254</v>
      </c>
    </row>
    <row r="75" spans="2:9" x14ac:dyDescent="0.3">
      <c r="B75" s="3">
        <v>71</v>
      </c>
      <c r="C75" s="1" t="s">
        <v>21</v>
      </c>
      <c r="D75" s="3">
        <v>19</v>
      </c>
      <c r="E75" s="9">
        <v>3</v>
      </c>
      <c r="F75" s="11">
        <v>13</v>
      </c>
      <c r="G75" s="11">
        <v>18.55</v>
      </c>
      <c r="H75" s="12">
        <v>44254</v>
      </c>
    </row>
    <row r="76" spans="2:9" x14ac:dyDescent="0.3">
      <c r="B76" s="3">
        <v>72</v>
      </c>
      <c r="C76" s="1" t="s">
        <v>21</v>
      </c>
      <c r="D76" s="3">
        <v>19</v>
      </c>
      <c r="E76" s="9">
        <v>4</v>
      </c>
      <c r="F76" s="11">
        <v>15.9</v>
      </c>
      <c r="G76" s="11">
        <v>25.36</v>
      </c>
      <c r="H76" s="12">
        <v>44254</v>
      </c>
    </row>
    <row r="77" spans="2:9" x14ac:dyDescent="0.3">
      <c r="B77" s="3">
        <v>73</v>
      </c>
      <c r="C77" s="1" t="s">
        <v>21</v>
      </c>
      <c r="D77" s="3">
        <v>20</v>
      </c>
      <c r="E77" s="9">
        <v>1</v>
      </c>
      <c r="F77" s="11">
        <v>9.4</v>
      </c>
      <c r="G77" s="11">
        <v>19.55</v>
      </c>
      <c r="H77" s="12">
        <v>44254</v>
      </c>
    </row>
    <row r="78" spans="2:9" x14ac:dyDescent="0.3">
      <c r="B78" s="3">
        <v>74</v>
      </c>
      <c r="C78" s="1" t="s">
        <v>21</v>
      </c>
      <c r="D78" s="3">
        <v>20</v>
      </c>
      <c r="E78" s="9">
        <v>2</v>
      </c>
      <c r="F78" s="11">
        <v>8.8000000000000007</v>
      </c>
      <c r="G78" s="11">
        <v>20.11</v>
      </c>
      <c r="H78" s="12">
        <v>44254</v>
      </c>
    </row>
    <row r="79" spans="2:9" ht="16.2" thickBot="1" x14ac:dyDescent="0.35">
      <c r="B79" s="4">
        <v>75</v>
      </c>
      <c r="C79" s="7" t="s">
        <v>21</v>
      </c>
      <c r="D79" s="4">
        <v>20</v>
      </c>
      <c r="E79" s="10">
        <v>3</v>
      </c>
      <c r="F79" s="11">
        <v>8.1999999999999993</v>
      </c>
      <c r="G79" s="11">
        <v>18.3</v>
      </c>
      <c r="H79" s="12">
        <v>44254</v>
      </c>
    </row>
    <row r="80" spans="2:9" x14ac:dyDescent="0.3">
      <c r="B80" s="2">
        <v>76</v>
      </c>
      <c r="C80" s="6" t="s">
        <v>22</v>
      </c>
      <c r="D80" s="2">
        <v>21</v>
      </c>
      <c r="E80" s="8">
        <v>1</v>
      </c>
      <c r="F80" s="11">
        <v>16</v>
      </c>
      <c r="G80" s="11">
        <v>24.55</v>
      </c>
      <c r="H80" s="12">
        <v>44267</v>
      </c>
    </row>
    <row r="81" spans="2:9" x14ac:dyDescent="0.3">
      <c r="B81" s="3">
        <v>77</v>
      </c>
      <c r="C81" s="1" t="s">
        <v>22</v>
      </c>
      <c r="D81" s="3">
        <v>21</v>
      </c>
      <c r="E81" s="9">
        <v>2</v>
      </c>
      <c r="F81" s="11">
        <v>14</v>
      </c>
      <c r="G81" s="11">
        <v>26.57</v>
      </c>
      <c r="H81" s="12">
        <v>44267</v>
      </c>
    </row>
    <row r="82" spans="2:9" x14ac:dyDescent="0.3">
      <c r="B82" s="3">
        <v>78</v>
      </c>
      <c r="C82" s="1" t="s">
        <v>22</v>
      </c>
      <c r="D82" s="3">
        <v>21</v>
      </c>
      <c r="E82" s="9">
        <v>3</v>
      </c>
      <c r="F82" s="11">
        <v>11.1</v>
      </c>
      <c r="G82" s="11">
        <v>23.11</v>
      </c>
      <c r="H82" s="12">
        <v>44267</v>
      </c>
    </row>
    <row r="83" spans="2:9" x14ac:dyDescent="0.3">
      <c r="B83" s="3">
        <v>79</v>
      </c>
      <c r="C83" s="1" t="s">
        <v>22</v>
      </c>
      <c r="D83" s="3">
        <v>21</v>
      </c>
      <c r="E83" s="9">
        <v>4</v>
      </c>
      <c r="F83" s="11">
        <v>14.8</v>
      </c>
      <c r="G83" s="11">
        <v>25.93</v>
      </c>
      <c r="H83" s="12">
        <v>44267</v>
      </c>
      <c r="I83" t="s">
        <v>23</v>
      </c>
    </row>
    <row r="84" spans="2:9" x14ac:dyDescent="0.3">
      <c r="B84" s="3">
        <v>80</v>
      </c>
      <c r="C84" s="1" t="s">
        <v>22</v>
      </c>
      <c r="D84" s="3">
        <v>22</v>
      </c>
      <c r="E84" s="9">
        <v>1</v>
      </c>
      <c r="F84" s="11">
        <v>14.5</v>
      </c>
      <c r="G84" s="11"/>
      <c r="H84" s="12">
        <v>44267</v>
      </c>
      <c r="I84" t="s">
        <v>24</v>
      </c>
    </row>
    <row r="85" spans="2:9" x14ac:dyDescent="0.3">
      <c r="B85" s="3">
        <v>81</v>
      </c>
      <c r="C85" s="1" t="s">
        <v>22</v>
      </c>
      <c r="D85" s="3">
        <v>22</v>
      </c>
      <c r="E85" s="9">
        <v>2</v>
      </c>
      <c r="F85" s="11">
        <v>14.5</v>
      </c>
      <c r="G85" s="11">
        <v>27.81</v>
      </c>
      <c r="H85" s="12">
        <v>44267</v>
      </c>
    </row>
    <row r="86" spans="2:9" x14ac:dyDescent="0.3">
      <c r="B86" s="3">
        <v>82</v>
      </c>
      <c r="C86" s="1" t="s">
        <v>22</v>
      </c>
      <c r="D86" s="3">
        <v>22</v>
      </c>
      <c r="E86" s="9">
        <v>3</v>
      </c>
      <c r="F86" s="11">
        <v>12.6</v>
      </c>
      <c r="G86" s="11">
        <v>22</v>
      </c>
      <c r="H86" s="12">
        <v>44267</v>
      </c>
    </row>
    <row r="87" spans="2:9" x14ac:dyDescent="0.3">
      <c r="B87" s="3">
        <v>83</v>
      </c>
      <c r="C87" s="1" t="s">
        <v>22</v>
      </c>
      <c r="D87" s="3">
        <v>22</v>
      </c>
      <c r="E87" s="9">
        <v>4</v>
      </c>
      <c r="F87" s="11">
        <v>14</v>
      </c>
      <c r="G87" s="11"/>
      <c r="H87" s="12">
        <v>44267</v>
      </c>
      <c r="I87" t="s">
        <v>24</v>
      </c>
    </row>
    <row r="88" spans="2:9" x14ac:dyDescent="0.3">
      <c r="B88" s="3">
        <v>84</v>
      </c>
      <c r="C88" s="1" t="s">
        <v>22</v>
      </c>
      <c r="D88" s="3">
        <v>23</v>
      </c>
      <c r="E88" s="9">
        <v>1</v>
      </c>
      <c r="F88" s="11">
        <v>13.5</v>
      </c>
      <c r="G88" s="11">
        <v>24.26</v>
      </c>
      <c r="H88" s="12">
        <v>44267</v>
      </c>
    </row>
    <row r="89" spans="2:9" x14ac:dyDescent="0.3">
      <c r="B89" s="3">
        <v>85</v>
      </c>
      <c r="C89" s="1" t="s">
        <v>22</v>
      </c>
      <c r="D89" s="3">
        <v>23</v>
      </c>
      <c r="E89" s="9">
        <v>2</v>
      </c>
      <c r="F89" s="11">
        <v>12.7</v>
      </c>
      <c r="G89" s="11">
        <v>24.36</v>
      </c>
      <c r="H89" s="12">
        <v>44267</v>
      </c>
    </row>
    <row r="90" spans="2:9" x14ac:dyDescent="0.3">
      <c r="B90" s="3">
        <v>86</v>
      </c>
      <c r="C90" s="1" t="s">
        <v>22</v>
      </c>
      <c r="D90" s="3">
        <v>23</v>
      </c>
      <c r="E90" s="9">
        <v>3</v>
      </c>
      <c r="F90" s="11">
        <v>14.3</v>
      </c>
      <c r="G90" s="11">
        <v>32.89</v>
      </c>
      <c r="H90" s="12">
        <v>44267</v>
      </c>
    </row>
    <row r="91" spans="2:9" x14ac:dyDescent="0.3">
      <c r="B91" s="3">
        <v>87</v>
      </c>
      <c r="C91" s="1" t="s">
        <v>22</v>
      </c>
      <c r="D91" s="3">
        <v>23</v>
      </c>
      <c r="E91" s="9">
        <v>4</v>
      </c>
      <c r="F91" s="11">
        <v>16.899999999999999</v>
      </c>
      <c r="G91" s="11">
        <v>27.11</v>
      </c>
      <c r="H91" s="12">
        <v>44267</v>
      </c>
    </row>
    <row r="92" spans="2:9" x14ac:dyDescent="0.3">
      <c r="B92" s="3">
        <v>88</v>
      </c>
      <c r="C92" s="1" t="s">
        <v>22</v>
      </c>
      <c r="D92" s="3">
        <v>24</v>
      </c>
      <c r="E92" s="9">
        <v>1</v>
      </c>
      <c r="F92" s="11">
        <v>10.5</v>
      </c>
      <c r="G92" s="11">
        <v>21.74</v>
      </c>
      <c r="H92" s="12">
        <v>44267</v>
      </c>
    </row>
    <row r="93" spans="2:9" x14ac:dyDescent="0.3">
      <c r="B93" s="3">
        <v>89</v>
      </c>
      <c r="C93" s="1" t="s">
        <v>22</v>
      </c>
      <c r="D93" s="3">
        <v>24</v>
      </c>
      <c r="E93" s="9">
        <v>2</v>
      </c>
      <c r="F93" s="11">
        <v>11.5</v>
      </c>
      <c r="G93" s="11">
        <v>24.79</v>
      </c>
      <c r="H93" s="12">
        <v>44267</v>
      </c>
    </row>
    <row r="94" spans="2:9" ht="16.2" thickBot="1" x14ac:dyDescent="0.35">
      <c r="B94" s="4">
        <v>90</v>
      </c>
      <c r="C94" s="7" t="s">
        <v>22</v>
      </c>
      <c r="D94" s="4">
        <v>24</v>
      </c>
      <c r="E94" s="10">
        <v>3</v>
      </c>
      <c r="F94" s="11">
        <v>14.1</v>
      </c>
      <c r="G94" s="11">
        <v>28.65</v>
      </c>
      <c r="H94" s="12">
        <v>44267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56E2-F300-D540-94F9-6C683BB212E8}">
  <dimension ref="A1:K207"/>
  <sheetViews>
    <sheetView tabSelected="1" topLeftCell="A94" workbookViewId="0">
      <selection activeCell="E111" sqref="E111:E124"/>
    </sheetView>
  </sheetViews>
  <sheetFormatPr defaultColWidth="11" defaultRowHeight="15.6" x14ac:dyDescent="0.3"/>
  <sheetData>
    <row r="1" spans="2:11" x14ac:dyDescent="0.3">
      <c r="J1" t="s">
        <v>25</v>
      </c>
    </row>
    <row r="2" spans="2:11" x14ac:dyDescent="0.3">
      <c r="B2" s="11" t="s">
        <v>3</v>
      </c>
      <c r="C2" s="11" t="s">
        <v>4</v>
      </c>
      <c r="D2" s="11" t="s">
        <v>7</v>
      </c>
      <c r="E2" s="11" t="s">
        <v>13</v>
      </c>
      <c r="F2" s="11" t="s">
        <v>17</v>
      </c>
      <c r="G2" s="11" t="s">
        <v>19</v>
      </c>
      <c r="H2" s="11" t="s">
        <v>21</v>
      </c>
      <c r="I2" s="11" t="s">
        <v>26</v>
      </c>
      <c r="J2" s="11" t="s">
        <v>27</v>
      </c>
      <c r="K2" s="11" t="s">
        <v>22</v>
      </c>
    </row>
    <row r="3" spans="2:11" x14ac:dyDescent="0.3">
      <c r="B3" s="11">
        <v>1</v>
      </c>
      <c r="C3" s="11" t="s">
        <v>11</v>
      </c>
      <c r="D3" s="11">
        <v>12.7</v>
      </c>
      <c r="E3" s="13"/>
      <c r="F3" s="13"/>
      <c r="G3" s="13"/>
      <c r="H3" s="13"/>
      <c r="I3" s="13"/>
      <c r="J3" s="13"/>
      <c r="K3" s="13"/>
    </row>
    <row r="4" spans="2:11" x14ac:dyDescent="0.3">
      <c r="B4" s="11">
        <v>2</v>
      </c>
      <c r="C4" s="11" t="s">
        <v>11</v>
      </c>
      <c r="D4" s="11">
        <v>12.5</v>
      </c>
      <c r="E4" s="13"/>
      <c r="F4" s="13"/>
      <c r="G4" s="13"/>
      <c r="H4" s="13"/>
      <c r="I4" s="13"/>
      <c r="J4" s="13"/>
      <c r="K4" s="13"/>
    </row>
    <row r="5" spans="2:11" x14ac:dyDescent="0.3">
      <c r="B5" s="11">
        <v>3</v>
      </c>
      <c r="C5" s="11" t="s">
        <v>11</v>
      </c>
      <c r="D5" s="11">
        <v>14.4</v>
      </c>
      <c r="E5" s="13"/>
      <c r="F5" s="13"/>
      <c r="G5" s="13"/>
      <c r="H5" s="13"/>
      <c r="I5" s="13"/>
      <c r="J5" s="13"/>
      <c r="K5" s="13"/>
    </row>
    <row r="6" spans="2:11" x14ac:dyDescent="0.3">
      <c r="B6" s="11">
        <v>4</v>
      </c>
      <c r="C6" s="11" t="s">
        <v>11</v>
      </c>
      <c r="D6" s="11">
        <v>13.3</v>
      </c>
      <c r="E6" s="13"/>
      <c r="F6" s="13"/>
      <c r="G6" s="13"/>
      <c r="H6" s="13"/>
      <c r="I6" s="13"/>
      <c r="J6" s="13"/>
      <c r="K6" s="13"/>
    </row>
    <row r="7" spans="2:11" x14ac:dyDescent="0.3">
      <c r="B7" s="11">
        <v>5</v>
      </c>
      <c r="C7" s="11" t="s">
        <v>11</v>
      </c>
      <c r="D7" s="11">
        <v>16.600000000000001</v>
      </c>
      <c r="E7" s="13"/>
      <c r="F7" s="13"/>
      <c r="G7" s="13"/>
      <c r="H7" s="13"/>
      <c r="I7" s="13"/>
      <c r="J7" s="13"/>
      <c r="K7" s="13"/>
    </row>
    <row r="8" spans="2:11" x14ac:dyDescent="0.3">
      <c r="B8" s="11">
        <v>6</v>
      </c>
      <c r="C8" s="11" t="s">
        <v>11</v>
      </c>
      <c r="D8" s="11">
        <v>16.43</v>
      </c>
      <c r="E8" s="13"/>
      <c r="F8" s="13"/>
      <c r="G8" s="13"/>
      <c r="H8" s="13"/>
      <c r="I8" s="13"/>
      <c r="J8" s="13"/>
      <c r="K8" s="13"/>
    </row>
    <row r="9" spans="2:11" x14ac:dyDescent="0.3">
      <c r="B9" s="11">
        <v>7</v>
      </c>
      <c r="C9" s="11" t="s">
        <v>11</v>
      </c>
      <c r="D9" s="11">
        <v>15.9</v>
      </c>
      <c r="E9" s="13"/>
      <c r="F9" s="13"/>
      <c r="G9" s="13"/>
      <c r="H9" s="13"/>
      <c r="I9" s="13"/>
      <c r="J9" s="13"/>
      <c r="K9" s="13"/>
    </row>
    <row r="10" spans="2:11" x14ac:dyDescent="0.3">
      <c r="B10" s="11">
        <v>8</v>
      </c>
      <c r="C10" s="11" t="s">
        <v>11</v>
      </c>
      <c r="D10" s="11">
        <v>13.41</v>
      </c>
      <c r="E10" s="13"/>
      <c r="F10" s="13"/>
      <c r="G10" s="13"/>
      <c r="H10" s="13"/>
      <c r="I10" s="13"/>
      <c r="J10" s="13"/>
      <c r="K10" s="13"/>
    </row>
    <row r="11" spans="2:11" x14ac:dyDescent="0.3">
      <c r="B11" s="11">
        <v>9</v>
      </c>
      <c r="C11" s="11" t="s">
        <v>11</v>
      </c>
      <c r="D11" s="11">
        <v>12.25</v>
      </c>
      <c r="E11" s="13"/>
      <c r="F11" s="13"/>
      <c r="G11" s="13"/>
      <c r="H11" s="13"/>
      <c r="I11" s="13"/>
      <c r="J11" s="13"/>
      <c r="K11" s="13"/>
    </row>
    <row r="12" spans="2:11" x14ac:dyDescent="0.3">
      <c r="B12" s="11">
        <v>10</v>
      </c>
      <c r="C12" s="11" t="s">
        <v>11</v>
      </c>
      <c r="D12" s="11">
        <v>12.43</v>
      </c>
      <c r="E12" s="13"/>
      <c r="F12" s="13"/>
      <c r="G12" s="13"/>
      <c r="H12" s="13"/>
      <c r="I12" s="13"/>
      <c r="J12" s="13"/>
      <c r="K12" s="13"/>
    </row>
    <row r="13" spans="2:11" x14ac:dyDescent="0.3">
      <c r="B13" s="11">
        <v>11</v>
      </c>
      <c r="C13" s="11" t="s">
        <v>11</v>
      </c>
      <c r="D13" s="11">
        <v>9.58</v>
      </c>
      <c r="E13" s="13"/>
      <c r="F13" s="13"/>
      <c r="G13" s="13"/>
      <c r="H13" s="13"/>
      <c r="I13" s="13"/>
      <c r="J13" s="13"/>
      <c r="K13" s="13"/>
    </row>
    <row r="14" spans="2:11" x14ac:dyDescent="0.3">
      <c r="B14" s="11">
        <v>12</v>
      </c>
      <c r="C14" s="11" t="s">
        <v>11</v>
      </c>
      <c r="D14" s="11">
        <v>10.66</v>
      </c>
      <c r="E14" s="13"/>
      <c r="F14" s="13"/>
      <c r="G14" s="13"/>
      <c r="H14" s="13"/>
      <c r="I14" s="13"/>
      <c r="J14" s="13"/>
      <c r="K14" s="13"/>
    </row>
    <row r="15" spans="2:11" x14ac:dyDescent="0.3">
      <c r="B15" s="11">
        <v>13</v>
      </c>
      <c r="C15" s="11" t="s">
        <v>11</v>
      </c>
      <c r="D15" s="11">
        <v>12.36</v>
      </c>
      <c r="E15" s="13"/>
      <c r="F15" s="13"/>
      <c r="G15" s="13"/>
      <c r="H15" s="13"/>
      <c r="I15" s="13"/>
      <c r="J15" s="13"/>
      <c r="K15" s="13"/>
    </row>
    <row r="16" spans="2:11" x14ac:dyDescent="0.3">
      <c r="B16" s="11">
        <v>14</v>
      </c>
      <c r="C16" s="11" t="s">
        <v>11</v>
      </c>
      <c r="D16" s="11">
        <v>12.43</v>
      </c>
      <c r="E16" s="13"/>
      <c r="F16" s="13"/>
      <c r="G16" s="13"/>
      <c r="H16" s="13"/>
      <c r="I16" s="13"/>
      <c r="J16" s="13"/>
      <c r="K16" s="13"/>
    </row>
    <row r="17" spans="2:11" x14ac:dyDescent="0.3">
      <c r="B17" s="11">
        <v>15</v>
      </c>
      <c r="C17" s="11" t="s">
        <v>11</v>
      </c>
      <c r="D17" s="11">
        <v>11.7</v>
      </c>
      <c r="E17" s="13"/>
      <c r="F17" s="13"/>
      <c r="G17" s="13"/>
      <c r="H17" s="13"/>
      <c r="I17" s="13"/>
      <c r="J17" s="13"/>
      <c r="K17" s="13"/>
    </row>
    <row r="18" spans="2:11" x14ac:dyDescent="0.3">
      <c r="B18" s="11">
        <v>16</v>
      </c>
      <c r="C18" s="11" t="s">
        <v>13</v>
      </c>
      <c r="D18" s="11">
        <v>11</v>
      </c>
      <c r="E18" s="11">
        <v>14.11</v>
      </c>
      <c r="F18" s="13"/>
      <c r="G18" s="13"/>
      <c r="H18" s="13"/>
      <c r="I18" s="13"/>
      <c r="J18" s="13"/>
      <c r="K18" s="13"/>
    </row>
    <row r="19" spans="2:11" x14ac:dyDescent="0.3">
      <c r="B19" s="11">
        <v>17</v>
      </c>
      <c r="C19" s="11" t="s">
        <v>13</v>
      </c>
      <c r="D19" s="11">
        <v>11.7</v>
      </c>
      <c r="E19" s="11">
        <v>14.45</v>
      </c>
      <c r="F19" s="13"/>
      <c r="G19" s="13"/>
      <c r="H19" s="13"/>
      <c r="I19" s="13"/>
      <c r="J19" s="13"/>
      <c r="K19" s="13"/>
    </row>
    <row r="20" spans="2:11" x14ac:dyDescent="0.3">
      <c r="B20" s="11">
        <v>18</v>
      </c>
      <c r="C20" s="11" t="s">
        <v>13</v>
      </c>
      <c r="D20" s="11">
        <v>13.1</v>
      </c>
      <c r="E20" s="11">
        <v>17.14</v>
      </c>
      <c r="F20" s="13"/>
      <c r="G20" s="13"/>
      <c r="H20" s="13"/>
      <c r="I20" s="13"/>
      <c r="J20" s="13"/>
      <c r="K20" s="13"/>
    </row>
    <row r="21" spans="2:11" x14ac:dyDescent="0.3">
      <c r="B21" s="11">
        <v>19</v>
      </c>
      <c r="C21" s="11" t="s">
        <v>13</v>
      </c>
      <c r="D21" s="11">
        <v>13.1</v>
      </c>
      <c r="E21" s="11">
        <v>16</v>
      </c>
      <c r="F21" s="13"/>
      <c r="G21" s="13"/>
      <c r="H21" s="13"/>
      <c r="I21" s="13"/>
      <c r="J21" s="13"/>
      <c r="K21" s="13"/>
    </row>
    <row r="22" spans="2:11" x14ac:dyDescent="0.3">
      <c r="B22" s="11">
        <v>20</v>
      </c>
      <c r="C22" s="11" t="s">
        <v>13</v>
      </c>
      <c r="D22" s="11">
        <v>13</v>
      </c>
      <c r="E22" s="11">
        <v>16.59</v>
      </c>
      <c r="F22" s="13"/>
      <c r="G22" s="13"/>
      <c r="H22" s="13"/>
      <c r="I22" s="13"/>
      <c r="J22" s="13"/>
      <c r="K22" s="13"/>
    </row>
    <row r="23" spans="2:11" x14ac:dyDescent="0.3">
      <c r="B23" s="11">
        <v>21</v>
      </c>
      <c r="C23" s="11" t="s">
        <v>13</v>
      </c>
      <c r="D23" s="11">
        <v>16</v>
      </c>
      <c r="E23" s="11">
        <v>20.12</v>
      </c>
      <c r="F23" s="13"/>
      <c r="G23" s="13"/>
      <c r="H23" s="13"/>
      <c r="I23" s="13"/>
      <c r="J23" s="13"/>
      <c r="K23" s="13"/>
    </row>
    <row r="24" spans="2:11" x14ac:dyDescent="0.3">
      <c r="B24" s="11">
        <v>22</v>
      </c>
      <c r="C24" s="11" t="s">
        <v>13</v>
      </c>
      <c r="D24" s="11">
        <v>15.9</v>
      </c>
      <c r="E24" s="11">
        <v>18.82</v>
      </c>
      <c r="F24" s="13"/>
      <c r="G24" s="13"/>
      <c r="H24" s="13"/>
      <c r="I24" s="13"/>
      <c r="J24" s="13"/>
      <c r="K24" s="13"/>
    </row>
    <row r="25" spans="2:11" x14ac:dyDescent="0.3">
      <c r="B25" s="11">
        <v>23</v>
      </c>
      <c r="C25" s="11" t="s">
        <v>13</v>
      </c>
      <c r="D25" s="11">
        <v>12</v>
      </c>
      <c r="E25" s="11">
        <v>15.32</v>
      </c>
      <c r="F25" s="13"/>
      <c r="G25" s="13"/>
      <c r="H25" s="13"/>
      <c r="I25" s="13"/>
      <c r="J25" s="13"/>
      <c r="K25" s="13"/>
    </row>
    <row r="26" spans="2:11" x14ac:dyDescent="0.3">
      <c r="B26" s="11">
        <v>24</v>
      </c>
      <c r="C26" s="11" t="s">
        <v>13</v>
      </c>
      <c r="D26" s="11">
        <v>13.9</v>
      </c>
      <c r="E26" s="11">
        <v>16.39</v>
      </c>
      <c r="F26" s="13"/>
      <c r="G26" s="13"/>
      <c r="H26" s="13"/>
      <c r="I26" s="13"/>
      <c r="J26" s="13"/>
      <c r="K26" s="13"/>
    </row>
    <row r="27" spans="2:11" x14ac:dyDescent="0.3">
      <c r="B27" s="11">
        <v>25</v>
      </c>
      <c r="C27" s="11" t="s">
        <v>13</v>
      </c>
      <c r="D27" s="11">
        <v>16.7</v>
      </c>
      <c r="E27" s="11">
        <v>20.420000000000002</v>
      </c>
      <c r="F27" s="13"/>
      <c r="G27" s="13"/>
      <c r="H27" s="13"/>
      <c r="I27" s="13"/>
      <c r="J27" s="13"/>
      <c r="K27" s="13"/>
    </row>
    <row r="28" spans="2:11" x14ac:dyDescent="0.3">
      <c r="B28" s="11">
        <v>26</v>
      </c>
      <c r="C28" s="11" t="s">
        <v>13</v>
      </c>
      <c r="D28" s="11">
        <v>16.8</v>
      </c>
      <c r="E28" s="11">
        <v>17.489999999999998</v>
      </c>
      <c r="F28" s="13"/>
      <c r="G28" s="13"/>
      <c r="H28" s="13"/>
      <c r="I28" s="13"/>
      <c r="J28" s="13"/>
      <c r="K28" s="13"/>
    </row>
    <row r="29" spans="2:11" x14ac:dyDescent="0.3">
      <c r="B29" s="11">
        <v>27</v>
      </c>
      <c r="C29" s="11" t="s">
        <v>13</v>
      </c>
      <c r="D29" s="11">
        <v>19.899999999999999</v>
      </c>
      <c r="E29" s="11">
        <v>24.36</v>
      </c>
      <c r="F29" s="13"/>
      <c r="G29" s="13"/>
      <c r="H29" s="13"/>
      <c r="I29" s="13"/>
      <c r="J29" s="13"/>
      <c r="K29" s="13"/>
    </row>
    <row r="30" spans="2:11" x14ac:dyDescent="0.3">
      <c r="B30" s="11">
        <v>28</v>
      </c>
      <c r="C30" s="11" t="s">
        <v>13</v>
      </c>
      <c r="D30" s="11">
        <v>12.2</v>
      </c>
      <c r="E30" s="11">
        <v>15.02</v>
      </c>
      <c r="F30" s="13"/>
      <c r="G30" s="13"/>
      <c r="H30" s="13"/>
      <c r="I30" s="13"/>
      <c r="J30" s="13"/>
      <c r="K30" s="13"/>
    </row>
    <row r="31" spans="2:11" x14ac:dyDescent="0.3">
      <c r="B31" s="11">
        <v>29</v>
      </c>
      <c r="C31" s="11" t="s">
        <v>13</v>
      </c>
      <c r="D31" s="11">
        <v>11.9</v>
      </c>
      <c r="E31" s="11">
        <v>13.42</v>
      </c>
      <c r="F31" s="13"/>
      <c r="G31" s="13"/>
      <c r="H31" s="13"/>
      <c r="I31" s="13"/>
      <c r="J31" s="13"/>
      <c r="K31" s="13"/>
    </row>
    <row r="32" spans="2:11" x14ac:dyDescent="0.3">
      <c r="B32" s="11">
        <v>30</v>
      </c>
      <c r="C32" s="11" t="s">
        <v>13</v>
      </c>
      <c r="D32" s="11" t="s">
        <v>16</v>
      </c>
      <c r="E32" s="13"/>
      <c r="F32" s="13"/>
      <c r="G32" s="13"/>
      <c r="H32" s="13"/>
      <c r="I32" s="13"/>
      <c r="J32" s="13"/>
      <c r="K32" s="13"/>
    </row>
    <row r="33" spans="2:11" x14ac:dyDescent="0.3">
      <c r="B33" s="11">
        <v>31</v>
      </c>
      <c r="C33" s="11" t="s">
        <v>17</v>
      </c>
      <c r="D33" s="11">
        <v>16.399999999999999</v>
      </c>
      <c r="E33" s="11">
        <v>20.100000000000001</v>
      </c>
      <c r="F33" s="11">
        <v>21.54</v>
      </c>
      <c r="G33" s="13"/>
      <c r="H33" s="13"/>
      <c r="I33" s="13"/>
      <c r="J33" s="13"/>
      <c r="K33" s="13"/>
    </row>
    <row r="34" spans="2:11" x14ac:dyDescent="0.3">
      <c r="B34" s="11">
        <v>32</v>
      </c>
      <c r="C34" s="11" t="s">
        <v>17</v>
      </c>
      <c r="D34" s="11">
        <v>16.399999999999999</v>
      </c>
      <c r="E34" s="11">
        <v>19.5</v>
      </c>
      <c r="F34" s="11">
        <v>20.21</v>
      </c>
      <c r="G34" s="13"/>
      <c r="H34" s="13"/>
      <c r="I34" s="13"/>
      <c r="J34" s="13"/>
      <c r="K34" s="13"/>
    </row>
    <row r="35" spans="2:11" x14ac:dyDescent="0.3">
      <c r="B35" s="11">
        <v>33</v>
      </c>
      <c r="C35" s="11" t="s">
        <v>17</v>
      </c>
      <c r="D35" s="11">
        <v>13.6</v>
      </c>
      <c r="E35" s="11">
        <v>16</v>
      </c>
      <c r="F35" s="11">
        <v>17.21</v>
      </c>
      <c r="G35" s="13"/>
      <c r="H35" s="13"/>
      <c r="I35" s="13"/>
      <c r="J35" s="13"/>
      <c r="K35" s="13"/>
    </row>
    <row r="36" spans="2:11" x14ac:dyDescent="0.3">
      <c r="B36" s="11">
        <v>34</v>
      </c>
      <c r="C36" s="11" t="s">
        <v>17</v>
      </c>
      <c r="D36" s="11">
        <v>18.3</v>
      </c>
      <c r="E36" s="11">
        <v>22.2</v>
      </c>
      <c r="F36" s="11">
        <v>23.72</v>
      </c>
      <c r="G36" s="13"/>
      <c r="H36" s="13"/>
      <c r="I36" s="13"/>
      <c r="J36" s="13"/>
      <c r="K36" s="13"/>
    </row>
    <row r="37" spans="2:11" x14ac:dyDescent="0.3">
      <c r="B37" s="11">
        <v>35</v>
      </c>
      <c r="C37" s="11" t="s">
        <v>17</v>
      </c>
      <c r="D37" s="11">
        <v>16.3</v>
      </c>
      <c r="E37" s="11">
        <v>19.3</v>
      </c>
      <c r="F37" s="11">
        <v>19.309999999999999</v>
      </c>
      <c r="G37" s="13"/>
      <c r="H37" s="13"/>
      <c r="I37" s="13"/>
      <c r="J37" s="13"/>
      <c r="K37" s="13"/>
    </row>
    <row r="38" spans="2:11" x14ac:dyDescent="0.3">
      <c r="B38" s="11">
        <v>36</v>
      </c>
      <c r="C38" s="11" t="s">
        <v>17</v>
      </c>
      <c r="D38" s="11">
        <v>11.6</v>
      </c>
      <c r="E38" s="11">
        <v>14.2</v>
      </c>
      <c r="F38" s="11">
        <v>15.09</v>
      </c>
      <c r="G38" s="13"/>
      <c r="H38" s="13"/>
      <c r="I38" s="13"/>
      <c r="J38" s="13"/>
      <c r="K38" s="13"/>
    </row>
    <row r="39" spans="2:11" x14ac:dyDescent="0.3">
      <c r="B39" s="11">
        <v>37</v>
      </c>
      <c r="C39" s="11" t="s">
        <v>17</v>
      </c>
      <c r="D39" s="11">
        <v>13.8</v>
      </c>
      <c r="E39" s="11">
        <v>16.600000000000001</v>
      </c>
      <c r="F39" s="11">
        <v>17.010000000000002</v>
      </c>
      <c r="G39" s="13"/>
      <c r="H39" s="13"/>
      <c r="I39" s="13"/>
      <c r="J39" s="13"/>
      <c r="K39" s="13"/>
    </row>
    <row r="40" spans="2:11" x14ac:dyDescent="0.3">
      <c r="B40" s="11">
        <v>38</v>
      </c>
      <c r="C40" s="11" t="s">
        <v>17</v>
      </c>
      <c r="D40" s="11">
        <v>17.5</v>
      </c>
      <c r="E40" s="11">
        <v>20.7</v>
      </c>
      <c r="F40" s="11">
        <v>21.52</v>
      </c>
      <c r="G40" s="13"/>
      <c r="H40" s="13"/>
      <c r="I40" s="13"/>
      <c r="J40" s="13"/>
      <c r="K40" s="13"/>
    </row>
    <row r="41" spans="2:11" x14ac:dyDescent="0.3">
      <c r="B41" s="11">
        <v>39</v>
      </c>
      <c r="C41" s="11" t="s">
        <v>17</v>
      </c>
      <c r="D41" s="11">
        <v>14.9</v>
      </c>
      <c r="E41" s="11">
        <v>18.600000000000001</v>
      </c>
      <c r="F41" s="11">
        <v>19.100000000000001</v>
      </c>
      <c r="G41" s="13"/>
      <c r="H41" s="13"/>
      <c r="I41" s="13"/>
      <c r="J41" s="13"/>
      <c r="K41" s="13"/>
    </row>
    <row r="42" spans="2:11" x14ac:dyDescent="0.3">
      <c r="B42" s="11">
        <v>40</v>
      </c>
      <c r="C42" s="11" t="s">
        <v>17</v>
      </c>
      <c r="D42" s="11">
        <v>15.3</v>
      </c>
      <c r="E42" s="11">
        <v>18.8</v>
      </c>
      <c r="F42" s="11">
        <v>19.309999999999999</v>
      </c>
      <c r="G42" s="13"/>
      <c r="H42" s="13"/>
      <c r="I42" s="13"/>
      <c r="J42" s="13"/>
      <c r="K42" s="13"/>
    </row>
    <row r="43" spans="2:11" x14ac:dyDescent="0.3">
      <c r="B43" s="11">
        <v>41</v>
      </c>
      <c r="C43" s="11" t="s">
        <v>17</v>
      </c>
      <c r="D43" s="11">
        <v>11.4</v>
      </c>
      <c r="E43" s="11">
        <v>15</v>
      </c>
      <c r="F43" s="11">
        <v>15.52</v>
      </c>
      <c r="G43" s="13"/>
      <c r="H43" s="13"/>
      <c r="I43" s="13"/>
      <c r="J43" s="13"/>
      <c r="K43" s="13"/>
    </row>
    <row r="44" spans="2:11" x14ac:dyDescent="0.3">
      <c r="B44" s="11">
        <v>42</v>
      </c>
      <c r="C44" s="11" t="s">
        <v>17</v>
      </c>
      <c r="D44" s="11">
        <v>14.9</v>
      </c>
      <c r="E44" s="11">
        <v>19.2</v>
      </c>
      <c r="F44" s="11">
        <v>19.93</v>
      </c>
      <c r="G44" s="13"/>
      <c r="H44" s="13"/>
      <c r="I44" s="13"/>
      <c r="J44" s="13"/>
      <c r="K44" s="13"/>
    </row>
    <row r="45" spans="2:11" x14ac:dyDescent="0.3">
      <c r="B45" s="11">
        <v>43</v>
      </c>
      <c r="C45" s="11" t="s">
        <v>17</v>
      </c>
      <c r="D45" s="11">
        <v>14.7</v>
      </c>
      <c r="E45" s="11">
        <v>16.5</v>
      </c>
      <c r="F45" s="11">
        <v>16.7</v>
      </c>
      <c r="G45" s="13"/>
      <c r="H45" s="13"/>
      <c r="I45" s="13"/>
      <c r="J45" s="13"/>
      <c r="K45" s="13"/>
    </row>
    <row r="46" spans="2:11" x14ac:dyDescent="0.3">
      <c r="B46" s="11">
        <v>44</v>
      </c>
      <c r="C46" s="11" t="s">
        <v>17</v>
      </c>
      <c r="D46" s="11">
        <v>13.3</v>
      </c>
      <c r="E46" s="11">
        <v>16.7</v>
      </c>
      <c r="F46" s="11">
        <v>17.64</v>
      </c>
      <c r="G46" s="13"/>
      <c r="H46" s="13"/>
      <c r="I46" s="13"/>
      <c r="J46" s="13"/>
      <c r="K46" s="13"/>
    </row>
    <row r="47" spans="2:11" x14ac:dyDescent="0.3">
      <c r="B47" s="11">
        <v>45</v>
      </c>
      <c r="C47" s="11" t="s">
        <v>17</v>
      </c>
      <c r="D47" s="11">
        <v>14.8</v>
      </c>
      <c r="E47" s="11">
        <v>17.2</v>
      </c>
      <c r="F47" s="11">
        <v>18.41</v>
      </c>
      <c r="G47" s="13"/>
      <c r="H47" s="13"/>
      <c r="I47" s="13"/>
      <c r="J47" s="13"/>
      <c r="K47" s="13"/>
    </row>
    <row r="48" spans="2:11" x14ac:dyDescent="0.3">
      <c r="B48" s="11">
        <v>46</v>
      </c>
      <c r="C48" s="11" t="s">
        <v>19</v>
      </c>
      <c r="D48" s="11">
        <v>12.1</v>
      </c>
      <c r="E48" s="11">
        <v>15.2</v>
      </c>
      <c r="F48" s="11">
        <v>16.3</v>
      </c>
      <c r="G48" s="11">
        <v>17.72</v>
      </c>
      <c r="H48" s="13"/>
      <c r="I48" s="13"/>
      <c r="J48" s="13"/>
      <c r="K48" s="13"/>
    </row>
    <row r="49" spans="2:11" x14ac:dyDescent="0.3">
      <c r="B49" s="11">
        <v>47</v>
      </c>
      <c r="C49" s="11" t="s">
        <v>19</v>
      </c>
      <c r="D49" s="11">
        <v>13.8</v>
      </c>
      <c r="E49" s="11">
        <v>17.5</v>
      </c>
      <c r="F49" s="11">
        <v>18</v>
      </c>
      <c r="G49" s="11">
        <v>19.559999999999999</v>
      </c>
      <c r="H49" s="13"/>
      <c r="I49" s="13"/>
      <c r="J49" s="13"/>
      <c r="K49" s="13"/>
    </row>
    <row r="50" spans="2:11" x14ac:dyDescent="0.3">
      <c r="B50" s="11">
        <v>48</v>
      </c>
      <c r="C50" s="11" t="s">
        <v>19</v>
      </c>
      <c r="D50" s="11">
        <v>14</v>
      </c>
      <c r="E50" s="11">
        <v>17.2</v>
      </c>
      <c r="F50" s="11">
        <v>17.8</v>
      </c>
      <c r="G50" s="11">
        <v>18.96</v>
      </c>
      <c r="H50" s="13"/>
      <c r="I50" s="13"/>
      <c r="J50" s="13"/>
      <c r="K50" s="13"/>
    </row>
    <row r="51" spans="2:11" x14ac:dyDescent="0.3">
      <c r="B51" s="11">
        <v>49</v>
      </c>
      <c r="C51" s="11" t="s">
        <v>19</v>
      </c>
      <c r="D51" s="11">
        <v>11.8</v>
      </c>
      <c r="E51" s="11">
        <v>15.1</v>
      </c>
      <c r="F51" s="11">
        <v>15.6</v>
      </c>
      <c r="G51" s="11">
        <v>16.829999999999998</v>
      </c>
      <c r="H51" s="13"/>
      <c r="I51" s="13"/>
      <c r="J51" s="13"/>
      <c r="K51" s="13"/>
    </row>
    <row r="52" spans="2:11" x14ac:dyDescent="0.3">
      <c r="B52" s="11">
        <v>50</v>
      </c>
      <c r="C52" s="11" t="s">
        <v>19</v>
      </c>
      <c r="D52" s="11">
        <v>7.3</v>
      </c>
      <c r="E52" s="11">
        <v>11.9</v>
      </c>
      <c r="F52" s="11">
        <v>12.1</v>
      </c>
      <c r="G52" s="11">
        <v>12.69</v>
      </c>
      <c r="H52" s="13"/>
      <c r="I52" s="13"/>
      <c r="J52" s="13"/>
      <c r="K52" s="13"/>
    </row>
    <row r="53" spans="2:11" x14ac:dyDescent="0.3">
      <c r="B53" s="11">
        <v>51</v>
      </c>
      <c r="C53" s="11" t="s">
        <v>19</v>
      </c>
      <c r="D53" s="11">
        <v>9.1</v>
      </c>
      <c r="E53" s="11">
        <v>14.8</v>
      </c>
      <c r="F53" s="11">
        <v>15.4</v>
      </c>
      <c r="G53" s="11">
        <v>15.7</v>
      </c>
      <c r="H53" s="13"/>
      <c r="I53" s="13"/>
      <c r="J53" s="13"/>
      <c r="K53" s="13"/>
    </row>
    <row r="54" spans="2:11" x14ac:dyDescent="0.3">
      <c r="B54" s="11">
        <v>52</v>
      </c>
      <c r="C54" s="11" t="s">
        <v>19</v>
      </c>
      <c r="D54" s="11">
        <v>13</v>
      </c>
      <c r="E54" s="11">
        <v>21.4</v>
      </c>
      <c r="F54" s="11">
        <v>21.6</v>
      </c>
      <c r="G54" s="11">
        <v>22.74</v>
      </c>
      <c r="H54" s="13"/>
      <c r="I54" s="13"/>
      <c r="J54" s="13"/>
      <c r="K54" s="13"/>
    </row>
    <row r="55" spans="2:11" x14ac:dyDescent="0.3">
      <c r="B55" s="11">
        <v>53</v>
      </c>
      <c r="C55" s="11" t="s">
        <v>19</v>
      </c>
      <c r="D55" s="11">
        <v>11.3</v>
      </c>
      <c r="E55" s="11">
        <v>17.600000000000001</v>
      </c>
      <c r="F55" s="11">
        <v>18.3</v>
      </c>
      <c r="G55" s="11">
        <v>19.13</v>
      </c>
      <c r="H55" s="13"/>
      <c r="I55" s="13"/>
      <c r="J55" s="13"/>
      <c r="K55" s="13"/>
    </row>
    <row r="56" spans="2:11" x14ac:dyDescent="0.3">
      <c r="B56" s="11">
        <v>54</v>
      </c>
      <c r="C56" s="11" t="s">
        <v>19</v>
      </c>
      <c r="D56" s="11">
        <v>11.5</v>
      </c>
      <c r="E56" s="11">
        <v>13.6</v>
      </c>
      <c r="F56" s="11">
        <v>14.3</v>
      </c>
      <c r="G56" s="11">
        <v>14.85</v>
      </c>
      <c r="H56" s="13"/>
      <c r="I56" s="13"/>
      <c r="J56" s="13"/>
      <c r="K56" s="13"/>
    </row>
    <row r="57" spans="2:11" x14ac:dyDescent="0.3">
      <c r="B57" s="11">
        <v>55</v>
      </c>
      <c r="C57" s="11" t="s">
        <v>19</v>
      </c>
      <c r="D57" s="11">
        <v>11.3</v>
      </c>
      <c r="E57" s="11">
        <v>13.9</v>
      </c>
      <c r="F57" s="11">
        <v>14.5</v>
      </c>
      <c r="G57" s="11">
        <v>15.61</v>
      </c>
      <c r="H57" s="13"/>
      <c r="I57" s="13"/>
      <c r="J57" s="13"/>
      <c r="K57" s="13"/>
    </row>
    <row r="58" spans="2:11" x14ac:dyDescent="0.3">
      <c r="B58" s="11">
        <v>56</v>
      </c>
      <c r="C58" s="11" t="s">
        <v>19</v>
      </c>
      <c r="D58" s="11">
        <v>15.5</v>
      </c>
      <c r="E58" s="11">
        <v>20.2</v>
      </c>
      <c r="F58" s="11">
        <v>20.7</v>
      </c>
      <c r="G58" s="11">
        <v>21.51</v>
      </c>
      <c r="H58" s="13"/>
      <c r="I58" s="13"/>
      <c r="J58" s="13"/>
      <c r="K58" s="13"/>
    </row>
    <row r="59" spans="2:11" x14ac:dyDescent="0.3">
      <c r="B59" s="11">
        <v>57</v>
      </c>
      <c r="C59" s="11" t="s">
        <v>19</v>
      </c>
      <c r="D59" s="11">
        <v>10.3</v>
      </c>
      <c r="E59" s="11">
        <v>13</v>
      </c>
      <c r="F59" s="11">
        <v>14</v>
      </c>
      <c r="G59" s="11">
        <v>15.4</v>
      </c>
      <c r="H59" s="13"/>
      <c r="I59" s="13"/>
      <c r="J59" s="13"/>
      <c r="K59" s="13"/>
    </row>
    <row r="60" spans="2:11" x14ac:dyDescent="0.3">
      <c r="B60" s="11">
        <v>58</v>
      </c>
      <c r="C60" s="11" t="s">
        <v>19</v>
      </c>
      <c r="D60" s="11">
        <v>13.6</v>
      </c>
      <c r="E60" s="11">
        <v>17.100000000000001</v>
      </c>
      <c r="F60" s="11">
        <v>18</v>
      </c>
      <c r="G60" s="11">
        <v>20.059999999999999</v>
      </c>
      <c r="H60" s="13"/>
      <c r="I60" s="13"/>
      <c r="J60" s="13"/>
      <c r="K60" s="13"/>
    </row>
    <row r="61" spans="2:11" x14ac:dyDescent="0.3">
      <c r="B61" s="11">
        <v>59</v>
      </c>
      <c r="C61" s="11" t="s">
        <v>19</v>
      </c>
      <c r="D61" s="11">
        <v>13.3</v>
      </c>
      <c r="E61" s="11">
        <v>17.3</v>
      </c>
      <c r="F61" s="11">
        <v>18.600000000000001</v>
      </c>
      <c r="G61" s="11">
        <v>20.86</v>
      </c>
      <c r="H61" s="13"/>
      <c r="I61" s="13"/>
      <c r="J61" s="13"/>
      <c r="K61" s="13"/>
    </row>
    <row r="62" spans="2:11" x14ac:dyDescent="0.3">
      <c r="B62" s="11">
        <v>60</v>
      </c>
      <c r="C62" s="11" t="s">
        <v>19</v>
      </c>
      <c r="D62" s="11">
        <v>11.3</v>
      </c>
      <c r="E62" s="11">
        <v>15.1</v>
      </c>
      <c r="F62" s="11">
        <v>15.6</v>
      </c>
      <c r="G62" s="11">
        <v>16.579999999999998</v>
      </c>
      <c r="H62" s="13"/>
      <c r="I62" s="13"/>
      <c r="J62" s="13"/>
      <c r="K62" s="13"/>
    </row>
    <row r="63" spans="2:11" x14ac:dyDescent="0.3">
      <c r="B63" s="11">
        <v>61</v>
      </c>
      <c r="C63" s="11" t="s">
        <v>21</v>
      </c>
      <c r="D63" s="11">
        <v>14.7</v>
      </c>
      <c r="E63" s="11">
        <v>19</v>
      </c>
      <c r="F63" s="11">
        <v>19.7</v>
      </c>
      <c r="G63" s="11">
        <v>21.8</v>
      </c>
      <c r="H63" s="11">
        <v>23.8</v>
      </c>
      <c r="I63" s="13"/>
      <c r="J63" s="13"/>
      <c r="K63" s="13"/>
    </row>
    <row r="64" spans="2:11" x14ac:dyDescent="0.3">
      <c r="B64" s="11">
        <v>62</v>
      </c>
      <c r="C64" s="11" t="s">
        <v>21</v>
      </c>
      <c r="D64" s="11">
        <v>18</v>
      </c>
      <c r="E64" s="11">
        <v>20.5</v>
      </c>
      <c r="F64" s="11">
        <v>20.5</v>
      </c>
      <c r="G64" s="11">
        <v>21.1</v>
      </c>
      <c r="H64" s="11">
        <v>16.84</v>
      </c>
      <c r="I64" s="13"/>
      <c r="J64" s="13"/>
      <c r="K64" s="13"/>
    </row>
    <row r="65" spans="2:11" x14ac:dyDescent="0.3">
      <c r="B65" s="11">
        <v>63</v>
      </c>
      <c r="C65" s="11" t="s">
        <v>21</v>
      </c>
      <c r="D65" s="11">
        <v>18.2</v>
      </c>
      <c r="E65" s="11">
        <v>21.6</v>
      </c>
      <c r="F65" s="11">
        <v>22.3</v>
      </c>
      <c r="G65" s="11">
        <v>23.5</v>
      </c>
      <c r="H65" s="11">
        <v>24.86</v>
      </c>
      <c r="I65" s="13"/>
      <c r="J65" s="13"/>
      <c r="K65" s="13"/>
    </row>
    <row r="66" spans="2:11" x14ac:dyDescent="0.3">
      <c r="B66" s="11">
        <v>64</v>
      </c>
      <c r="C66" s="11" t="s">
        <v>21</v>
      </c>
      <c r="D66" s="11">
        <v>12.5</v>
      </c>
      <c r="E66" s="11">
        <v>15.6</v>
      </c>
      <c r="F66" s="11">
        <v>16.7</v>
      </c>
      <c r="G66" s="11">
        <v>17.3</v>
      </c>
      <c r="H66" s="11">
        <v>20.34</v>
      </c>
      <c r="I66" s="13"/>
      <c r="J66" s="13"/>
      <c r="K66" s="13"/>
    </row>
    <row r="67" spans="2:11" x14ac:dyDescent="0.3">
      <c r="B67" s="11">
        <v>65</v>
      </c>
      <c r="C67" s="11" t="s">
        <v>21</v>
      </c>
      <c r="D67" s="11">
        <v>13.5</v>
      </c>
      <c r="E67" s="11">
        <v>16.899999999999999</v>
      </c>
      <c r="F67" s="11">
        <v>17.899999999999999</v>
      </c>
      <c r="G67" s="11">
        <v>18.899999999999999</v>
      </c>
      <c r="H67" s="11">
        <v>21.41</v>
      </c>
      <c r="I67" s="13"/>
      <c r="J67" s="13"/>
      <c r="K67" s="13"/>
    </row>
    <row r="68" spans="2:11" x14ac:dyDescent="0.3">
      <c r="B68" s="11">
        <v>66</v>
      </c>
      <c r="C68" s="11" t="s">
        <v>21</v>
      </c>
      <c r="D68" s="11">
        <v>11.9</v>
      </c>
      <c r="E68" s="11">
        <v>15.2</v>
      </c>
      <c r="F68" s="11">
        <v>16</v>
      </c>
      <c r="G68" s="11">
        <v>16.899999999999999</v>
      </c>
      <c r="H68" s="11">
        <v>18.98</v>
      </c>
      <c r="I68" s="13"/>
      <c r="J68" s="13"/>
      <c r="K68" s="13"/>
    </row>
    <row r="69" spans="2:11" x14ac:dyDescent="0.3">
      <c r="B69" s="11">
        <v>67</v>
      </c>
      <c r="C69" s="11" t="s">
        <v>21</v>
      </c>
      <c r="D69" s="11">
        <v>16.2</v>
      </c>
      <c r="E69" s="11">
        <v>19.7</v>
      </c>
      <c r="F69" s="11">
        <v>20.399999999999999</v>
      </c>
      <c r="G69" s="11">
        <v>20.9</v>
      </c>
      <c r="H69" s="11">
        <v>21.69</v>
      </c>
      <c r="I69" s="13"/>
      <c r="J69" s="13"/>
      <c r="K69" s="13"/>
    </row>
    <row r="70" spans="2:11" x14ac:dyDescent="0.3">
      <c r="B70" s="11">
        <v>68</v>
      </c>
      <c r="C70" s="11" t="s">
        <v>21</v>
      </c>
      <c r="D70" s="11">
        <v>16.600000000000001</v>
      </c>
      <c r="E70" s="11">
        <v>20.5</v>
      </c>
      <c r="F70" s="11">
        <v>21.2</v>
      </c>
      <c r="G70" s="11">
        <v>22</v>
      </c>
      <c r="H70" s="11">
        <v>23.55</v>
      </c>
      <c r="I70" s="13"/>
      <c r="J70" s="13"/>
      <c r="K70" s="13"/>
    </row>
    <row r="71" spans="2:11" x14ac:dyDescent="0.3">
      <c r="B71" s="11">
        <v>69</v>
      </c>
      <c r="C71" s="11" t="s">
        <v>21</v>
      </c>
      <c r="D71" s="11">
        <v>10.9</v>
      </c>
      <c r="E71" s="11">
        <v>13.1</v>
      </c>
      <c r="F71" s="11">
        <v>13.6</v>
      </c>
      <c r="G71" s="11">
        <v>14.5</v>
      </c>
      <c r="H71" s="11">
        <v>17.59</v>
      </c>
      <c r="I71" s="13"/>
      <c r="J71" s="13"/>
      <c r="K71" s="13"/>
    </row>
    <row r="72" spans="2:11" x14ac:dyDescent="0.3">
      <c r="B72" s="11">
        <v>70</v>
      </c>
      <c r="C72" s="11" t="s">
        <v>21</v>
      </c>
      <c r="D72" s="11">
        <v>14.9</v>
      </c>
      <c r="E72" s="11">
        <v>17</v>
      </c>
      <c r="F72" s="11">
        <v>17.3</v>
      </c>
      <c r="G72" s="11">
        <v>17.8</v>
      </c>
      <c r="H72" s="11">
        <v>19.25</v>
      </c>
      <c r="I72" s="13"/>
      <c r="J72" s="13"/>
      <c r="K72" s="13"/>
    </row>
    <row r="73" spans="2:11" x14ac:dyDescent="0.3">
      <c r="B73" s="11">
        <v>71</v>
      </c>
      <c r="C73" s="11" t="s">
        <v>21</v>
      </c>
      <c r="D73" s="11">
        <v>13</v>
      </c>
      <c r="E73" s="11">
        <v>16.899999999999999</v>
      </c>
      <c r="F73" s="11">
        <v>17</v>
      </c>
      <c r="G73" s="11">
        <v>18</v>
      </c>
      <c r="H73" s="11">
        <v>18.55</v>
      </c>
      <c r="I73" s="13"/>
      <c r="J73" s="13"/>
      <c r="K73" s="13"/>
    </row>
    <row r="74" spans="2:11" x14ac:dyDescent="0.3">
      <c r="B74" s="11">
        <v>72</v>
      </c>
      <c r="C74" s="11" t="s">
        <v>21</v>
      </c>
      <c r="D74" s="11">
        <v>15.9</v>
      </c>
      <c r="E74" s="11">
        <v>20</v>
      </c>
      <c r="F74" s="11">
        <v>20.6</v>
      </c>
      <c r="G74" s="11">
        <v>22.7</v>
      </c>
      <c r="H74" s="11">
        <v>25.36</v>
      </c>
      <c r="I74" s="13"/>
      <c r="J74" s="13"/>
      <c r="K74" s="13"/>
    </row>
    <row r="75" spans="2:11" x14ac:dyDescent="0.3">
      <c r="B75" s="11">
        <v>73</v>
      </c>
      <c r="C75" s="11" t="s">
        <v>21</v>
      </c>
      <c r="D75" s="11">
        <v>9.4</v>
      </c>
      <c r="E75" s="11">
        <v>15.3</v>
      </c>
      <c r="F75" s="11">
        <v>16</v>
      </c>
      <c r="G75" s="11">
        <v>17.100000000000001</v>
      </c>
      <c r="H75" s="11">
        <v>19.55</v>
      </c>
      <c r="I75" s="13"/>
      <c r="J75" s="13"/>
      <c r="K75" s="13"/>
    </row>
    <row r="76" spans="2:11" x14ac:dyDescent="0.3">
      <c r="B76" s="11">
        <v>74</v>
      </c>
      <c r="C76" s="11" t="s">
        <v>21</v>
      </c>
      <c r="D76" s="11">
        <v>8.8000000000000007</v>
      </c>
      <c r="E76" s="11">
        <v>14.4</v>
      </c>
      <c r="F76" s="11">
        <v>14.8</v>
      </c>
      <c r="G76" s="11">
        <v>15.8</v>
      </c>
      <c r="H76" s="11">
        <v>20.11</v>
      </c>
      <c r="I76" s="13"/>
      <c r="J76" s="13"/>
      <c r="K76" s="13"/>
    </row>
    <row r="77" spans="2:11" x14ac:dyDescent="0.3">
      <c r="B77" s="11">
        <v>75</v>
      </c>
      <c r="C77" s="11" t="s">
        <v>21</v>
      </c>
      <c r="D77" s="11">
        <v>8.1999999999999993</v>
      </c>
      <c r="E77" s="11">
        <v>13.3</v>
      </c>
      <c r="F77" s="11">
        <v>14.2</v>
      </c>
      <c r="G77" s="11">
        <v>15.4</v>
      </c>
      <c r="H77" s="11">
        <v>18.3</v>
      </c>
      <c r="I77" s="13"/>
      <c r="J77" s="13"/>
      <c r="K77" s="13"/>
    </row>
    <row r="78" spans="2:11" x14ac:dyDescent="0.3">
      <c r="B78" s="11">
        <v>76</v>
      </c>
      <c r="C78" s="11" t="s">
        <v>22</v>
      </c>
      <c r="D78" s="11">
        <v>16</v>
      </c>
      <c r="E78" s="11">
        <v>19.7</v>
      </c>
      <c r="F78" s="11">
        <v>20.399999999999999</v>
      </c>
      <c r="G78" s="11">
        <v>20.9</v>
      </c>
      <c r="H78" s="11">
        <v>21.5</v>
      </c>
      <c r="I78" s="11">
        <v>21.7</v>
      </c>
      <c r="J78" s="11">
        <v>22</v>
      </c>
      <c r="K78" s="11">
        <v>24.55</v>
      </c>
    </row>
    <row r="79" spans="2:11" x14ac:dyDescent="0.3">
      <c r="B79" s="11">
        <v>77</v>
      </c>
      <c r="C79" s="11" t="s">
        <v>22</v>
      </c>
      <c r="D79" s="11">
        <v>14</v>
      </c>
      <c r="E79" s="11">
        <v>18.3</v>
      </c>
      <c r="F79" s="11">
        <v>20</v>
      </c>
      <c r="G79" s="11">
        <v>21.2</v>
      </c>
      <c r="H79" s="11">
        <v>23.9</v>
      </c>
      <c r="I79" s="11">
        <v>25</v>
      </c>
      <c r="J79" s="11">
        <v>25</v>
      </c>
      <c r="K79" s="11">
        <v>26.57</v>
      </c>
    </row>
    <row r="80" spans="2:11" x14ac:dyDescent="0.3">
      <c r="B80" s="11">
        <v>78</v>
      </c>
      <c r="C80" s="11" t="s">
        <v>22</v>
      </c>
      <c r="D80" s="11">
        <v>11.1</v>
      </c>
      <c r="E80" s="11">
        <v>14.2</v>
      </c>
      <c r="F80" s="11">
        <v>15.3</v>
      </c>
      <c r="G80" s="11">
        <v>16.399999999999999</v>
      </c>
      <c r="H80" s="11">
        <v>18.399999999999999</v>
      </c>
      <c r="I80" s="11">
        <v>20.399999999999999</v>
      </c>
      <c r="J80" s="11">
        <v>19</v>
      </c>
      <c r="K80" s="11">
        <v>23.11</v>
      </c>
    </row>
    <row r="81" spans="2:11" x14ac:dyDescent="0.3">
      <c r="B81" s="11">
        <v>79</v>
      </c>
      <c r="C81" s="11" t="s">
        <v>22</v>
      </c>
      <c r="D81" s="11">
        <v>14.8</v>
      </c>
      <c r="E81" s="11">
        <v>18.399999999999999</v>
      </c>
      <c r="F81" s="11">
        <v>19.600000000000001</v>
      </c>
      <c r="G81" s="11">
        <v>20.6</v>
      </c>
      <c r="H81" s="11">
        <v>22.3</v>
      </c>
      <c r="I81" s="11">
        <v>23</v>
      </c>
      <c r="J81" s="11">
        <v>24</v>
      </c>
      <c r="K81" s="11">
        <v>25.93</v>
      </c>
    </row>
    <row r="82" spans="2:11" x14ac:dyDescent="0.3">
      <c r="B82" s="11">
        <v>80</v>
      </c>
      <c r="C82" s="11" t="s">
        <v>22</v>
      </c>
      <c r="D82" s="11">
        <v>14.5</v>
      </c>
      <c r="E82" s="11">
        <v>18.5</v>
      </c>
      <c r="F82" s="11">
        <v>20</v>
      </c>
      <c r="G82" s="11">
        <v>20.6</v>
      </c>
      <c r="H82" s="11">
        <v>20.3</v>
      </c>
      <c r="I82" s="11">
        <v>21.6</v>
      </c>
      <c r="J82" s="13" t="s">
        <v>28</v>
      </c>
      <c r="K82" s="11"/>
    </row>
    <row r="83" spans="2:11" x14ac:dyDescent="0.3">
      <c r="B83" s="11">
        <v>81</v>
      </c>
      <c r="C83" s="11" t="s">
        <v>22</v>
      </c>
      <c r="D83" s="11">
        <v>14.5</v>
      </c>
      <c r="E83" s="11">
        <v>18.899999999999999</v>
      </c>
      <c r="F83" s="11">
        <v>20.100000000000001</v>
      </c>
      <c r="G83" s="11">
        <v>22.1</v>
      </c>
      <c r="H83" s="11">
        <v>24.5</v>
      </c>
      <c r="I83" s="11">
        <v>24.6</v>
      </c>
      <c r="J83" s="11">
        <v>25</v>
      </c>
      <c r="K83" s="11">
        <v>27.81</v>
      </c>
    </row>
    <row r="84" spans="2:11" x14ac:dyDescent="0.3">
      <c r="B84" s="11">
        <v>82</v>
      </c>
      <c r="C84" s="11" t="s">
        <v>22</v>
      </c>
      <c r="D84" s="11">
        <v>12.6</v>
      </c>
      <c r="E84" s="11">
        <v>15.8</v>
      </c>
      <c r="F84" s="11">
        <v>17</v>
      </c>
      <c r="G84" s="11">
        <v>18.399999999999999</v>
      </c>
      <c r="H84" s="11">
        <v>16.7</v>
      </c>
      <c r="I84" s="11">
        <v>20.6</v>
      </c>
      <c r="J84" s="11">
        <v>23</v>
      </c>
      <c r="K84" s="11">
        <v>22</v>
      </c>
    </row>
    <row r="85" spans="2:11" x14ac:dyDescent="0.3">
      <c r="B85" s="11">
        <v>83</v>
      </c>
      <c r="C85" s="11" t="s">
        <v>22</v>
      </c>
      <c r="D85" s="11">
        <v>14</v>
      </c>
      <c r="E85" s="11">
        <v>18</v>
      </c>
      <c r="F85" s="11">
        <v>18.8</v>
      </c>
      <c r="G85" s="11">
        <v>19.399999999999999</v>
      </c>
      <c r="H85" s="11">
        <v>21.1</v>
      </c>
      <c r="I85" s="11">
        <v>21</v>
      </c>
      <c r="J85" s="13" t="s">
        <v>28</v>
      </c>
      <c r="K85" s="11"/>
    </row>
    <row r="86" spans="2:11" x14ac:dyDescent="0.3">
      <c r="B86" s="11">
        <v>84</v>
      </c>
      <c r="C86" s="11" t="s">
        <v>22</v>
      </c>
      <c r="D86" s="11">
        <v>13.5</v>
      </c>
      <c r="E86" s="11">
        <v>16</v>
      </c>
      <c r="F86" s="11">
        <v>16.399999999999999</v>
      </c>
      <c r="G86" s="11">
        <v>18</v>
      </c>
      <c r="H86" s="11">
        <v>19.5</v>
      </c>
      <c r="I86" s="11">
        <v>20.399999999999999</v>
      </c>
      <c r="J86" s="11">
        <v>22</v>
      </c>
      <c r="K86" s="11">
        <v>24.26</v>
      </c>
    </row>
    <row r="87" spans="2:11" x14ac:dyDescent="0.3">
      <c r="B87" s="11">
        <v>85</v>
      </c>
      <c r="C87" s="11" t="s">
        <v>22</v>
      </c>
      <c r="D87" s="11">
        <v>12.7</v>
      </c>
      <c r="E87" s="11">
        <v>15.1</v>
      </c>
      <c r="F87" s="11">
        <v>16</v>
      </c>
      <c r="G87" s="11">
        <v>17.2</v>
      </c>
      <c r="H87" s="11">
        <v>19</v>
      </c>
      <c r="I87" s="11">
        <v>20</v>
      </c>
      <c r="J87" s="11">
        <v>20</v>
      </c>
      <c r="K87" s="11">
        <v>24.36</v>
      </c>
    </row>
    <row r="88" spans="2:11" x14ac:dyDescent="0.3">
      <c r="B88" s="11">
        <v>86</v>
      </c>
      <c r="C88" s="11" t="s">
        <v>22</v>
      </c>
      <c r="D88" s="11">
        <v>14.3</v>
      </c>
      <c r="E88" s="11">
        <v>19</v>
      </c>
      <c r="F88" s="11">
        <v>20.5</v>
      </c>
      <c r="G88" s="11">
        <v>22</v>
      </c>
      <c r="H88" s="11">
        <v>25.8</v>
      </c>
      <c r="I88" s="11">
        <v>27.4</v>
      </c>
      <c r="J88" s="11">
        <v>29</v>
      </c>
      <c r="K88" s="11">
        <v>32.89</v>
      </c>
    </row>
    <row r="89" spans="2:11" x14ac:dyDescent="0.3">
      <c r="B89" s="11">
        <v>87</v>
      </c>
      <c r="C89" s="11" t="s">
        <v>22</v>
      </c>
      <c r="D89" s="11">
        <v>16.899999999999999</v>
      </c>
      <c r="E89" s="11">
        <v>20</v>
      </c>
      <c r="F89" s="11">
        <v>20</v>
      </c>
      <c r="G89" s="11">
        <v>21.2</v>
      </c>
      <c r="H89" s="11">
        <v>21.5</v>
      </c>
      <c r="I89" s="11">
        <v>22.2</v>
      </c>
      <c r="J89" s="11">
        <v>23</v>
      </c>
      <c r="K89" s="11">
        <v>27.11</v>
      </c>
    </row>
    <row r="90" spans="2:11" x14ac:dyDescent="0.3">
      <c r="B90" s="11">
        <v>88</v>
      </c>
      <c r="C90" s="11" t="s">
        <v>22</v>
      </c>
      <c r="D90" s="11">
        <v>10.5</v>
      </c>
      <c r="E90" s="11">
        <v>13.5</v>
      </c>
      <c r="F90" s="11">
        <v>14.6</v>
      </c>
      <c r="G90" s="11">
        <v>16.100000000000001</v>
      </c>
      <c r="H90" s="11">
        <v>18.399999999999999</v>
      </c>
      <c r="I90" s="11">
        <v>19</v>
      </c>
      <c r="J90" s="11">
        <v>20</v>
      </c>
      <c r="K90" s="11">
        <v>21.74</v>
      </c>
    </row>
    <row r="91" spans="2:11" x14ac:dyDescent="0.3">
      <c r="B91" s="11">
        <v>89</v>
      </c>
      <c r="C91" s="11" t="s">
        <v>22</v>
      </c>
      <c r="D91" s="11">
        <v>11.5</v>
      </c>
      <c r="E91" s="11">
        <v>14</v>
      </c>
      <c r="F91" s="11">
        <v>15.5</v>
      </c>
      <c r="G91" s="11">
        <v>16.7</v>
      </c>
      <c r="H91" s="11">
        <v>20</v>
      </c>
      <c r="I91" s="11">
        <v>20.5</v>
      </c>
      <c r="J91" s="11">
        <v>22</v>
      </c>
      <c r="K91" s="11">
        <v>24.79</v>
      </c>
    </row>
    <row r="92" spans="2:11" x14ac:dyDescent="0.3">
      <c r="B92" s="11">
        <v>90</v>
      </c>
      <c r="C92" s="11" t="s">
        <v>22</v>
      </c>
      <c r="D92" s="11">
        <v>14.1</v>
      </c>
      <c r="E92" s="11">
        <v>17.399999999999999</v>
      </c>
      <c r="F92" s="11">
        <v>18.5</v>
      </c>
      <c r="G92" s="11">
        <v>20.2</v>
      </c>
      <c r="H92" s="11">
        <v>22.5</v>
      </c>
      <c r="I92" s="11">
        <v>23.2</v>
      </c>
      <c r="J92" s="11">
        <v>25</v>
      </c>
      <c r="K92" s="11">
        <v>28.65</v>
      </c>
    </row>
    <row r="94" spans="2:11" x14ac:dyDescent="0.3">
      <c r="B94" t="s">
        <v>29</v>
      </c>
    </row>
    <row r="95" spans="2:11" x14ac:dyDescent="0.3">
      <c r="B95" s="11" t="s">
        <v>3</v>
      </c>
      <c r="C95" s="11" t="s">
        <v>4</v>
      </c>
      <c r="D95" s="11" t="s">
        <v>7</v>
      </c>
      <c r="E95" s="11" t="s">
        <v>13</v>
      </c>
      <c r="F95" s="11" t="s">
        <v>17</v>
      </c>
      <c r="G95" s="11" t="s">
        <v>19</v>
      </c>
      <c r="H95" s="11" t="s">
        <v>21</v>
      </c>
      <c r="I95" s="11" t="s">
        <v>26</v>
      </c>
      <c r="J95" s="11" t="s">
        <v>27</v>
      </c>
      <c r="K95" s="11" t="s">
        <v>22</v>
      </c>
    </row>
    <row r="96" spans="2:11" x14ac:dyDescent="0.3">
      <c r="B96" s="11">
        <v>1</v>
      </c>
      <c r="C96" s="11" t="s">
        <v>11</v>
      </c>
      <c r="D96">
        <f t="shared" ref="D96:D124" si="0">D3/D3</f>
        <v>1</v>
      </c>
    </row>
    <row r="97" spans="2:5" x14ac:dyDescent="0.3">
      <c r="B97" s="11">
        <v>2</v>
      </c>
      <c r="C97" s="11" t="s">
        <v>11</v>
      </c>
      <c r="D97">
        <f t="shared" si="0"/>
        <v>1</v>
      </c>
    </row>
    <row r="98" spans="2:5" x14ac:dyDescent="0.3">
      <c r="B98" s="11">
        <v>3</v>
      </c>
      <c r="C98" s="11" t="s">
        <v>11</v>
      </c>
      <c r="D98">
        <f t="shared" si="0"/>
        <v>1</v>
      </c>
    </row>
    <row r="99" spans="2:5" x14ac:dyDescent="0.3">
      <c r="B99" s="11">
        <v>4</v>
      </c>
      <c r="C99" s="11" t="s">
        <v>11</v>
      </c>
      <c r="D99">
        <f t="shared" si="0"/>
        <v>1</v>
      </c>
    </row>
    <row r="100" spans="2:5" x14ac:dyDescent="0.3">
      <c r="B100" s="11">
        <v>5</v>
      </c>
      <c r="C100" s="11" t="s">
        <v>11</v>
      </c>
      <c r="D100">
        <f t="shared" si="0"/>
        <v>1</v>
      </c>
    </row>
    <row r="101" spans="2:5" x14ac:dyDescent="0.3">
      <c r="B101" s="11">
        <v>6</v>
      </c>
      <c r="C101" s="11" t="s">
        <v>11</v>
      </c>
      <c r="D101">
        <f t="shared" si="0"/>
        <v>1</v>
      </c>
    </row>
    <row r="102" spans="2:5" x14ac:dyDescent="0.3">
      <c r="B102" s="11">
        <v>7</v>
      </c>
      <c r="C102" s="11" t="s">
        <v>11</v>
      </c>
      <c r="D102">
        <f t="shared" si="0"/>
        <v>1</v>
      </c>
    </row>
    <row r="103" spans="2:5" x14ac:dyDescent="0.3">
      <c r="B103" s="11">
        <v>8</v>
      </c>
      <c r="C103" s="11" t="s">
        <v>11</v>
      </c>
      <c r="D103">
        <f t="shared" si="0"/>
        <v>1</v>
      </c>
    </row>
    <row r="104" spans="2:5" x14ac:dyDescent="0.3">
      <c r="B104" s="11">
        <v>9</v>
      </c>
      <c r="C104" s="11" t="s">
        <v>11</v>
      </c>
      <c r="D104">
        <f t="shared" si="0"/>
        <v>1</v>
      </c>
    </row>
    <row r="105" spans="2:5" x14ac:dyDescent="0.3">
      <c r="B105" s="11">
        <v>10</v>
      </c>
      <c r="C105" s="11" t="s">
        <v>11</v>
      </c>
      <c r="D105">
        <f t="shared" si="0"/>
        <v>1</v>
      </c>
    </row>
    <row r="106" spans="2:5" x14ac:dyDescent="0.3">
      <c r="B106" s="11">
        <v>11</v>
      </c>
      <c r="C106" s="11" t="s">
        <v>11</v>
      </c>
      <c r="D106">
        <f t="shared" si="0"/>
        <v>1</v>
      </c>
    </row>
    <row r="107" spans="2:5" x14ac:dyDescent="0.3">
      <c r="B107" s="11">
        <v>12</v>
      </c>
      <c r="C107" s="11" t="s">
        <v>11</v>
      </c>
      <c r="D107">
        <f t="shared" si="0"/>
        <v>1</v>
      </c>
    </row>
    <row r="108" spans="2:5" x14ac:dyDescent="0.3">
      <c r="B108" s="11">
        <v>13</v>
      </c>
      <c r="C108" s="11" t="s">
        <v>11</v>
      </c>
      <c r="D108">
        <f t="shared" si="0"/>
        <v>1</v>
      </c>
    </row>
    <row r="109" spans="2:5" x14ac:dyDescent="0.3">
      <c r="B109" s="11">
        <v>14</v>
      </c>
      <c r="C109" s="11" t="s">
        <v>11</v>
      </c>
      <c r="D109">
        <f t="shared" si="0"/>
        <v>1</v>
      </c>
    </row>
    <row r="110" spans="2:5" x14ac:dyDescent="0.3">
      <c r="B110" s="11">
        <v>15</v>
      </c>
      <c r="C110" s="11" t="s">
        <v>11</v>
      </c>
      <c r="D110">
        <f t="shared" si="0"/>
        <v>1</v>
      </c>
    </row>
    <row r="111" spans="2:5" x14ac:dyDescent="0.3">
      <c r="B111" s="11">
        <v>16</v>
      </c>
      <c r="C111" s="11" t="s">
        <v>13</v>
      </c>
      <c r="D111">
        <f t="shared" si="0"/>
        <v>1</v>
      </c>
      <c r="E111">
        <f t="shared" ref="E111:E124" si="1">E18/D18</f>
        <v>1.2827272727272727</v>
      </c>
    </row>
    <row r="112" spans="2:5" x14ac:dyDescent="0.3">
      <c r="B112" s="11">
        <v>17</v>
      </c>
      <c r="C112" s="11" t="s">
        <v>13</v>
      </c>
      <c r="D112">
        <f t="shared" si="0"/>
        <v>1</v>
      </c>
      <c r="E112">
        <f t="shared" si="1"/>
        <v>1.2350427350427351</v>
      </c>
    </row>
    <row r="113" spans="2:6" x14ac:dyDescent="0.3">
      <c r="B113" s="11">
        <v>18</v>
      </c>
      <c r="C113" s="11" t="s">
        <v>13</v>
      </c>
      <c r="D113">
        <f t="shared" si="0"/>
        <v>1</v>
      </c>
      <c r="E113">
        <f t="shared" si="1"/>
        <v>1.3083969465648855</v>
      </c>
    </row>
    <row r="114" spans="2:6" x14ac:dyDescent="0.3">
      <c r="B114" s="11">
        <v>19</v>
      </c>
      <c r="C114" s="11" t="s">
        <v>13</v>
      </c>
      <c r="D114">
        <f t="shared" si="0"/>
        <v>1</v>
      </c>
      <c r="E114">
        <f t="shared" si="1"/>
        <v>1.2213740458015268</v>
      </c>
    </row>
    <row r="115" spans="2:6" x14ac:dyDescent="0.3">
      <c r="B115" s="11">
        <v>20</v>
      </c>
      <c r="C115" s="11" t="s">
        <v>13</v>
      </c>
      <c r="D115">
        <f t="shared" si="0"/>
        <v>1</v>
      </c>
      <c r="E115">
        <f t="shared" si="1"/>
        <v>1.2761538461538462</v>
      </c>
    </row>
    <row r="116" spans="2:6" x14ac:dyDescent="0.3">
      <c r="B116" s="11">
        <v>21</v>
      </c>
      <c r="C116" s="11" t="s">
        <v>13</v>
      </c>
      <c r="D116">
        <f t="shared" si="0"/>
        <v>1</v>
      </c>
      <c r="E116">
        <f t="shared" si="1"/>
        <v>1.2575000000000001</v>
      </c>
    </row>
    <row r="117" spans="2:6" x14ac:dyDescent="0.3">
      <c r="B117" s="11">
        <v>22</v>
      </c>
      <c r="C117" s="11" t="s">
        <v>13</v>
      </c>
      <c r="D117">
        <f t="shared" si="0"/>
        <v>1</v>
      </c>
      <c r="E117">
        <f t="shared" si="1"/>
        <v>1.1836477987421383</v>
      </c>
    </row>
    <row r="118" spans="2:6" x14ac:dyDescent="0.3">
      <c r="B118" s="11">
        <v>23</v>
      </c>
      <c r="C118" s="11" t="s">
        <v>13</v>
      </c>
      <c r="D118">
        <f t="shared" si="0"/>
        <v>1</v>
      </c>
      <c r="E118">
        <f t="shared" si="1"/>
        <v>1.2766666666666666</v>
      </c>
    </row>
    <row r="119" spans="2:6" x14ac:dyDescent="0.3">
      <c r="B119" s="11">
        <v>24</v>
      </c>
      <c r="C119" s="11" t="s">
        <v>13</v>
      </c>
      <c r="D119">
        <f t="shared" si="0"/>
        <v>1</v>
      </c>
      <c r="E119">
        <f t="shared" si="1"/>
        <v>1.1791366906474821</v>
      </c>
    </row>
    <row r="120" spans="2:6" x14ac:dyDescent="0.3">
      <c r="B120" s="11">
        <v>25</v>
      </c>
      <c r="C120" s="11" t="s">
        <v>13</v>
      </c>
      <c r="D120">
        <f t="shared" si="0"/>
        <v>1</v>
      </c>
      <c r="E120">
        <f t="shared" si="1"/>
        <v>1.2227544910179642</v>
      </c>
    </row>
    <row r="121" spans="2:6" x14ac:dyDescent="0.3">
      <c r="B121" s="11">
        <v>26</v>
      </c>
      <c r="C121" s="11" t="s">
        <v>13</v>
      </c>
      <c r="D121">
        <f t="shared" si="0"/>
        <v>1</v>
      </c>
      <c r="E121">
        <f t="shared" si="1"/>
        <v>1.0410714285714284</v>
      </c>
    </row>
    <row r="122" spans="2:6" x14ac:dyDescent="0.3">
      <c r="B122" s="11">
        <v>27</v>
      </c>
      <c r="C122" s="11" t="s">
        <v>13</v>
      </c>
      <c r="D122">
        <f t="shared" si="0"/>
        <v>1</v>
      </c>
      <c r="E122">
        <f t="shared" si="1"/>
        <v>1.2241206030150755</v>
      </c>
    </row>
    <row r="123" spans="2:6" x14ac:dyDescent="0.3">
      <c r="B123" s="11">
        <v>28</v>
      </c>
      <c r="C123" s="11" t="s">
        <v>13</v>
      </c>
      <c r="D123">
        <f t="shared" si="0"/>
        <v>1</v>
      </c>
      <c r="E123">
        <f t="shared" si="1"/>
        <v>1.2311475409836066</v>
      </c>
    </row>
    <row r="124" spans="2:6" x14ac:dyDescent="0.3">
      <c r="B124" s="11">
        <v>29</v>
      </c>
      <c r="C124" s="11" t="s">
        <v>13</v>
      </c>
      <c r="D124">
        <f t="shared" si="0"/>
        <v>1</v>
      </c>
      <c r="E124">
        <f t="shared" si="1"/>
        <v>1.1277310924369748</v>
      </c>
    </row>
    <row r="125" spans="2:6" x14ac:dyDescent="0.3">
      <c r="B125" s="11">
        <v>30</v>
      </c>
      <c r="C125" s="11" t="s">
        <v>13</v>
      </c>
      <c r="D125" t="s">
        <v>16</v>
      </c>
      <c r="E125" t="s">
        <v>16</v>
      </c>
    </row>
    <row r="126" spans="2:6" x14ac:dyDescent="0.3">
      <c r="B126" s="11">
        <v>31</v>
      </c>
      <c r="C126" s="11" t="s">
        <v>17</v>
      </c>
      <c r="D126">
        <f t="shared" ref="D126:D160" si="2">D33/D33</f>
        <v>1</v>
      </c>
      <c r="E126">
        <f t="shared" ref="E126:E175" si="3">E33/D33</f>
        <v>1.2256097560975612</v>
      </c>
      <c r="F126">
        <f>F33/D33</f>
        <v>1.3134146341463415</v>
      </c>
    </row>
    <row r="127" spans="2:6" x14ac:dyDescent="0.3">
      <c r="B127" s="11">
        <v>32</v>
      </c>
      <c r="C127" s="11" t="s">
        <v>17</v>
      </c>
      <c r="D127">
        <f t="shared" si="2"/>
        <v>1</v>
      </c>
      <c r="E127">
        <f t="shared" si="3"/>
        <v>1.1890243902439026</v>
      </c>
      <c r="F127">
        <f t="shared" ref="F127:F185" si="4">F34/D34</f>
        <v>1.2323170731707318</v>
      </c>
    </row>
    <row r="128" spans="2:6" x14ac:dyDescent="0.3">
      <c r="B128" s="11">
        <v>33</v>
      </c>
      <c r="C128" s="11" t="s">
        <v>17</v>
      </c>
      <c r="D128">
        <f t="shared" si="2"/>
        <v>1</v>
      </c>
      <c r="E128">
        <f t="shared" si="3"/>
        <v>1.1764705882352942</v>
      </c>
      <c r="F128">
        <f t="shared" si="4"/>
        <v>1.2654411764705884</v>
      </c>
    </row>
    <row r="129" spans="2:7" x14ac:dyDescent="0.3">
      <c r="B129" s="11">
        <v>34</v>
      </c>
      <c r="C129" s="11" t="s">
        <v>17</v>
      </c>
      <c r="D129">
        <f t="shared" si="2"/>
        <v>1</v>
      </c>
      <c r="E129">
        <f t="shared" si="3"/>
        <v>1.2131147540983607</v>
      </c>
      <c r="F129">
        <f t="shared" si="4"/>
        <v>1.2961748633879779</v>
      </c>
    </row>
    <row r="130" spans="2:7" x14ac:dyDescent="0.3">
      <c r="B130" s="11">
        <v>35</v>
      </c>
      <c r="C130" s="11" t="s">
        <v>17</v>
      </c>
      <c r="D130">
        <f t="shared" si="2"/>
        <v>1</v>
      </c>
      <c r="E130">
        <f t="shared" si="3"/>
        <v>1.1840490797546013</v>
      </c>
      <c r="F130">
        <f t="shared" si="4"/>
        <v>1.1846625766871164</v>
      </c>
    </row>
    <row r="131" spans="2:7" x14ac:dyDescent="0.3">
      <c r="B131" s="11">
        <v>36</v>
      </c>
      <c r="C131" s="11" t="s">
        <v>17</v>
      </c>
      <c r="D131">
        <f t="shared" si="2"/>
        <v>1</v>
      </c>
      <c r="E131">
        <f t="shared" si="3"/>
        <v>1.2241379310344827</v>
      </c>
      <c r="F131">
        <f t="shared" si="4"/>
        <v>1.3008620689655173</v>
      </c>
    </row>
    <row r="132" spans="2:7" x14ac:dyDescent="0.3">
      <c r="B132" s="11">
        <v>37</v>
      </c>
      <c r="C132" s="11" t="s">
        <v>17</v>
      </c>
      <c r="D132">
        <f t="shared" si="2"/>
        <v>1</v>
      </c>
      <c r="E132">
        <f t="shared" si="3"/>
        <v>1.2028985507246377</v>
      </c>
      <c r="F132">
        <f t="shared" si="4"/>
        <v>1.232608695652174</v>
      </c>
    </row>
    <row r="133" spans="2:7" x14ac:dyDescent="0.3">
      <c r="B133" s="11">
        <v>38</v>
      </c>
      <c r="C133" s="11" t="s">
        <v>17</v>
      </c>
      <c r="D133">
        <f t="shared" si="2"/>
        <v>1</v>
      </c>
      <c r="E133">
        <f t="shared" si="3"/>
        <v>1.1828571428571428</v>
      </c>
      <c r="F133">
        <f t="shared" si="4"/>
        <v>1.2297142857142858</v>
      </c>
    </row>
    <row r="134" spans="2:7" x14ac:dyDescent="0.3">
      <c r="B134" s="11">
        <v>39</v>
      </c>
      <c r="C134" s="11" t="s">
        <v>17</v>
      </c>
      <c r="D134">
        <f t="shared" si="2"/>
        <v>1</v>
      </c>
      <c r="E134">
        <f t="shared" si="3"/>
        <v>1.2483221476510067</v>
      </c>
      <c r="F134">
        <f t="shared" si="4"/>
        <v>1.2818791946308725</v>
      </c>
    </row>
    <row r="135" spans="2:7" x14ac:dyDescent="0.3">
      <c r="B135" s="11">
        <v>40</v>
      </c>
      <c r="C135" s="11" t="s">
        <v>17</v>
      </c>
      <c r="D135">
        <f t="shared" si="2"/>
        <v>1</v>
      </c>
      <c r="E135">
        <f t="shared" si="3"/>
        <v>1.2287581699346406</v>
      </c>
      <c r="F135">
        <f t="shared" si="4"/>
        <v>1.2620915032679738</v>
      </c>
    </row>
    <row r="136" spans="2:7" x14ac:dyDescent="0.3">
      <c r="B136" s="11">
        <v>41</v>
      </c>
      <c r="C136" s="11" t="s">
        <v>17</v>
      </c>
      <c r="D136">
        <f t="shared" si="2"/>
        <v>1</v>
      </c>
      <c r="E136">
        <f t="shared" si="3"/>
        <v>1.3157894736842104</v>
      </c>
      <c r="F136">
        <f t="shared" si="4"/>
        <v>1.3614035087719298</v>
      </c>
    </row>
    <row r="137" spans="2:7" x14ac:dyDescent="0.3">
      <c r="B137" s="11">
        <v>42</v>
      </c>
      <c r="C137" s="11" t="s">
        <v>17</v>
      </c>
      <c r="D137">
        <f t="shared" si="2"/>
        <v>1</v>
      </c>
      <c r="E137">
        <f t="shared" si="3"/>
        <v>1.2885906040268456</v>
      </c>
      <c r="F137">
        <f t="shared" si="4"/>
        <v>1.3375838926174497</v>
      </c>
    </row>
    <row r="138" spans="2:7" x14ac:dyDescent="0.3">
      <c r="B138" s="11">
        <v>43</v>
      </c>
      <c r="C138" s="11" t="s">
        <v>17</v>
      </c>
      <c r="D138">
        <f t="shared" si="2"/>
        <v>1</v>
      </c>
      <c r="E138">
        <f t="shared" si="3"/>
        <v>1.1224489795918369</v>
      </c>
      <c r="F138">
        <f t="shared" si="4"/>
        <v>1.1360544217687074</v>
      </c>
    </row>
    <row r="139" spans="2:7" x14ac:dyDescent="0.3">
      <c r="B139" s="11">
        <v>44</v>
      </c>
      <c r="C139" s="11" t="s">
        <v>17</v>
      </c>
      <c r="D139">
        <f t="shared" si="2"/>
        <v>1</v>
      </c>
      <c r="E139">
        <f t="shared" si="3"/>
        <v>1.2556390977443608</v>
      </c>
      <c r="F139">
        <f t="shared" si="4"/>
        <v>1.3263157894736841</v>
      </c>
    </row>
    <row r="140" spans="2:7" x14ac:dyDescent="0.3">
      <c r="B140" s="11">
        <v>45</v>
      </c>
      <c r="C140" s="11" t="s">
        <v>17</v>
      </c>
      <c r="D140">
        <f t="shared" si="2"/>
        <v>1</v>
      </c>
      <c r="E140">
        <f t="shared" si="3"/>
        <v>1.1621621621621621</v>
      </c>
      <c r="F140">
        <f t="shared" si="4"/>
        <v>1.2439189189189188</v>
      </c>
    </row>
    <row r="141" spans="2:7" x14ac:dyDescent="0.3">
      <c r="B141" s="11">
        <v>46</v>
      </c>
      <c r="C141" s="11" t="s">
        <v>19</v>
      </c>
      <c r="D141">
        <f t="shared" si="2"/>
        <v>1</v>
      </c>
      <c r="E141">
        <f t="shared" si="3"/>
        <v>1.2561983471074381</v>
      </c>
      <c r="F141">
        <f t="shared" si="4"/>
        <v>1.3471074380165291</v>
      </c>
      <c r="G141">
        <f>G48/D48</f>
        <v>1.4644628099173553</v>
      </c>
    </row>
    <row r="142" spans="2:7" x14ac:dyDescent="0.3">
      <c r="B142" s="11">
        <v>47</v>
      </c>
      <c r="C142" s="11" t="s">
        <v>19</v>
      </c>
      <c r="D142">
        <f t="shared" si="2"/>
        <v>1</v>
      </c>
      <c r="E142">
        <f t="shared" si="3"/>
        <v>1.2681159420289854</v>
      </c>
      <c r="F142">
        <f t="shared" si="4"/>
        <v>1.3043478260869565</v>
      </c>
      <c r="G142">
        <f t="shared" ref="G142:G185" si="5">G49/D49</f>
        <v>1.4173913043478259</v>
      </c>
    </row>
    <row r="143" spans="2:7" x14ac:dyDescent="0.3">
      <c r="B143" s="11">
        <v>48</v>
      </c>
      <c r="C143" s="11" t="s">
        <v>19</v>
      </c>
      <c r="D143">
        <f t="shared" si="2"/>
        <v>1</v>
      </c>
      <c r="E143">
        <f t="shared" si="3"/>
        <v>1.2285714285714284</v>
      </c>
      <c r="F143">
        <f t="shared" si="4"/>
        <v>1.2714285714285716</v>
      </c>
      <c r="G143">
        <f t="shared" si="5"/>
        <v>1.3542857142857143</v>
      </c>
    </row>
    <row r="144" spans="2:7" x14ac:dyDescent="0.3">
      <c r="B144" s="11">
        <v>49</v>
      </c>
      <c r="C144" s="11" t="s">
        <v>19</v>
      </c>
      <c r="D144">
        <f t="shared" si="2"/>
        <v>1</v>
      </c>
      <c r="E144">
        <f t="shared" si="3"/>
        <v>1.2796610169491525</v>
      </c>
      <c r="F144">
        <f t="shared" si="4"/>
        <v>1.3220338983050846</v>
      </c>
      <c r="G144">
        <f t="shared" si="5"/>
        <v>1.4262711864406776</v>
      </c>
    </row>
    <row r="145" spans="2:8" x14ac:dyDescent="0.3">
      <c r="B145" s="11">
        <v>50</v>
      </c>
      <c r="C145" s="11" t="s">
        <v>19</v>
      </c>
      <c r="D145">
        <f t="shared" si="2"/>
        <v>1</v>
      </c>
      <c r="E145">
        <f t="shared" si="3"/>
        <v>1.6301369863013699</v>
      </c>
      <c r="F145">
        <f t="shared" si="4"/>
        <v>1.6575342465753424</v>
      </c>
      <c r="G145">
        <f t="shared" si="5"/>
        <v>1.7383561643835617</v>
      </c>
    </row>
    <row r="146" spans="2:8" x14ac:dyDescent="0.3">
      <c r="B146" s="11">
        <v>51</v>
      </c>
      <c r="C146" s="11" t="s">
        <v>19</v>
      </c>
      <c r="D146">
        <f t="shared" si="2"/>
        <v>1</v>
      </c>
      <c r="E146">
        <f t="shared" si="3"/>
        <v>1.6263736263736266</v>
      </c>
      <c r="F146">
        <f t="shared" si="4"/>
        <v>1.6923076923076925</v>
      </c>
      <c r="G146">
        <f t="shared" si="5"/>
        <v>1.7252747252747254</v>
      </c>
    </row>
    <row r="147" spans="2:8" x14ac:dyDescent="0.3">
      <c r="B147" s="11">
        <v>52</v>
      </c>
      <c r="C147" s="11" t="s">
        <v>19</v>
      </c>
      <c r="D147">
        <f t="shared" si="2"/>
        <v>1</v>
      </c>
      <c r="E147">
        <f t="shared" si="3"/>
        <v>1.6461538461538461</v>
      </c>
      <c r="F147">
        <f t="shared" si="4"/>
        <v>1.6615384615384616</v>
      </c>
      <c r="G147">
        <f t="shared" si="5"/>
        <v>1.7492307692307691</v>
      </c>
    </row>
    <row r="148" spans="2:8" x14ac:dyDescent="0.3">
      <c r="B148" s="11">
        <v>53</v>
      </c>
      <c r="C148" s="11" t="s">
        <v>19</v>
      </c>
      <c r="D148">
        <f t="shared" si="2"/>
        <v>1</v>
      </c>
      <c r="E148">
        <f t="shared" si="3"/>
        <v>1.5575221238938053</v>
      </c>
      <c r="F148">
        <f t="shared" si="4"/>
        <v>1.6194690265486724</v>
      </c>
      <c r="G148">
        <f t="shared" si="5"/>
        <v>1.6929203539823008</v>
      </c>
    </row>
    <row r="149" spans="2:8" x14ac:dyDescent="0.3">
      <c r="B149" s="11">
        <v>54</v>
      </c>
      <c r="C149" s="11" t="s">
        <v>19</v>
      </c>
      <c r="D149">
        <f t="shared" si="2"/>
        <v>1</v>
      </c>
      <c r="E149">
        <f t="shared" si="3"/>
        <v>1.182608695652174</v>
      </c>
      <c r="F149">
        <f t="shared" si="4"/>
        <v>1.2434782608695654</v>
      </c>
      <c r="G149">
        <f t="shared" si="5"/>
        <v>1.2913043478260868</v>
      </c>
    </row>
    <row r="150" spans="2:8" x14ac:dyDescent="0.3">
      <c r="B150" s="11">
        <v>55</v>
      </c>
      <c r="C150" s="11" t="s">
        <v>19</v>
      </c>
      <c r="D150">
        <f t="shared" si="2"/>
        <v>1</v>
      </c>
      <c r="E150">
        <f t="shared" si="3"/>
        <v>1.2300884955752212</v>
      </c>
      <c r="F150">
        <f t="shared" si="4"/>
        <v>1.2831858407079646</v>
      </c>
      <c r="G150">
        <f t="shared" si="5"/>
        <v>1.3814159292035397</v>
      </c>
    </row>
    <row r="151" spans="2:8" x14ac:dyDescent="0.3">
      <c r="B151" s="11">
        <v>56</v>
      </c>
      <c r="C151" s="11" t="s">
        <v>19</v>
      </c>
      <c r="D151">
        <f t="shared" si="2"/>
        <v>1</v>
      </c>
      <c r="E151">
        <f t="shared" si="3"/>
        <v>1.3032258064516129</v>
      </c>
      <c r="F151">
        <f t="shared" si="4"/>
        <v>1.3354838709677419</v>
      </c>
      <c r="G151">
        <f t="shared" si="5"/>
        <v>1.3877419354838711</v>
      </c>
    </row>
    <row r="152" spans="2:8" x14ac:dyDescent="0.3">
      <c r="B152" s="11">
        <v>57</v>
      </c>
      <c r="C152" s="11" t="s">
        <v>19</v>
      </c>
      <c r="D152">
        <f>D59/D59</f>
        <v>1</v>
      </c>
      <c r="E152">
        <f t="shared" si="3"/>
        <v>1.262135922330097</v>
      </c>
      <c r="F152">
        <f t="shared" si="4"/>
        <v>1.3592233009708736</v>
      </c>
      <c r="G152">
        <f t="shared" si="5"/>
        <v>1.4951456310679612</v>
      </c>
    </row>
    <row r="153" spans="2:8" x14ac:dyDescent="0.3">
      <c r="B153" s="11">
        <v>58</v>
      </c>
      <c r="C153" s="11" t="s">
        <v>19</v>
      </c>
      <c r="D153">
        <f t="shared" si="2"/>
        <v>1</v>
      </c>
      <c r="E153">
        <f t="shared" si="3"/>
        <v>1.2573529411764708</v>
      </c>
      <c r="F153">
        <f t="shared" si="4"/>
        <v>1.3235294117647058</v>
      </c>
      <c r="G153">
        <f t="shared" si="5"/>
        <v>1.4749999999999999</v>
      </c>
    </row>
    <row r="154" spans="2:8" x14ac:dyDescent="0.3">
      <c r="B154" s="11">
        <v>59</v>
      </c>
      <c r="C154" s="11" t="s">
        <v>19</v>
      </c>
      <c r="D154">
        <f t="shared" si="2"/>
        <v>1</v>
      </c>
      <c r="E154">
        <f t="shared" si="3"/>
        <v>1.3007518796992481</v>
      </c>
      <c r="F154">
        <f t="shared" si="4"/>
        <v>1.3984962406015038</v>
      </c>
      <c r="G154">
        <f t="shared" si="5"/>
        <v>1.5684210526315787</v>
      </c>
    </row>
    <row r="155" spans="2:8" x14ac:dyDescent="0.3">
      <c r="B155" s="11">
        <v>60</v>
      </c>
      <c r="C155" s="11" t="s">
        <v>19</v>
      </c>
      <c r="D155">
        <f t="shared" si="2"/>
        <v>1</v>
      </c>
      <c r="E155">
        <f t="shared" si="3"/>
        <v>1.3362831858407078</v>
      </c>
      <c r="F155">
        <f t="shared" si="4"/>
        <v>1.3805309734513274</v>
      </c>
      <c r="G155">
        <f t="shared" si="5"/>
        <v>1.4672566371681413</v>
      </c>
    </row>
    <row r="156" spans="2:8" x14ac:dyDescent="0.3">
      <c r="B156" s="11">
        <v>61</v>
      </c>
      <c r="C156" s="11" t="s">
        <v>21</v>
      </c>
      <c r="D156">
        <f t="shared" si="2"/>
        <v>1</v>
      </c>
      <c r="E156">
        <f t="shared" si="3"/>
        <v>1.2925170068027212</v>
      </c>
      <c r="F156">
        <f t="shared" si="4"/>
        <v>1.3401360544217686</v>
      </c>
      <c r="G156">
        <f t="shared" si="5"/>
        <v>1.4829931972789117</v>
      </c>
      <c r="H156">
        <f>H63/D63</f>
        <v>1.6190476190476191</v>
      </c>
    </row>
    <row r="157" spans="2:8" x14ac:dyDescent="0.3">
      <c r="B157" s="11">
        <v>62</v>
      </c>
      <c r="C157" s="11" t="s">
        <v>21</v>
      </c>
      <c r="D157">
        <f t="shared" si="2"/>
        <v>1</v>
      </c>
      <c r="E157">
        <f t="shared" si="3"/>
        <v>1.1388888888888888</v>
      </c>
      <c r="F157">
        <f t="shared" si="4"/>
        <v>1.1388888888888888</v>
      </c>
      <c r="G157">
        <f t="shared" si="5"/>
        <v>1.1722222222222223</v>
      </c>
      <c r="H157">
        <f t="shared" ref="H157:H185" si="6">H64/D64</f>
        <v>0.93555555555555558</v>
      </c>
    </row>
    <row r="158" spans="2:8" x14ac:dyDescent="0.3">
      <c r="B158" s="11">
        <v>63</v>
      </c>
      <c r="C158" s="11" t="s">
        <v>21</v>
      </c>
      <c r="D158">
        <f t="shared" si="2"/>
        <v>1</v>
      </c>
      <c r="E158">
        <f t="shared" si="3"/>
        <v>1.186813186813187</v>
      </c>
      <c r="F158">
        <f t="shared" si="4"/>
        <v>1.2252747252747254</v>
      </c>
      <c r="G158">
        <f t="shared" si="5"/>
        <v>1.2912087912087913</v>
      </c>
      <c r="H158">
        <f t="shared" si="6"/>
        <v>1.365934065934066</v>
      </c>
    </row>
    <row r="159" spans="2:8" x14ac:dyDescent="0.3">
      <c r="B159" s="11">
        <v>64</v>
      </c>
      <c r="C159" s="11" t="s">
        <v>21</v>
      </c>
      <c r="D159">
        <f t="shared" si="2"/>
        <v>1</v>
      </c>
      <c r="E159">
        <f t="shared" si="3"/>
        <v>1.248</v>
      </c>
      <c r="F159">
        <f t="shared" si="4"/>
        <v>1.3359999999999999</v>
      </c>
      <c r="G159">
        <f t="shared" si="5"/>
        <v>1.3840000000000001</v>
      </c>
      <c r="H159">
        <f t="shared" si="6"/>
        <v>1.6272</v>
      </c>
    </row>
    <row r="160" spans="2:8" x14ac:dyDescent="0.3">
      <c r="B160" s="11">
        <v>65</v>
      </c>
      <c r="C160" s="11" t="s">
        <v>21</v>
      </c>
      <c r="D160">
        <f t="shared" si="2"/>
        <v>1</v>
      </c>
      <c r="E160">
        <f t="shared" si="3"/>
        <v>1.2518518518518518</v>
      </c>
      <c r="F160">
        <f t="shared" si="4"/>
        <v>1.3259259259259257</v>
      </c>
      <c r="G160">
        <f t="shared" si="5"/>
        <v>1.4</v>
      </c>
      <c r="H160">
        <f t="shared" si="6"/>
        <v>1.585925925925926</v>
      </c>
    </row>
    <row r="161" spans="2:11" x14ac:dyDescent="0.3">
      <c r="B161" s="11">
        <v>66</v>
      </c>
      <c r="C161" s="11" t="s">
        <v>21</v>
      </c>
      <c r="D161">
        <f t="shared" ref="D161:D164" si="7">D68/D68</f>
        <v>1</v>
      </c>
      <c r="E161">
        <f t="shared" si="3"/>
        <v>1.2773109243697478</v>
      </c>
      <c r="F161">
        <f t="shared" si="4"/>
        <v>1.3445378151260503</v>
      </c>
      <c r="G161">
        <f t="shared" si="5"/>
        <v>1.4201680672268906</v>
      </c>
      <c r="H161">
        <f t="shared" si="6"/>
        <v>1.5949579831932772</v>
      </c>
    </row>
    <row r="162" spans="2:11" x14ac:dyDescent="0.3">
      <c r="B162" s="11">
        <v>67</v>
      </c>
      <c r="C162" s="11" t="s">
        <v>21</v>
      </c>
      <c r="D162">
        <f t="shared" si="7"/>
        <v>1</v>
      </c>
      <c r="E162">
        <f t="shared" si="3"/>
        <v>1.2160493827160495</v>
      </c>
      <c r="F162">
        <f t="shared" si="4"/>
        <v>1.2592592592592593</v>
      </c>
      <c r="G162">
        <f t="shared" si="5"/>
        <v>1.2901234567901234</v>
      </c>
      <c r="H162">
        <f t="shared" si="6"/>
        <v>1.338888888888889</v>
      </c>
    </row>
    <row r="163" spans="2:11" x14ac:dyDescent="0.3">
      <c r="B163" s="11">
        <v>68</v>
      </c>
      <c r="C163" s="11" t="s">
        <v>21</v>
      </c>
      <c r="D163">
        <f t="shared" si="7"/>
        <v>1</v>
      </c>
      <c r="E163">
        <f t="shared" si="3"/>
        <v>1.2349397590361444</v>
      </c>
      <c r="F163">
        <f t="shared" si="4"/>
        <v>1.2771084337349397</v>
      </c>
      <c r="G163">
        <f t="shared" si="5"/>
        <v>1.3253012048192769</v>
      </c>
      <c r="H163">
        <f t="shared" si="6"/>
        <v>1.4186746987951806</v>
      </c>
    </row>
    <row r="164" spans="2:11" x14ac:dyDescent="0.3">
      <c r="B164" s="11">
        <v>69</v>
      </c>
      <c r="C164" s="11" t="s">
        <v>21</v>
      </c>
      <c r="D164">
        <f t="shared" si="7"/>
        <v>1</v>
      </c>
      <c r="E164">
        <f t="shared" si="3"/>
        <v>1.201834862385321</v>
      </c>
      <c r="F164">
        <f t="shared" si="4"/>
        <v>1.2477064220183485</v>
      </c>
      <c r="G164">
        <f t="shared" si="5"/>
        <v>1.3302752293577982</v>
      </c>
      <c r="H164">
        <f t="shared" si="6"/>
        <v>1.6137614678899082</v>
      </c>
    </row>
    <row r="165" spans="2:11" x14ac:dyDescent="0.3">
      <c r="B165" s="11">
        <v>70</v>
      </c>
      <c r="C165" s="11" t="s">
        <v>21</v>
      </c>
      <c r="D165">
        <f>D72/D72</f>
        <v>1</v>
      </c>
      <c r="E165">
        <f t="shared" si="3"/>
        <v>1.1409395973154361</v>
      </c>
      <c r="F165">
        <f t="shared" si="4"/>
        <v>1.1610738255033557</v>
      </c>
      <c r="G165">
        <f t="shared" si="5"/>
        <v>1.1946308724832215</v>
      </c>
      <c r="H165">
        <f t="shared" si="6"/>
        <v>1.2919463087248322</v>
      </c>
    </row>
    <row r="166" spans="2:11" x14ac:dyDescent="0.3">
      <c r="B166" s="11">
        <v>71</v>
      </c>
      <c r="C166" s="11" t="s">
        <v>21</v>
      </c>
      <c r="D166">
        <f t="shared" ref="D166:D185" si="8">D73/D73</f>
        <v>1</v>
      </c>
      <c r="E166">
        <f t="shared" si="3"/>
        <v>1.2999999999999998</v>
      </c>
      <c r="F166">
        <f t="shared" si="4"/>
        <v>1.3076923076923077</v>
      </c>
      <c r="G166">
        <f t="shared" si="5"/>
        <v>1.3846153846153846</v>
      </c>
      <c r="H166">
        <f t="shared" si="6"/>
        <v>1.426923076923077</v>
      </c>
    </row>
    <row r="167" spans="2:11" x14ac:dyDescent="0.3">
      <c r="B167" s="11">
        <v>72</v>
      </c>
      <c r="C167" s="11" t="s">
        <v>21</v>
      </c>
      <c r="D167">
        <f t="shared" si="8"/>
        <v>1</v>
      </c>
      <c r="E167">
        <f t="shared" si="3"/>
        <v>1.2578616352201257</v>
      </c>
      <c r="F167">
        <f t="shared" si="4"/>
        <v>1.2955974842767297</v>
      </c>
      <c r="G167">
        <f t="shared" si="5"/>
        <v>1.4276729559748427</v>
      </c>
      <c r="H167">
        <f t="shared" si="6"/>
        <v>1.5949685534591194</v>
      </c>
    </row>
    <row r="168" spans="2:11" x14ac:dyDescent="0.3">
      <c r="B168" s="11">
        <v>73</v>
      </c>
      <c r="C168" s="11" t="s">
        <v>21</v>
      </c>
      <c r="D168">
        <f t="shared" si="8"/>
        <v>1</v>
      </c>
      <c r="E168">
        <f t="shared" si="3"/>
        <v>1.6276595744680851</v>
      </c>
      <c r="F168">
        <f t="shared" si="4"/>
        <v>1.7021276595744681</v>
      </c>
      <c r="G168">
        <f t="shared" si="5"/>
        <v>1.8191489361702129</v>
      </c>
      <c r="H168">
        <f t="shared" si="6"/>
        <v>2.0797872340425534</v>
      </c>
    </row>
    <row r="169" spans="2:11" x14ac:dyDescent="0.3">
      <c r="B169" s="11">
        <v>74</v>
      </c>
      <c r="C169" s="11" t="s">
        <v>21</v>
      </c>
      <c r="D169">
        <f t="shared" si="8"/>
        <v>1</v>
      </c>
      <c r="E169">
        <f t="shared" si="3"/>
        <v>1.6363636363636362</v>
      </c>
      <c r="F169">
        <f t="shared" si="4"/>
        <v>1.6818181818181817</v>
      </c>
      <c r="G169">
        <f t="shared" si="5"/>
        <v>1.7954545454545454</v>
      </c>
      <c r="H169">
        <f t="shared" si="6"/>
        <v>2.2852272727272727</v>
      </c>
    </row>
    <row r="170" spans="2:11" x14ac:dyDescent="0.3">
      <c r="B170" s="11">
        <v>75</v>
      </c>
      <c r="C170" s="11" t="s">
        <v>21</v>
      </c>
      <c r="D170">
        <f t="shared" si="8"/>
        <v>1</v>
      </c>
      <c r="E170">
        <f t="shared" si="3"/>
        <v>1.6219512195121955</v>
      </c>
      <c r="F170">
        <f t="shared" si="4"/>
        <v>1.7317073170731707</v>
      </c>
      <c r="G170">
        <f t="shared" si="5"/>
        <v>1.878048780487805</v>
      </c>
      <c r="H170">
        <f t="shared" si="6"/>
        <v>2.2317073170731709</v>
      </c>
    </row>
    <row r="171" spans="2:11" x14ac:dyDescent="0.3">
      <c r="B171" s="11">
        <v>76</v>
      </c>
      <c r="C171" s="11" t="s">
        <v>22</v>
      </c>
      <c r="D171">
        <f t="shared" si="8"/>
        <v>1</v>
      </c>
      <c r="E171">
        <f t="shared" si="3"/>
        <v>1.23125</v>
      </c>
      <c r="F171">
        <f t="shared" si="4"/>
        <v>1.2749999999999999</v>
      </c>
      <c r="G171">
        <f t="shared" si="5"/>
        <v>1.3062499999999999</v>
      </c>
      <c r="H171">
        <f t="shared" si="6"/>
        <v>1.34375</v>
      </c>
      <c r="I171">
        <f>I78/D78</f>
        <v>1.35625</v>
      </c>
      <c r="J171">
        <f>J78/D78</f>
        <v>1.375</v>
      </c>
      <c r="K171">
        <f>K78/D78</f>
        <v>1.534375</v>
      </c>
    </row>
    <row r="172" spans="2:11" x14ac:dyDescent="0.3">
      <c r="B172" s="11">
        <v>77</v>
      </c>
      <c r="C172" s="11" t="s">
        <v>22</v>
      </c>
      <c r="D172">
        <f t="shared" si="8"/>
        <v>1</v>
      </c>
      <c r="E172">
        <f t="shared" si="3"/>
        <v>1.3071428571428572</v>
      </c>
      <c r="F172">
        <f t="shared" si="4"/>
        <v>1.4285714285714286</v>
      </c>
      <c r="G172">
        <f t="shared" si="5"/>
        <v>1.5142857142857142</v>
      </c>
      <c r="H172">
        <f t="shared" si="6"/>
        <v>1.7071428571428571</v>
      </c>
      <c r="I172">
        <f t="shared" ref="I172:I184" si="9">I79/D79</f>
        <v>1.7857142857142858</v>
      </c>
      <c r="J172">
        <f t="shared" ref="J172:J185" si="10">J79/D79</f>
        <v>1.7857142857142858</v>
      </c>
      <c r="K172">
        <f t="shared" ref="K172:K185" si="11">K79/D79</f>
        <v>1.8978571428571429</v>
      </c>
    </row>
    <row r="173" spans="2:11" x14ac:dyDescent="0.3">
      <c r="B173" s="11">
        <v>78</v>
      </c>
      <c r="C173" s="11" t="s">
        <v>22</v>
      </c>
      <c r="D173">
        <f t="shared" si="8"/>
        <v>1</v>
      </c>
      <c r="E173">
        <f t="shared" si="3"/>
        <v>1.2792792792792793</v>
      </c>
      <c r="F173">
        <f t="shared" si="4"/>
        <v>1.3783783783783785</v>
      </c>
      <c r="G173">
        <f t="shared" si="5"/>
        <v>1.4774774774774775</v>
      </c>
      <c r="H173">
        <f t="shared" si="6"/>
        <v>1.6576576576576576</v>
      </c>
      <c r="I173">
        <f t="shared" si="9"/>
        <v>1.8378378378378377</v>
      </c>
      <c r="J173">
        <f t="shared" si="10"/>
        <v>1.7117117117117118</v>
      </c>
      <c r="K173">
        <f t="shared" si="11"/>
        <v>2.0819819819819818</v>
      </c>
    </row>
    <row r="174" spans="2:11" x14ac:dyDescent="0.3">
      <c r="B174" s="11">
        <v>79</v>
      </c>
      <c r="C174" s="11" t="s">
        <v>22</v>
      </c>
      <c r="D174">
        <f t="shared" si="8"/>
        <v>1</v>
      </c>
      <c r="E174">
        <f t="shared" si="3"/>
        <v>1.243243243243243</v>
      </c>
      <c r="F174">
        <f t="shared" si="4"/>
        <v>1.3243243243243243</v>
      </c>
      <c r="G174">
        <f t="shared" si="5"/>
        <v>1.3918918918918919</v>
      </c>
      <c r="H174">
        <f t="shared" si="6"/>
        <v>1.5067567567567568</v>
      </c>
      <c r="I174">
        <f t="shared" si="9"/>
        <v>1.5540540540540539</v>
      </c>
      <c r="J174">
        <f t="shared" si="10"/>
        <v>1.6216216216216215</v>
      </c>
      <c r="K174">
        <f t="shared" si="11"/>
        <v>1.7520270270270268</v>
      </c>
    </row>
    <row r="175" spans="2:11" x14ac:dyDescent="0.3">
      <c r="B175" s="11">
        <v>80</v>
      </c>
      <c r="C175" s="11" t="s">
        <v>22</v>
      </c>
      <c r="D175">
        <f t="shared" si="8"/>
        <v>1</v>
      </c>
      <c r="E175">
        <f t="shared" si="3"/>
        <v>1.2758620689655173</v>
      </c>
      <c r="F175">
        <f t="shared" si="4"/>
        <v>1.3793103448275863</v>
      </c>
      <c r="G175">
        <f t="shared" si="5"/>
        <v>1.420689655172414</v>
      </c>
      <c r="H175">
        <f t="shared" si="6"/>
        <v>1.4000000000000001</v>
      </c>
      <c r="I175">
        <f t="shared" si="9"/>
        <v>1.4896551724137932</v>
      </c>
      <c r="J175" t="s">
        <v>28</v>
      </c>
    </row>
    <row r="176" spans="2:11" x14ac:dyDescent="0.3">
      <c r="B176" s="11">
        <v>81</v>
      </c>
      <c r="C176" s="11" t="s">
        <v>22</v>
      </c>
      <c r="D176">
        <f t="shared" si="8"/>
        <v>1</v>
      </c>
      <c r="E176">
        <f t="shared" ref="E176:E185" si="12">E83/D83</f>
        <v>1.3034482758620689</v>
      </c>
      <c r="F176">
        <f t="shared" si="4"/>
        <v>1.3862068965517242</v>
      </c>
      <c r="G176">
        <f t="shared" si="5"/>
        <v>1.5241379310344829</v>
      </c>
      <c r="H176">
        <f t="shared" si="6"/>
        <v>1.6896551724137931</v>
      </c>
      <c r="I176">
        <f t="shared" si="9"/>
        <v>1.6965517241379311</v>
      </c>
      <c r="J176">
        <f t="shared" si="10"/>
        <v>1.7241379310344827</v>
      </c>
      <c r="K176">
        <f t="shared" si="11"/>
        <v>1.9179310344827585</v>
      </c>
    </row>
    <row r="177" spans="1:11" x14ac:dyDescent="0.3">
      <c r="B177" s="11">
        <v>82</v>
      </c>
      <c r="C177" s="11" t="s">
        <v>22</v>
      </c>
      <c r="D177">
        <f t="shared" si="8"/>
        <v>1</v>
      </c>
      <c r="E177">
        <f t="shared" si="12"/>
        <v>1.253968253968254</v>
      </c>
      <c r="F177">
        <f t="shared" si="4"/>
        <v>1.3492063492063493</v>
      </c>
      <c r="G177">
        <f t="shared" si="5"/>
        <v>1.4603174603174602</v>
      </c>
      <c r="H177">
        <f t="shared" si="6"/>
        <v>1.3253968253968254</v>
      </c>
      <c r="I177">
        <f t="shared" si="9"/>
        <v>1.6349206349206351</v>
      </c>
      <c r="J177">
        <f t="shared" si="10"/>
        <v>1.8253968253968254</v>
      </c>
      <c r="K177">
        <f t="shared" si="11"/>
        <v>1.746031746031746</v>
      </c>
    </row>
    <row r="178" spans="1:11" x14ac:dyDescent="0.3">
      <c r="B178" s="11">
        <v>83</v>
      </c>
      <c r="C178" s="11" t="s">
        <v>22</v>
      </c>
      <c r="D178">
        <f>D85/D85</f>
        <v>1</v>
      </c>
      <c r="E178">
        <f t="shared" si="12"/>
        <v>1.2857142857142858</v>
      </c>
      <c r="F178">
        <f t="shared" si="4"/>
        <v>1.342857142857143</v>
      </c>
      <c r="G178">
        <f t="shared" si="5"/>
        <v>1.3857142857142857</v>
      </c>
      <c r="H178">
        <f t="shared" si="6"/>
        <v>1.5071428571428573</v>
      </c>
      <c r="I178">
        <f t="shared" si="9"/>
        <v>1.5</v>
      </c>
      <c r="J178" t="s">
        <v>28</v>
      </c>
    </row>
    <row r="179" spans="1:11" x14ac:dyDescent="0.3">
      <c r="B179" s="11">
        <v>84</v>
      </c>
      <c r="C179" s="11" t="s">
        <v>22</v>
      </c>
      <c r="D179">
        <f t="shared" si="8"/>
        <v>1</v>
      </c>
      <c r="E179">
        <f t="shared" si="12"/>
        <v>1.1851851851851851</v>
      </c>
      <c r="F179">
        <f t="shared" si="4"/>
        <v>1.2148148148148148</v>
      </c>
      <c r="G179">
        <f t="shared" si="5"/>
        <v>1.3333333333333333</v>
      </c>
      <c r="H179">
        <f t="shared" si="6"/>
        <v>1.4444444444444444</v>
      </c>
      <c r="I179">
        <f t="shared" si="9"/>
        <v>1.5111111111111111</v>
      </c>
      <c r="J179">
        <f t="shared" si="10"/>
        <v>1.6296296296296295</v>
      </c>
      <c r="K179">
        <f t="shared" si="11"/>
        <v>1.7970370370370372</v>
      </c>
    </row>
    <row r="180" spans="1:11" x14ac:dyDescent="0.3">
      <c r="B180" s="11">
        <v>85</v>
      </c>
      <c r="C180" s="11" t="s">
        <v>22</v>
      </c>
      <c r="D180">
        <f t="shared" si="8"/>
        <v>1</v>
      </c>
      <c r="E180">
        <f t="shared" si="12"/>
        <v>1.188976377952756</v>
      </c>
      <c r="F180">
        <f t="shared" si="4"/>
        <v>1.2598425196850394</v>
      </c>
      <c r="G180">
        <f t="shared" si="5"/>
        <v>1.3543307086614174</v>
      </c>
      <c r="H180">
        <f t="shared" si="6"/>
        <v>1.4960629921259843</v>
      </c>
      <c r="I180">
        <f t="shared" si="9"/>
        <v>1.5748031496062993</v>
      </c>
      <c r="J180">
        <f t="shared" si="10"/>
        <v>1.5748031496062993</v>
      </c>
      <c r="K180">
        <f t="shared" si="11"/>
        <v>1.9181102362204725</v>
      </c>
    </row>
    <row r="181" spans="1:11" x14ac:dyDescent="0.3">
      <c r="B181" s="11">
        <v>86</v>
      </c>
      <c r="C181" s="11" t="s">
        <v>22</v>
      </c>
      <c r="D181">
        <f t="shared" si="8"/>
        <v>1</v>
      </c>
      <c r="E181">
        <f t="shared" si="12"/>
        <v>1.3286713286713285</v>
      </c>
      <c r="F181">
        <f t="shared" si="4"/>
        <v>1.4335664335664335</v>
      </c>
      <c r="G181">
        <f t="shared" si="5"/>
        <v>1.5384615384615383</v>
      </c>
      <c r="H181">
        <f t="shared" si="6"/>
        <v>1.8041958041958042</v>
      </c>
      <c r="I181">
        <f t="shared" si="9"/>
        <v>1.9160839160839158</v>
      </c>
      <c r="J181">
        <f t="shared" si="10"/>
        <v>2.0279720279720279</v>
      </c>
      <c r="K181">
        <f t="shared" si="11"/>
        <v>2.2999999999999998</v>
      </c>
    </row>
    <row r="182" spans="1:11" x14ac:dyDescent="0.3">
      <c r="B182" s="11">
        <v>87</v>
      </c>
      <c r="C182" s="11" t="s">
        <v>22</v>
      </c>
      <c r="D182">
        <f t="shared" si="8"/>
        <v>1</v>
      </c>
      <c r="E182">
        <f t="shared" si="12"/>
        <v>1.1834319526627219</v>
      </c>
      <c r="F182">
        <f t="shared" si="4"/>
        <v>1.1834319526627219</v>
      </c>
      <c r="G182">
        <f t="shared" si="5"/>
        <v>1.2544378698224852</v>
      </c>
      <c r="H182">
        <f t="shared" si="6"/>
        <v>1.2721893491124261</v>
      </c>
      <c r="I182">
        <f t="shared" si="9"/>
        <v>1.3136094674556213</v>
      </c>
      <c r="J182">
        <f t="shared" si="10"/>
        <v>1.3609467455621302</v>
      </c>
      <c r="K182">
        <f t="shared" si="11"/>
        <v>1.6041420118343197</v>
      </c>
    </row>
    <row r="183" spans="1:11" x14ac:dyDescent="0.3">
      <c r="B183" s="11">
        <v>88</v>
      </c>
      <c r="C183" s="11" t="s">
        <v>22</v>
      </c>
      <c r="D183">
        <f t="shared" si="8"/>
        <v>1</v>
      </c>
      <c r="E183">
        <f t="shared" si="12"/>
        <v>1.2857142857142858</v>
      </c>
      <c r="F183">
        <f t="shared" si="4"/>
        <v>1.3904761904761904</v>
      </c>
      <c r="G183">
        <f t="shared" si="5"/>
        <v>1.5333333333333334</v>
      </c>
      <c r="H183">
        <f t="shared" si="6"/>
        <v>1.7523809523809522</v>
      </c>
      <c r="I183">
        <f t="shared" si="9"/>
        <v>1.8095238095238095</v>
      </c>
      <c r="J183">
        <f t="shared" si="10"/>
        <v>1.9047619047619047</v>
      </c>
      <c r="K183">
        <f t="shared" si="11"/>
        <v>2.0704761904761901</v>
      </c>
    </row>
    <row r="184" spans="1:11" x14ac:dyDescent="0.3">
      <c r="B184" s="11">
        <v>89</v>
      </c>
      <c r="C184" s="11" t="s">
        <v>22</v>
      </c>
      <c r="D184">
        <f t="shared" si="8"/>
        <v>1</v>
      </c>
      <c r="E184">
        <f t="shared" si="12"/>
        <v>1.2173913043478262</v>
      </c>
      <c r="F184">
        <f t="shared" si="4"/>
        <v>1.3478260869565217</v>
      </c>
      <c r="G184">
        <f t="shared" si="5"/>
        <v>1.4521739130434781</v>
      </c>
      <c r="H184">
        <f t="shared" si="6"/>
        <v>1.7391304347826086</v>
      </c>
      <c r="I184">
        <f t="shared" si="9"/>
        <v>1.7826086956521738</v>
      </c>
      <c r="J184">
        <f t="shared" si="10"/>
        <v>1.9130434782608696</v>
      </c>
      <c r="K184">
        <f t="shared" si="11"/>
        <v>2.1556521739130434</v>
      </c>
    </row>
    <row r="185" spans="1:11" x14ac:dyDescent="0.3">
      <c r="B185" s="11">
        <v>90</v>
      </c>
      <c r="C185" s="11" t="s">
        <v>22</v>
      </c>
      <c r="D185">
        <f t="shared" si="8"/>
        <v>1</v>
      </c>
      <c r="E185">
        <f t="shared" si="12"/>
        <v>1.2340425531914894</v>
      </c>
      <c r="F185">
        <f t="shared" si="4"/>
        <v>1.3120567375886525</v>
      </c>
      <c r="G185">
        <f t="shared" si="5"/>
        <v>1.4326241134751774</v>
      </c>
      <c r="H185">
        <f t="shared" si="6"/>
        <v>1.5957446808510638</v>
      </c>
      <c r="I185">
        <f>I92/D92</f>
        <v>1.6453900709219857</v>
      </c>
      <c r="J185">
        <f t="shared" si="10"/>
        <v>1.773049645390071</v>
      </c>
      <c r="K185">
        <f t="shared" si="11"/>
        <v>2.0319148936170213</v>
      </c>
    </row>
    <row r="189" spans="1:11" x14ac:dyDescent="0.3">
      <c r="B189" t="s">
        <v>30</v>
      </c>
    </row>
    <row r="190" spans="1:11" x14ac:dyDescent="0.3">
      <c r="B190" t="s">
        <v>13</v>
      </c>
      <c r="C190" t="s">
        <v>21</v>
      </c>
    </row>
    <row r="191" spans="1:11" x14ac:dyDescent="0.3">
      <c r="A191" s="11">
        <v>61</v>
      </c>
      <c r="B191">
        <v>1.2925170068027212</v>
      </c>
      <c r="C191">
        <v>1.6190476190476191</v>
      </c>
    </row>
    <row r="192" spans="1:11" x14ac:dyDescent="0.3">
      <c r="A192" s="11">
        <v>62</v>
      </c>
      <c r="B192">
        <v>1.1388888888888888</v>
      </c>
      <c r="C192">
        <v>0.93555555555555558</v>
      </c>
    </row>
    <row r="193" spans="1:3" x14ac:dyDescent="0.3">
      <c r="A193" s="11">
        <v>63</v>
      </c>
      <c r="B193">
        <v>1.186813186813187</v>
      </c>
      <c r="C193">
        <v>1.365934065934066</v>
      </c>
    </row>
    <row r="194" spans="1:3" x14ac:dyDescent="0.3">
      <c r="A194" s="11">
        <v>64</v>
      </c>
      <c r="B194">
        <v>1.248</v>
      </c>
      <c r="C194">
        <v>1.6272</v>
      </c>
    </row>
    <row r="195" spans="1:3" x14ac:dyDescent="0.3">
      <c r="A195" s="11">
        <v>65</v>
      </c>
      <c r="B195">
        <v>1.2518518518518518</v>
      </c>
      <c r="C195">
        <v>1.585925925925926</v>
      </c>
    </row>
    <row r="196" spans="1:3" x14ac:dyDescent="0.3">
      <c r="A196" s="11">
        <v>66</v>
      </c>
      <c r="B196">
        <v>1.2773109243697478</v>
      </c>
      <c r="C196">
        <v>1.5949579831932772</v>
      </c>
    </row>
    <row r="197" spans="1:3" x14ac:dyDescent="0.3">
      <c r="A197" s="11">
        <v>67</v>
      </c>
      <c r="B197">
        <v>1.2160493827160495</v>
      </c>
      <c r="C197">
        <v>1.338888888888889</v>
      </c>
    </row>
    <row r="198" spans="1:3" x14ac:dyDescent="0.3">
      <c r="A198" s="11">
        <v>68</v>
      </c>
      <c r="B198">
        <v>1.2349397590361444</v>
      </c>
      <c r="C198">
        <v>1.4186746987951806</v>
      </c>
    </row>
    <row r="199" spans="1:3" x14ac:dyDescent="0.3">
      <c r="A199" s="11">
        <v>69</v>
      </c>
      <c r="B199">
        <v>1.201834862385321</v>
      </c>
      <c r="C199">
        <v>1.6137614678899082</v>
      </c>
    </row>
    <row r="200" spans="1:3" x14ac:dyDescent="0.3">
      <c r="A200" s="11">
        <v>70</v>
      </c>
      <c r="B200">
        <v>1.1409395973154361</v>
      </c>
      <c r="C200">
        <v>1.2919463087248322</v>
      </c>
    </row>
    <row r="201" spans="1:3" x14ac:dyDescent="0.3">
      <c r="A201" s="11">
        <v>71</v>
      </c>
      <c r="B201">
        <v>1.2999999999999998</v>
      </c>
      <c r="C201">
        <v>1.426923076923077</v>
      </c>
    </row>
    <row r="202" spans="1:3" x14ac:dyDescent="0.3">
      <c r="A202" s="11">
        <v>72</v>
      </c>
      <c r="B202">
        <v>1.2578616352201257</v>
      </c>
      <c r="C202">
        <v>1.5949685534591194</v>
      </c>
    </row>
    <row r="203" spans="1:3" x14ac:dyDescent="0.3">
      <c r="A203" s="11">
        <v>73</v>
      </c>
      <c r="B203">
        <v>1.6276595744680851</v>
      </c>
      <c r="C203">
        <v>2.0797872340425534</v>
      </c>
    </row>
    <row r="204" spans="1:3" x14ac:dyDescent="0.3">
      <c r="A204" s="11">
        <v>74</v>
      </c>
      <c r="B204">
        <v>1.6363636363636362</v>
      </c>
      <c r="C204">
        <v>2.2852272727272727</v>
      </c>
    </row>
    <row r="205" spans="1:3" x14ac:dyDescent="0.3">
      <c r="A205" s="11">
        <v>75</v>
      </c>
      <c r="B205">
        <v>1.6219512195121955</v>
      </c>
      <c r="C205">
        <v>2.2317073170731709</v>
      </c>
    </row>
    <row r="207" spans="1:3" x14ac:dyDescent="0.3">
      <c r="A207" t="s">
        <v>31</v>
      </c>
      <c r="B207">
        <f>PEARSON(B191:B205,C191:C205)</f>
        <v>0.9256474606708569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81A8-44AD-EB47-9B2E-456E9005F904}">
  <dimension ref="A1:E91"/>
  <sheetViews>
    <sheetView workbookViewId="0">
      <selection activeCell="A76" sqref="A1:E76"/>
    </sheetView>
  </sheetViews>
  <sheetFormatPr defaultColWidth="11" defaultRowHeight="15.6" x14ac:dyDescent="0.3"/>
  <cols>
    <col min="3" max="3" width="20.3984375" bestFit="1" customWidth="1"/>
    <col min="4" max="4" width="21.69921875" bestFit="1" customWidth="1"/>
    <col min="5" max="5" width="19.69921875" bestFit="1" customWidth="1"/>
  </cols>
  <sheetData>
    <row r="1" spans="1:5" x14ac:dyDescent="0.3">
      <c r="A1" s="11" t="s">
        <v>3</v>
      </c>
      <c r="B1" s="11" t="s">
        <v>4</v>
      </c>
      <c r="C1" t="s">
        <v>32</v>
      </c>
      <c r="D1" t="s">
        <v>33</v>
      </c>
      <c r="E1" t="s">
        <v>34</v>
      </c>
    </row>
    <row r="2" spans="1:5" x14ac:dyDescent="0.3">
      <c r="A2" s="11">
        <v>1</v>
      </c>
      <c r="B2" s="11" t="s">
        <v>11</v>
      </c>
      <c r="C2">
        <v>1</v>
      </c>
      <c r="D2">
        <v>250</v>
      </c>
      <c r="E2">
        <f>(C2*10^4)/2</f>
        <v>5000</v>
      </c>
    </row>
    <row r="3" spans="1:5" x14ac:dyDescent="0.3">
      <c r="A3" s="11">
        <v>2</v>
      </c>
      <c r="B3" s="11" t="s">
        <v>11</v>
      </c>
      <c r="C3">
        <v>4</v>
      </c>
      <c r="D3">
        <v>250</v>
      </c>
      <c r="E3">
        <f t="shared" ref="E3:E16" si="0">(C3*10^4)/2</f>
        <v>20000</v>
      </c>
    </row>
    <row r="4" spans="1:5" x14ac:dyDescent="0.3">
      <c r="A4" s="11">
        <v>3</v>
      </c>
      <c r="B4" s="11" t="s">
        <v>11</v>
      </c>
      <c r="C4">
        <v>2</v>
      </c>
      <c r="D4">
        <v>250</v>
      </c>
      <c r="E4">
        <f t="shared" si="0"/>
        <v>10000</v>
      </c>
    </row>
    <row r="5" spans="1:5" x14ac:dyDescent="0.3">
      <c r="A5" s="11">
        <v>4</v>
      </c>
      <c r="B5" s="11" t="s">
        <v>11</v>
      </c>
      <c r="C5">
        <v>6</v>
      </c>
      <c r="D5">
        <v>250</v>
      </c>
      <c r="E5">
        <f t="shared" si="0"/>
        <v>30000</v>
      </c>
    </row>
    <row r="6" spans="1:5" x14ac:dyDescent="0.3">
      <c r="A6" s="11">
        <v>5</v>
      </c>
      <c r="B6" s="11" t="s">
        <v>11</v>
      </c>
      <c r="C6">
        <v>4</v>
      </c>
      <c r="D6">
        <v>250</v>
      </c>
      <c r="E6">
        <f t="shared" si="0"/>
        <v>20000</v>
      </c>
    </row>
    <row r="7" spans="1:5" x14ac:dyDescent="0.3">
      <c r="A7" s="11">
        <v>6</v>
      </c>
      <c r="B7" s="11" t="s">
        <v>11</v>
      </c>
      <c r="C7">
        <v>8</v>
      </c>
      <c r="D7">
        <v>250</v>
      </c>
      <c r="E7">
        <f t="shared" si="0"/>
        <v>40000</v>
      </c>
    </row>
    <row r="8" spans="1:5" x14ac:dyDescent="0.3">
      <c r="A8" s="11">
        <v>7</v>
      </c>
      <c r="B8" s="11" t="s">
        <v>11</v>
      </c>
      <c r="C8">
        <v>7</v>
      </c>
      <c r="D8">
        <v>250</v>
      </c>
      <c r="E8">
        <f t="shared" si="0"/>
        <v>35000</v>
      </c>
    </row>
    <row r="9" spans="1:5" x14ac:dyDescent="0.3">
      <c r="A9" s="11">
        <v>8</v>
      </c>
      <c r="B9" s="11" t="s">
        <v>11</v>
      </c>
      <c r="C9">
        <v>2</v>
      </c>
      <c r="D9">
        <v>250</v>
      </c>
      <c r="E9">
        <f t="shared" si="0"/>
        <v>10000</v>
      </c>
    </row>
    <row r="10" spans="1:5" x14ac:dyDescent="0.3">
      <c r="A10" s="11">
        <v>9</v>
      </c>
      <c r="B10" s="11" t="s">
        <v>11</v>
      </c>
      <c r="C10">
        <v>6</v>
      </c>
      <c r="D10">
        <v>250</v>
      </c>
      <c r="E10">
        <f>(C10*10^4)/2</f>
        <v>30000</v>
      </c>
    </row>
    <row r="11" spans="1:5" x14ac:dyDescent="0.3">
      <c r="A11" s="11">
        <v>10</v>
      </c>
      <c r="B11" s="11" t="s">
        <v>11</v>
      </c>
      <c r="C11">
        <v>3</v>
      </c>
      <c r="D11">
        <v>250</v>
      </c>
      <c r="E11">
        <f t="shared" si="0"/>
        <v>15000</v>
      </c>
    </row>
    <row r="12" spans="1:5" x14ac:dyDescent="0.3">
      <c r="A12" s="11">
        <v>11</v>
      </c>
      <c r="B12" s="11" t="s">
        <v>11</v>
      </c>
      <c r="C12">
        <v>5</v>
      </c>
      <c r="D12">
        <v>250</v>
      </c>
      <c r="E12">
        <f t="shared" si="0"/>
        <v>25000</v>
      </c>
    </row>
    <row r="13" spans="1:5" x14ac:dyDescent="0.3">
      <c r="A13" s="11">
        <v>12</v>
      </c>
      <c r="B13" s="11" t="s">
        <v>11</v>
      </c>
      <c r="C13">
        <v>3</v>
      </c>
      <c r="D13">
        <v>250</v>
      </c>
      <c r="E13">
        <f t="shared" si="0"/>
        <v>15000</v>
      </c>
    </row>
    <row r="14" spans="1:5" x14ac:dyDescent="0.3">
      <c r="A14" s="11">
        <v>13</v>
      </c>
      <c r="B14" s="11" t="s">
        <v>11</v>
      </c>
      <c r="C14">
        <v>1</v>
      </c>
      <c r="D14">
        <v>250</v>
      </c>
      <c r="E14">
        <f t="shared" si="0"/>
        <v>5000</v>
      </c>
    </row>
    <row r="15" spans="1:5" x14ac:dyDescent="0.3">
      <c r="A15" s="11">
        <v>14</v>
      </c>
      <c r="B15" s="11" t="s">
        <v>11</v>
      </c>
      <c r="C15">
        <v>2</v>
      </c>
      <c r="D15">
        <v>250</v>
      </c>
      <c r="E15">
        <f t="shared" si="0"/>
        <v>10000</v>
      </c>
    </row>
    <row r="16" spans="1:5" x14ac:dyDescent="0.3">
      <c r="A16" s="11">
        <v>15</v>
      </c>
      <c r="B16" s="11" t="s">
        <v>11</v>
      </c>
      <c r="C16">
        <v>6</v>
      </c>
      <c r="D16">
        <v>250</v>
      </c>
      <c r="E16">
        <f t="shared" si="0"/>
        <v>30000</v>
      </c>
    </row>
    <row r="17" spans="1:5" x14ac:dyDescent="0.3">
      <c r="A17" s="11">
        <v>16</v>
      </c>
      <c r="B17" s="11" t="s">
        <v>13</v>
      </c>
      <c r="C17">
        <v>120</v>
      </c>
      <c r="D17">
        <v>500</v>
      </c>
      <c r="E17">
        <f>(C17*10^4)</f>
        <v>1200000</v>
      </c>
    </row>
    <row r="18" spans="1:5" x14ac:dyDescent="0.3">
      <c r="A18" s="11">
        <v>17</v>
      </c>
      <c r="B18" s="11" t="s">
        <v>13</v>
      </c>
      <c r="C18">
        <v>0</v>
      </c>
      <c r="D18">
        <v>0</v>
      </c>
      <c r="E18">
        <f>(C18*10^4)</f>
        <v>0</v>
      </c>
    </row>
    <row r="19" spans="1:5" x14ac:dyDescent="0.3">
      <c r="A19" s="11">
        <v>18</v>
      </c>
      <c r="B19" s="11" t="s">
        <v>13</v>
      </c>
      <c r="C19">
        <v>60</v>
      </c>
      <c r="D19">
        <v>500</v>
      </c>
      <c r="E19">
        <f t="shared" ref="E19:E31" si="1">(C19*10^4)</f>
        <v>600000</v>
      </c>
    </row>
    <row r="20" spans="1:5" x14ac:dyDescent="0.3">
      <c r="A20" s="11">
        <v>19</v>
      </c>
      <c r="B20" s="11" t="s">
        <v>13</v>
      </c>
      <c r="C20">
        <v>24</v>
      </c>
      <c r="D20">
        <v>500</v>
      </c>
      <c r="E20">
        <f t="shared" si="1"/>
        <v>240000</v>
      </c>
    </row>
    <row r="21" spans="1:5" x14ac:dyDescent="0.3">
      <c r="A21" s="11">
        <v>20</v>
      </c>
      <c r="B21" s="11" t="s">
        <v>13</v>
      </c>
      <c r="C21">
        <v>13</v>
      </c>
      <c r="D21">
        <v>500</v>
      </c>
      <c r="E21">
        <f>(C21*10^4)</f>
        <v>130000</v>
      </c>
    </row>
    <row r="22" spans="1:5" x14ac:dyDescent="0.3">
      <c r="A22" s="11">
        <v>21</v>
      </c>
      <c r="B22" s="11" t="s">
        <v>13</v>
      </c>
      <c r="C22">
        <v>12</v>
      </c>
      <c r="D22">
        <v>500</v>
      </c>
      <c r="E22">
        <f t="shared" si="1"/>
        <v>120000</v>
      </c>
    </row>
    <row r="23" spans="1:5" x14ac:dyDescent="0.3">
      <c r="A23" s="11">
        <v>22</v>
      </c>
      <c r="B23" s="11" t="s">
        <v>13</v>
      </c>
      <c r="C23">
        <v>20</v>
      </c>
      <c r="D23">
        <v>500</v>
      </c>
      <c r="E23">
        <f>(C23*10^4)</f>
        <v>200000</v>
      </c>
    </row>
    <row r="24" spans="1:5" x14ac:dyDescent="0.3">
      <c r="A24" s="11">
        <v>23</v>
      </c>
      <c r="B24" s="11" t="s">
        <v>13</v>
      </c>
      <c r="C24">
        <v>71</v>
      </c>
      <c r="D24">
        <v>500</v>
      </c>
      <c r="E24">
        <f t="shared" si="1"/>
        <v>710000</v>
      </c>
    </row>
    <row r="25" spans="1:5" x14ac:dyDescent="0.3">
      <c r="A25" s="11">
        <v>24</v>
      </c>
      <c r="B25" s="11" t="s">
        <v>13</v>
      </c>
      <c r="C25">
        <v>51</v>
      </c>
      <c r="D25">
        <v>500</v>
      </c>
      <c r="E25">
        <f t="shared" si="1"/>
        <v>510000</v>
      </c>
    </row>
    <row r="26" spans="1:5" x14ac:dyDescent="0.3">
      <c r="A26" s="11">
        <v>25</v>
      </c>
      <c r="B26" s="11" t="s">
        <v>13</v>
      </c>
      <c r="C26">
        <v>15</v>
      </c>
      <c r="D26">
        <v>500</v>
      </c>
      <c r="E26">
        <f t="shared" si="1"/>
        <v>150000</v>
      </c>
    </row>
    <row r="27" spans="1:5" x14ac:dyDescent="0.3">
      <c r="A27" s="11">
        <v>26</v>
      </c>
      <c r="B27" s="11" t="s">
        <v>13</v>
      </c>
      <c r="C27">
        <v>88</v>
      </c>
      <c r="D27">
        <v>500</v>
      </c>
      <c r="E27">
        <f t="shared" si="1"/>
        <v>880000</v>
      </c>
    </row>
    <row r="28" spans="1:5" x14ac:dyDescent="0.3">
      <c r="A28" s="11">
        <v>27</v>
      </c>
      <c r="B28" s="11" t="s">
        <v>13</v>
      </c>
      <c r="C28">
        <v>6</v>
      </c>
      <c r="D28">
        <v>500</v>
      </c>
      <c r="E28">
        <f t="shared" si="1"/>
        <v>60000</v>
      </c>
    </row>
    <row r="29" spans="1:5" x14ac:dyDescent="0.3">
      <c r="A29" s="11">
        <v>28</v>
      </c>
      <c r="B29" s="11" t="s">
        <v>13</v>
      </c>
      <c r="C29">
        <v>45</v>
      </c>
      <c r="D29">
        <v>500</v>
      </c>
      <c r="E29">
        <f t="shared" si="1"/>
        <v>450000</v>
      </c>
    </row>
    <row r="30" spans="1:5" x14ac:dyDescent="0.3">
      <c r="A30" s="11">
        <v>29</v>
      </c>
      <c r="B30" s="11" t="s">
        <v>13</v>
      </c>
      <c r="C30">
        <v>57</v>
      </c>
      <c r="D30">
        <v>500</v>
      </c>
      <c r="E30">
        <f t="shared" si="1"/>
        <v>570000</v>
      </c>
    </row>
    <row r="31" spans="1:5" x14ac:dyDescent="0.3">
      <c r="A31" s="11">
        <v>30</v>
      </c>
      <c r="B31" s="11" t="s">
        <v>13</v>
      </c>
      <c r="C31">
        <v>0</v>
      </c>
      <c r="D31">
        <v>0</v>
      </c>
      <c r="E31">
        <f t="shared" si="1"/>
        <v>0</v>
      </c>
    </row>
    <row r="32" spans="1:5" x14ac:dyDescent="0.3">
      <c r="A32" s="11">
        <v>31</v>
      </c>
      <c r="B32" s="11" t="s">
        <v>17</v>
      </c>
      <c r="C32">
        <v>26</v>
      </c>
      <c r="D32">
        <v>500</v>
      </c>
      <c r="E32">
        <f t="shared" ref="E32:E44" si="2">(C32*10^4)</f>
        <v>260000</v>
      </c>
    </row>
    <row r="33" spans="1:5" x14ac:dyDescent="0.3">
      <c r="A33" s="11">
        <v>32</v>
      </c>
      <c r="B33" s="11" t="s">
        <v>17</v>
      </c>
      <c r="C33">
        <v>247</v>
      </c>
      <c r="D33">
        <v>500</v>
      </c>
      <c r="E33">
        <f t="shared" si="2"/>
        <v>2470000</v>
      </c>
    </row>
    <row r="34" spans="1:5" x14ac:dyDescent="0.3">
      <c r="A34" s="11">
        <v>33</v>
      </c>
      <c r="B34" s="11" t="s">
        <v>17</v>
      </c>
      <c r="C34">
        <v>19</v>
      </c>
      <c r="D34">
        <v>500</v>
      </c>
      <c r="E34">
        <f t="shared" si="2"/>
        <v>190000</v>
      </c>
    </row>
    <row r="35" spans="1:5" x14ac:dyDescent="0.3">
      <c r="A35" s="11">
        <v>34</v>
      </c>
      <c r="B35" s="11" t="s">
        <v>17</v>
      </c>
      <c r="C35">
        <v>10</v>
      </c>
      <c r="D35">
        <v>500</v>
      </c>
      <c r="E35">
        <f t="shared" si="2"/>
        <v>100000</v>
      </c>
    </row>
    <row r="36" spans="1:5" x14ac:dyDescent="0.3">
      <c r="A36" s="11">
        <v>35</v>
      </c>
      <c r="B36" s="11" t="s">
        <v>17</v>
      </c>
      <c r="C36">
        <v>168</v>
      </c>
      <c r="D36">
        <v>500</v>
      </c>
      <c r="E36">
        <f t="shared" si="2"/>
        <v>1680000</v>
      </c>
    </row>
    <row r="37" spans="1:5" x14ac:dyDescent="0.3">
      <c r="A37" s="11">
        <v>36</v>
      </c>
      <c r="B37" s="11" t="s">
        <v>17</v>
      </c>
      <c r="C37">
        <v>28</v>
      </c>
      <c r="D37">
        <v>500</v>
      </c>
      <c r="E37">
        <f t="shared" si="2"/>
        <v>280000</v>
      </c>
    </row>
    <row r="38" spans="1:5" x14ac:dyDescent="0.3">
      <c r="A38" s="11">
        <v>37</v>
      </c>
      <c r="B38" s="11" t="s">
        <v>17</v>
      </c>
      <c r="C38">
        <v>42</v>
      </c>
      <c r="D38">
        <v>500</v>
      </c>
      <c r="E38">
        <f t="shared" si="2"/>
        <v>420000</v>
      </c>
    </row>
    <row r="39" spans="1:5" x14ac:dyDescent="0.3">
      <c r="A39" s="11">
        <v>38</v>
      </c>
      <c r="B39" s="11" t="s">
        <v>17</v>
      </c>
      <c r="C39">
        <v>11</v>
      </c>
      <c r="D39">
        <v>500</v>
      </c>
      <c r="E39">
        <f t="shared" si="2"/>
        <v>110000</v>
      </c>
    </row>
    <row r="40" spans="1:5" x14ac:dyDescent="0.3">
      <c r="A40" s="11">
        <v>39</v>
      </c>
      <c r="B40" s="11" t="s">
        <v>17</v>
      </c>
      <c r="C40">
        <v>13</v>
      </c>
      <c r="D40">
        <v>500</v>
      </c>
      <c r="E40">
        <f t="shared" si="2"/>
        <v>130000</v>
      </c>
    </row>
    <row r="41" spans="1:5" x14ac:dyDescent="0.3">
      <c r="A41" s="11">
        <v>40</v>
      </c>
      <c r="B41" s="11" t="s">
        <v>17</v>
      </c>
      <c r="C41">
        <v>34</v>
      </c>
      <c r="D41">
        <v>500</v>
      </c>
      <c r="E41">
        <f>(C41*10^4)</f>
        <v>340000</v>
      </c>
    </row>
    <row r="42" spans="1:5" x14ac:dyDescent="0.3">
      <c r="A42" s="11">
        <v>41</v>
      </c>
      <c r="B42" s="11" t="s">
        <v>17</v>
      </c>
      <c r="C42">
        <v>7</v>
      </c>
      <c r="D42">
        <v>500</v>
      </c>
      <c r="E42">
        <f t="shared" si="2"/>
        <v>70000</v>
      </c>
    </row>
    <row r="43" spans="1:5" x14ac:dyDescent="0.3">
      <c r="A43" s="11">
        <v>42</v>
      </c>
      <c r="B43" s="11" t="s">
        <v>17</v>
      </c>
      <c r="C43">
        <v>11</v>
      </c>
      <c r="D43">
        <v>500</v>
      </c>
      <c r="E43">
        <f t="shared" si="2"/>
        <v>110000</v>
      </c>
    </row>
    <row r="44" spans="1:5" x14ac:dyDescent="0.3">
      <c r="A44" s="11">
        <v>43</v>
      </c>
      <c r="B44" s="11" t="s">
        <v>17</v>
      </c>
      <c r="C44">
        <v>0</v>
      </c>
      <c r="D44">
        <v>0</v>
      </c>
      <c r="E44">
        <f t="shared" si="2"/>
        <v>0</v>
      </c>
    </row>
    <row r="45" spans="1:5" x14ac:dyDescent="0.3">
      <c r="A45" s="11">
        <v>44</v>
      </c>
      <c r="B45" s="11" t="s">
        <v>17</v>
      </c>
      <c r="C45">
        <v>11</v>
      </c>
      <c r="D45">
        <v>500</v>
      </c>
      <c r="E45">
        <f t="shared" ref="E45:E76" si="3">(C45*10^4)</f>
        <v>110000</v>
      </c>
    </row>
    <row r="46" spans="1:5" x14ac:dyDescent="0.3">
      <c r="A46" s="11">
        <v>45</v>
      </c>
      <c r="B46" s="11" t="s">
        <v>17</v>
      </c>
      <c r="C46">
        <v>12</v>
      </c>
      <c r="D46">
        <v>500</v>
      </c>
      <c r="E46">
        <f t="shared" si="3"/>
        <v>120000</v>
      </c>
    </row>
    <row r="47" spans="1:5" x14ac:dyDescent="0.3">
      <c r="A47" s="11">
        <v>46</v>
      </c>
      <c r="B47" s="11" t="s">
        <v>19</v>
      </c>
      <c r="C47">
        <v>41</v>
      </c>
      <c r="D47">
        <v>500</v>
      </c>
      <c r="E47">
        <f t="shared" si="3"/>
        <v>410000</v>
      </c>
    </row>
    <row r="48" spans="1:5" x14ac:dyDescent="0.3">
      <c r="A48" s="11">
        <v>47</v>
      </c>
      <c r="B48" s="11" t="s">
        <v>19</v>
      </c>
      <c r="C48">
        <v>14</v>
      </c>
      <c r="D48">
        <v>500</v>
      </c>
      <c r="E48">
        <f t="shared" si="3"/>
        <v>140000</v>
      </c>
    </row>
    <row r="49" spans="1:5" x14ac:dyDescent="0.3">
      <c r="A49" s="11">
        <v>48</v>
      </c>
      <c r="B49" s="11" t="s">
        <v>19</v>
      </c>
      <c r="C49">
        <v>9</v>
      </c>
      <c r="D49">
        <v>500</v>
      </c>
      <c r="E49">
        <f t="shared" si="3"/>
        <v>90000</v>
      </c>
    </row>
    <row r="50" spans="1:5" x14ac:dyDescent="0.3">
      <c r="A50" s="11">
        <v>49</v>
      </c>
      <c r="B50" s="11" t="s">
        <v>19</v>
      </c>
      <c r="C50">
        <v>49</v>
      </c>
      <c r="D50">
        <v>500</v>
      </c>
      <c r="E50">
        <f t="shared" si="3"/>
        <v>490000</v>
      </c>
    </row>
    <row r="51" spans="1:5" x14ac:dyDescent="0.3">
      <c r="A51" s="11">
        <v>50</v>
      </c>
      <c r="B51" s="11" t="s">
        <v>19</v>
      </c>
      <c r="C51">
        <v>290</v>
      </c>
      <c r="D51">
        <v>500</v>
      </c>
      <c r="E51">
        <f t="shared" si="3"/>
        <v>2900000</v>
      </c>
    </row>
    <row r="52" spans="1:5" x14ac:dyDescent="0.3">
      <c r="A52" s="11">
        <v>51</v>
      </c>
      <c r="B52" s="11" t="s">
        <v>19</v>
      </c>
      <c r="C52">
        <v>59</v>
      </c>
      <c r="D52">
        <v>500</v>
      </c>
      <c r="E52">
        <f t="shared" si="3"/>
        <v>590000</v>
      </c>
    </row>
    <row r="53" spans="1:5" x14ac:dyDescent="0.3">
      <c r="A53" s="11">
        <v>52</v>
      </c>
      <c r="B53" s="11" t="s">
        <v>19</v>
      </c>
      <c r="C53">
        <v>10</v>
      </c>
      <c r="D53">
        <v>500</v>
      </c>
      <c r="E53">
        <f t="shared" si="3"/>
        <v>100000</v>
      </c>
    </row>
    <row r="54" spans="1:5" x14ac:dyDescent="0.3">
      <c r="A54" s="11">
        <v>53</v>
      </c>
      <c r="B54" s="11" t="s">
        <v>19</v>
      </c>
      <c r="C54">
        <v>17</v>
      </c>
      <c r="D54">
        <v>500</v>
      </c>
      <c r="E54">
        <f t="shared" si="3"/>
        <v>170000</v>
      </c>
    </row>
    <row r="55" spans="1:5" x14ac:dyDescent="0.3">
      <c r="A55" s="11">
        <v>54</v>
      </c>
      <c r="B55" s="11" t="s">
        <v>19</v>
      </c>
      <c r="C55">
        <v>9</v>
      </c>
      <c r="D55">
        <v>500</v>
      </c>
      <c r="E55">
        <f t="shared" si="3"/>
        <v>90000</v>
      </c>
    </row>
    <row r="56" spans="1:5" x14ac:dyDescent="0.3">
      <c r="A56" s="11">
        <v>55</v>
      </c>
      <c r="B56" s="11" t="s">
        <v>19</v>
      </c>
      <c r="C56">
        <v>7</v>
      </c>
      <c r="D56">
        <v>500</v>
      </c>
      <c r="E56">
        <f t="shared" si="3"/>
        <v>70000</v>
      </c>
    </row>
    <row r="57" spans="1:5" x14ac:dyDescent="0.3">
      <c r="A57" s="11">
        <v>56</v>
      </c>
      <c r="B57" s="11" t="s">
        <v>19</v>
      </c>
      <c r="C57">
        <v>37</v>
      </c>
      <c r="D57">
        <v>500</v>
      </c>
      <c r="E57">
        <f t="shared" si="3"/>
        <v>370000</v>
      </c>
    </row>
    <row r="58" spans="1:5" x14ac:dyDescent="0.3">
      <c r="A58" s="11">
        <v>57</v>
      </c>
      <c r="B58" s="11" t="s">
        <v>19</v>
      </c>
      <c r="C58">
        <v>58</v>
      </c>
      <c r="D58">
        <v>500</v>
      </c>
      <c r="E58">
        <f t="shared" si="3"/>
        <v>580000</v>
      </c>
    </row>
    <row r="59" spans="1:5" x14ac:dyDescent="0.3">
      <c r="A59" s="11">
        <v>58</v>
      </c>
      <c r="B59" s="11" t="s">
        <v>19</v>
      </c>
      <c r="C59">
        <v>11</v>
      </c>
      <c r="D59">
        <v>500</v>
      </c>
      <c r="E59">
        <f t="shared" si="3"/>
        <v>110000</v>
      </c>
    </row>
    <row r="60" spans="1:5" x14ac:dyDescent="0.3">
      <c r="A60" s="11">
        <v>59</v>
      </c>
      <c r="B60" s="11" t="s">
        <v>19</v>
      </c>
      <c r="C60">
        <v>25</v>
      </c>
      <c r="D60">
        <v>500</v>
      </c>
      <c r="E60">
        <f t="shared" si="3"/>
        <v>250000</v>
      </c>
    </row>
    <row r="61" spans="1:5" x14ac:dyDescent="0.3">
      <c r="A61" s="11">
        <v>60</v>
      </c>
      <c r="B61" s="11" t="s">
        <v>19</v>
      </c>
      <c r="C61">
        <v>205</v>
      </c>
      <c r="D61">
        <v>500</v>
      </c>
      <c r="E61">
        <f t="shared" si="3"/>
        <v>2050000</v>
      </c>
    </row>
    <row r="62" spans="1:5" x14ac:dyDescent="0.3">
      <c r="A62" s="11">
        <v>61</v>
      </c>
      <c r="B62" s="11" t="s">
        <v>21</v>
      </c>
      <c r="C62">
        <v>182</v>
      </c>
      <c r="D62">
        <v>500</v>
      </c>
      <c r="E62">
        <f t="shared" si="3"/>
        <v>1820000</v>
      </c>
    </row>
    <row r="63" spans="1:5" x14ac:dyDescent="0.3">
      <c r="A63" s="11">
        <v>62</v>
      </c>
      <c r="B63" s="11" t="s">
        <v>21</v>
      </c>
      <c r="C63">
        <v>134</v>
      </c>
      <c r="D63">
        <v>500</v>
      </c>
      <c r="E63">
        <f t="shared" si="3"/>
        <v>1340000</v>
      </c>
    </row>
    <row r="64" spans="1:5" x14ac:dyDescent="0.3">
      <c r="A64" s="11">
        <v>63</v>
      </c>
      <c r="B64" s="11" t="s">
        <v>21</v>
      </c>
      <c r="C64">
        <v>27</v>
      </c>
      <c r="D64">
        <v>500</v>
      </c>
      <c r="E64">
        <f t="shared" si="3"/>
        <v>270000</v>
      </c>
    </row>
    <row r="65" spans="1:5" x14ac:dyDescent="0.3">
      <c r="A65" s="11">
        <v>64</v>
      </c>
      <c r="B65" s="11" t="s">
        <v>21</v>
      </c>
      <c r="C65">
        <v>36</v>
      </c>
      <c r="D65">
        <v>500</v>
      </c>
      <c r="E65">
        <f t="shared" si="3"/>
        <v>360000</v>
      </c>
    </row>
    <row r="66" spans="1:5" x14ac:dyDescent="0.3">
      <c r="A66" s="11">
        <v>65</v>
      </c>
      <c r="B66" s="11" t="s">
        <v>21</v>
      </c>
      <c r="C66">
        <v>10</v>
      </c>
      <c r="D66">
        <v>500</v>
      </c>
      <c r="E66">
        <f t="shared" si="3"/>
        <v>100000</v>
      </c>
    </row>
    <row r="67" spans="1:5" x14ac:dyDescent="0.3">
      <c r="A67" s="11">
        <v>66</v>
      </c>
      <c r="B67" s="11" t="s">
        <v>21</v>
      </c>
      <c r="C67">
        <v>75</v>
      </c>
      <c r="D67">
        <v>500</v>
      </c>
      <c r="E67">
        <f t="shared" si="3"/>
        <v>750000</v>
      </c>
    </row>
    <row r="68" spans="1:5" x14ac:dyDescent="0.3">
      <c r="A68" s="11">
        <v>67</v>
      </c>
      <c r="B68" s="11" t="s">
        <v>21</v>
      </c>
      <c r="C68">
        <v>25</v>
      </c>
      <c r="D68">
        <v>500</v>
      </c>
      <c r="E68">
        <f t="shared" si="3"/>
        <v>250000</v>
      </c>
    </row>
    <row r="69" spans="1:5" x14ac:dyDescent="0.3">
      <c r="A69" s="11">
        <v>68</v>
      </c>
      <c r="B69" s="11" t="s">
        <v>21</v>
      </c>
      <c r="C69">
        <v>4</v>
      </c>
      <c r="D69">
        <v>500</v>
      </c>
      <c r="E69">
        <f t="shared" si="3"/>
        <v>40000</v>
      </c>
    </row>
    <row r="70" spans="1:5" x14ac:dyDescent="0.3">
      <c r="A70" s="11">
        <v>69</v>
      </c>
      <c r="B70" s="11" t="s">
        <v>21</v>
      </c>
      <c r="C70">
        <v>86</v>
      </c>
      <c r="D70">
        <v>500</v>
      </c>
      <c r="E70">
        <f t="shared" si="3"/>
        <v>860000</v>
      </c>
    </row>
    <row r="71" spans="1:5" x14ac:dyDescent="0.3">
      <c r="A71" s="11">
        <v>70</v>
      </c>
      <c r="B71" s="11" t="s">
        <v>21</v>
      </c>
      <c r="C71">
        <v>12</v>
      </c>
      <c r="D71">
        <v>500</v>
      </c>
      <c r="E71">
        <f t="shared" si="3"/>
        <v>120000</v>
      </c>
    </row>
    <row r="72" spans="1:5" x14ac:dyDescent="0.3">
      <c r="A72" s="11">
        <v>71</v>
      </c>
      <c r="B72" s="11" t="s">
        <v>21</v>
      </c>
      <c r="C72">
        <v>800</v>
      </c>
      <c r="D72">
        <v>500</v>
      </c>
      <c r="E72">
        <f t="shared" si="3"/>
        <v>8000000</v>
      </c>
    </row>
    <row r="73" spans="1:5" x14ac:dyDescent="0.3">
      <c r="A73" s="11">
        <v>72</v>
      </c>
      <c r="B73" s="11" t="s">
        <v>21</v>
      </c>
      <c r="C73">
        <v>21</v>
      </c>
      <c r="D73">
        <v>500</v>
      </c>
      <c r="E73">
        <f t="shared" si="3"/>
        <v>210000</v>
      </c>
    </row>
    <row r="74" spans="1:5" x14ac:dyDescent="0.3">
      <c r="A74" s="11">
        <v>73</v>
      </c>
      <c r="B74" s="11" t="s">
        <v>21</v>
      </c>
      <c r="C74">
        <v>28</v>
      </c>
      <c r="D74">
        <v>500</v>
      </c>
      <c r="E74">
        <f t="shared" si="3"/>
        <v>280000</v>
      </c>
    </row>
    <row r="75" spans="1:5" x14ac:dyDescent="0.3">
      <c r="A75" s="11">
        <v>74</v>
      </c>
      <c r="B75" s="11" t="s">
        <v>21</v>
      </c>
      <c r="C75">
        <v>33</v>
      </c>
      <c r="D75">
        <v>500</v>
      </c>
      <c r="E75">
        <f t="shared" si="3"/>
        <v>330000</v>
      </c>
    </row>
    <row r="76" spans="1:5" x14ac:dyDescent="0.3">
      <c r="A76" s="11">
        <v>75</v>
      </c>
      <c r="B76" s="11" t="s">
        <v>21</v>
      </c>
      <c r="C76">
        <v>268</v>
      </c>
      <c r="D76">
        <v>500</v>
      </c>
      <c r="E76">
        <f t="shared" si="3"/>
        <v>2680000</v>
      </c>
    </row>
    <row r="77" spans="1:5" x14ac:dyDescent="0.3">
      <c r="A77" s="11">
        <v>76</v>
      </c>
      <c r="B77" s="11" t="s">
        <v>22</v>
      </c>
      <c r="C77">
        <v>10</v>
      </c>
      <c r="D77">
        <v>250</v>
      </c>
      <c r="E77">
        <f>(C77*10^4)/2</f>
        <v>50000</v>
      </c>
    </row>
    <row r="78" spans="1:5" x14ac:dyDescent="0.3">
      <c r="A78" s="11">
        <v>77</v>
      </c>
      <c r="B78" s="11" t="s">
        <v>22</v>
      </c>
      <c r="C78">
        <v>22</v>
      </c>
      <c r="D78">
        <v>250</v>
      </c>
      <c r="E78">
        <f t="shared" ref="E78:E91" si="4">(C78*10^4)/2</f>
        <v>110000</v>
      </c>
    </row>
    <row r="79" spans="1:5" x14ac:dyDescent="0.3">
      <c r="A79" s="11">
        <v>78</v>
      </c>
      <c r="B79" s="11" t="s">
        <v>22</v>
      </c>
      <c r="C79">
        <v>17</v>
      </c>
      <c r="D79">
        <v>250</v>
      </c>
      <c r="E79">
        <f t="shared" si="4"/>
        <v>85000</v>
      </c>
    </row>
    <row r="80" spans="1:5" x14ac:dyDescent="0.3">
      <c r="A80" s="11">
        <v>79</v>
      </c>
      <c r="B80" s="11" t="s">
        <v>22</v>
      </c>
      <c r="C80">
        <v>10</v>
      </c>
      <c r="D80">
        <v>250</v>
      </c>
      <c r="E80">
        <f t="shared" si="4"/>
        <v>50000</v>
      </c>
    </row>
    <row r="81" spans="1:5" x14ac:dyDescent="0.3">
      <c r="A81" s="11">
        <v>80</v>
      </c>
      <c r="B81" s="11" t="s">
        <v>22</v>
      </c>
      <c r="C81">
        <v>0</v>
      </c>
      <c r="D81">
        <v>0</v>
      </c>
      <c r="E81">
        <f t="shared" si="4"/>
        <v>0</v>
      </c>
    </row>
    <row r="82" spans="1:5" x14ac:dyDescent="0.3">
      <c r="A82" s="11">
        <v>81</v>
      </c>
      <c r="B82" s="11" t="s">
        <v>22</v>
      </c>
      <c r="C82">
        <v>23</v>
      </c>
      <c r="D82">
        <v>250</v>
      </c>
      <c r="E82">
        <f t="shared" si="4"/>
        <v>115000</v>
      </c>
    </row>
    <row r="83" spans="1:5" x14ac:dyDescent="0.3">
      <c r="A83" s="11">
        <v>82</v>
      </c>
      <c r="B83" s="11" t="s">
        <v>22</v>
      </c>
      <c r="C83">
        <v>17</v>
      </c>
      <c r="D83">
        <v>250</v>
      </c>
      <c r="E83">
        <f t="shared" si="4"/>
        <v>85000</v>
      </c>
    </row>
    <row r="84" spans="1:5" x14ac:dyDescent="0.3">
      <c r="A84" s="11">
        <v>83</v>
      </c>
      <c r="B84" s="11" t="s">
        <v>22</v>
      </c>
      <c r="C84">
        <v>0</v>
      </c>
      <c r="D84">
        <v>0</v>
      </c>
      <c r="E84">
        <f t="shared" si="4"/>
        <v>0</v>
      </c>
    </row>
    <row r="85" spans="1:5" x14ac:dyDescent="0.3">
      <c r="A85" s="11">
        <v>84</v>
      </c>
      <c r="B85" s="11" t="s">
        <v>22</v>
      </c>
      <c r="C85">
        <v>10</v>
      </c>
      <c r="D85">
        <v>250</v>
      </c>
      <c r="E85">
        <f t="shared" si="4"/>
        <v>50000</v>
      </c>
    </row>
    <row r="86" spans="1:5" x14ac:dyDescent="0.3">
      <c r="A86" s="11">
        <v>85</v>
      </c>
      <c r="B86" s="11" t="s">
        <v>22</v>
      </c>
      <c r="C86">
        <v>25</v>
      </c>
      <c r="D86">
        <v>250</v>
      </c>
      <c r="E86">
        <f t="shared" si="4"/>
        <v>125000</v>
      </c>
    </row>
    <row r="87" spans="1:5" x14ac:dyDescent="0.3">
      <c r="A87" s="11">
        <v>86</v>
      </c>
      <c r="B87" s="11" t="s">
        <v>22</v>
      </c>
      <c r="C87">
        <v>14</v>
      </c>
      <c r="D87">
        <v>250</v>
      </c>
      <c r="E87">
        <f t="shared" si="4"/>
        <v>70000</v>
      </c>
    </row>
    <row r="88" spans="1:5" x14ac:dyDescent="0.3">
      <c r="A88" s="11">
        <v>87</v>
      </c>
      <c r="B88" s="11" t="s">
        <v>22</v>
      </c>
      <c r="C88">
        <v>4</v>
      </c>
      <c r="D88">
        <v>250</v>
      </c>
      <c r="E88">
        <f t="shared" si="4"/>
        <v>20000</v>
      </c>
    </row>
    <row r="89" spans="1:5" x14ac:dyDescent="0.3">
      <c r="A89" s="11">
        <v>88</v>
      </c>
      <c r="B89" s="11" t="s">
        <v>22</v>
      </c>
      <c r="C89">
        <v>15</v>
      </c>
      <c r="D89">
        <v>250</v>
      </c>
      <c r="E89">
        <f t="shared" si="4"/>
        <v>75000</v>
      </c>
    </row>
    <row r="90" spans="1:5" x14ac:dyDescent="0.3">
      <c r="A90" s="11">
        <v>89</v>
      </c>
      <c r="B90" s="11" t="s">
        <v>22</v>
      </c>
      <c r="C90">
        <v>14</v>
      </c>
      <c r="D90">
        <v>250</v>
      </c>
      <c r="E90">
        <f t="shared" si="4"/>
        <v>70000</v>
      </c>
    </row>
    <row r="91" spans="1:5" x14ac:dyDescent="0.3">
      <c r="A91" s="11">
        <v>90</v>
      </c>
      <c r="B91" s="11" t="s">
        <v>22</v>
      </c>
      <c r="C91">
        <v>12</v>
      </c>
      <c r="D91">
        <v>250</v>
      </c>
      <c r="E91">
        <f t="shared" si="4"/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F599-9E11-1146-B629-5298B2997077}">
  <dimension ref="A1:N98"/>
  <sheetViews>
    <sheetView workbookViewId="0">
      <selection activeCell="I14" sqref="I14:I98"/>
    </sheetView>
  </sheetViews>
  <sheetFormatPr defaultColWidth="11" defaultRowHeight="15.6" x14ac:dyDescent="0.3"/>
  <sheetData>
    <row r="1" spans="1:14" x14ac:dyDescent="0.3">
      <c r="A1" t="s">
        <v>35</v>
      </c>
    </row>
    <row r="2" spans="1:14" x14ac:dyDescent="0.3">
      <c r="A2" t="s">
        <v>36</v>
      </c>
    </row>
    <row r="3" spans="1:14" x14ac:dyDescent="0.3">
      <c r="B3" s="15" t="s">
        <v>37</v>
      </c>
      <c r="C3" s="15"/>
      <c r="D3" s="15" t="s">
        <v>38</v>
      </c>
      <c r="E3" s="15"/>
      <c r="F3" s="15" t="s">
        <v>39</v>
      </c>
      <c r="G3" s="15"/>
    </row>
    <row r="4" spans="1:14" x14ac:dyDescent="0.3">
      <c r="A4" t="s">
        <v>40</v>
      </c>
      <c r="B4" t="s">
        <v>41</v>
      </c>
      <c r="C4" t="s">
        <v>42</v>
      </c>
      <c r="D4" t="s">
        <v>41</v>
      </c>
      <c r="E4" t="s">
        <v>42</v>
      </c>
      <c r="F4" t="s">
        <v>41</v>
      </c>
      <c r="G4" t="s">
        <v>42</v>
      </c>
      <c r="H4" t="s">
        <v>43</v>
      </c>
      <c r="I4" t="s">
        <v>44</v>
      </c>
    </row>
    <row r="5" spans="1:14" x14ac:dyDescent="0.3">
      <c r="A5">
        <v>0</v>
      </c>
      <c r="B5">
        <v>0.32700000000000001</v>
      </c>
      <c r="C5">
        <v>0.32800000000000001</v>
      </c>
      <c r="H5">
        <f>AVERAGE(B5:C5)</f>
        <v>0.32750000000000001</v>
      </c>
      <c r="I5">
        <f t="shared" ref="I5:I14" si="0">(2280.2*H5^2)-(1744.1*H5)+364.66</f>
        <v>38.032951249999996</v>
      </c>
      <c r="M5">
        <v>0.32750000000000001</v>
      </c>
      <c r="N5">
        <v>0</v>
      </c>
    </row>
    <row r="6" spans="1:14" x14ac:dyDescent="0.3">
      <c r="A6">
        <v>25</v>
      </c>
      <c r="B6">
        <v>0.36199999999999999</v>
      </c>
      <c r="C6">
        <v>0.35499999999999998</v>
      </c>
      <c r="H6">
        <f t="shared" ref="H6:H28" si="1">AVERAGE(B6:C6)</f>
        <v>0.35849999999999999</v>
      </c>
      <c r="I6">
        <f t="shared" si="0"/>
        <v>32.456584450000037</v>
      </c>
      <c r="M6">
        <v>0.35849999999999999</v>
      </c>
      <c r="N6">
        <v>25</v>
      </c>
    </row>
    <row r="7" spans="1:14" x14ac:dyDescent="0.3">
      <c r="A7">
        <v>125</v>
      </c>
      <c r="B7">
        <v>0.53600000000000003</v>
      </c>
      <c r="C7">
        <v>0.49399999999999999</v>
      </c>
      <c r="H7">
        <f t="shared" si="1"/>
        <v>0.51500000000000001</v>
      </c>
      <c r="I7">
        <f t="shared" si="0"/>
        <v>71.214544999999987</v>
      </c>
      <c r="M7">
        <v>0.51500000000000001</v>
      </c>
      <c r="N7">
        <v>125</v>
      </c>
    </row>
    <row r="8" spans="1:14" x14ac:dyDescent="0.3">
      <c r="A8">
        <v>250</v>
      </c>
      <c r="B8">
        <v>0.71199999999999997</v>
      </c>
      <c r="C8">
        <v>0.61299999999999999</v>
      </c>
      <c r="H8">
        <f t="shared" si="1"/>
        <v>0.66249999999999998</v>
      </c>
      <c r="I8">
        <f t="shared" si="0"/>
        <v>209.98778124999995</v>
      </c>
      <c r="M8">
        <v>0.66249999999999998</v>
      </c>
      <c r="N8">
        <v>250</v>
      </c>
    </row>
    <row r="9" spans="1:14" x14ac:dyDescent="0.3">
      <c r="A9">
        <v>500</v>
      </c>
      <c r="B9">
        <v>0.88600000000000001</v>
      </c>
      <c r="C9">
        <v>0.80400000000000005</v>
      </c>
      <c r="H9">
        <f t="shared" si="1"/>
        <v>0.84499999999999997</v>
      </c>
      <c r="I9">
        <f t="shared" si="0"/>
        <v>519.0153049999999</v>
      </c>
      <c r="M9">
        <v>0.84499999999999997</v>
      </c>
      <c r="N9">
        <v>500</v>
      </c>
    </row>
    <row r="10" spans="1:14" x14ac:dyDescent="0.3">
      <c r="A10">
        <v>750</v>
      </c>
      <c r="B10">
        <v>1.0509999999999999</v>
      </c>
      <c r="C10">
        <v>0.82</v>
      </c>
      <c r="H10">
        <f t="shared" si="1"/>
        <v>0.9355</v>
      </c>
      <c r="I10">
        <f t="shared" si="0"/>
        <v>728.59485204999987</v>
      </c>
      <c r="M10">
        <v>0.9355</v>
      </c>
      <c r="N10">
        <v>750</v>
      </c>
    </row>
    <row r="11" spans="1:14" x14ac:dyDescent="0.3">
      <c r="A11">
        <v>1000</v>
      </c>
      <c r="B11">
        <v>1.115</v>
      </c>
      <c r="C11">
        <v>1.056</v>
      </c>
      <c r="H11">
        <f t="shared" si="1"/>
        <v>1.0855000000000001</v>
      </c>
      <c r="I11">
        <f t="shared" si="0"/>
        <v>1158.2224820500001</v>
      </c>
      <c r="M11">
        <v>1.0855000000000001</v>
      </c>
      <c r="N11">
        <v>1000</v>
      </c>
    </row>
    <row r="12" spans="1:14" x14ac:dyDescent="0.3">
      <c r="A12">
        <v>1500</v>
      </c>
      <c r="B12">
        <v>1.2569999999999999</v>
      </c>
      <c r="C12">
        <v>1.0680000000000001</v>
      </c>
      <c r="H12">
        <f t="shared" si="1"/>
        <v>1.1625000000000001</v>
      </c>
      <c r="I12">
        <f t="shared" si="0"/>
        <v>1418.6202812499998</v>
      </c>
      <c r="M12">
        <v>1.1625000000000001</v>
      </c>
      <c r="N12">
        <v>1500</v>
      </c>
    </row>
    <row r="13" spans="1:14" x14ac:dyDescent="0.3">
      <c r="A13">
        <v>2000</v>
      </c>
      <c r="B13">
        <v>1.2849999999999999</v>
      </c>
      <c r="C13">
        <v>1.3260000000000001</v>
      </c>
      <c r="H13">
        <f t="shared" si="1"/>
        <v>1.3054999999999999</v>
      </c>
      <c r="I13">
        <f t="shared" si="0"/>
        <v>1973.9512860499992</v>
      </c>
      <c r="M13">
        <v>1.3054999999999999</v>
      </c>
      <c r="N13">
        <v>2000</v>
      </c>
    </row>
    <row r="14" spans="1:14" x14ac:dyDescent="0.3">
      <c r="A14">
        <v>1</v>
      </c>
      <c r="B14">
        <v>0.57399999999999995</v>
      </c>
      <c r="C14">
        <v>0.56999999999999995</v>
      </c>
      <c r="H14">
        <f t="shared" si="1"/>
        <v>0.57199999999999995</v>
      </c>
      <c r="I14">
        <f t="shared" si="0"/>
        <v>113.07975679999998</v>
      </c>
    </row>
    <row r="15" spans="1:14" x14ac:dyDescent="0.3">
      <c r="A15">
        <v>2</v>
      </c>
      <c r="B15">
        <v>0.42</v>
      </c>
      <c r="C15">
        <v>0.41499999999999998</v>
      </c>
      <c r="H15">
        <f t="shared" si="1"/>
        <v>0.41749999999999998</v>
      </c>
      <c r="I15">
        <f t="shared" ref="I15:I28" si="2">(2280.2*H15^2)-(1744.1*H15)+364.66</f>
        <v>33.951361249999991</v>
      </c>
    </row>
    <row r="16" spans="1:14" x14ac:dyDescent="0.3">
      <c r="A16">
        <v>3</v>
      </c>
      <c r="B16">
        <v>0.45100000000000001</v>
      </c>
      <c r="C16">
        <v>0.45300000000000001</v>
      </c>
      <c r="H16">
        <f t="shared" si="1"/>
        <v>0.45200000000000001</v>
      </c>
      <c r="I16">
        <f t="shared" si="2"/>
        <v>42.18078079999998</v>
      </c>
    </row>
    <row r="17" spans="1:9" x14ac:dyDescent="0.3">
      <c r="A17">
        <v>4</v>
      </c>
      <c r="B17">
        <v>0.42399999999999999</v>
      </c>
      <c r="C17">
        <v>0.434</v>
      </c>
      <c r="H17">
        <f t="shared" si="1"/>
        <v>0.42899999999999999</v>
      </c>
      <c r="I17">
        <f t="shared" si="2"/>
        <v>36.091388199999983</v>
      </c>
    </row>
    <row r="18" spans="1:9" x14ac:dyDescent="0.3">
      <c r="A18">
        <v>5</v>
      </c>
      <c r="B18">
        <v>0.39500000000000002</v>
      </c>
      <c r="C18">
        <v>0.38900000000000001</v>
      </c>
      <c r="H18">
        <f t="shared" si="1"/>
        <v>0.39200000000000002</v>
      </c>
      <c r="I18">
        <f t="shared" si="2"/>
        <v>31.35745280000009</v>
      </c>
    </row>
    <row r="19" spans="1:9" x14ac:dyDescent="0.3">
      <c r="A19">
        <v>6</v>
      </c>
      <c r="B19">
        <v>0.49399999999999999</v>
      </c>
      <c r="C19">
        <v>0.48299999999999998</v>
      </c>
      <c r="H19">
        <f t="shared" si="1"/>
        <v>0.48849999999999999</v>
      </c>
      <c r="I19">
        <f t="shared" si="2"/>
        <v>56.796406450000006</v>
      </c>
    </row>
    <row r="20" spans="1:9" x14ac:dyDescent="0.3">
      <c r="A20">
        <v>7</v>
      </c>
      <c r="B20">
        <v>0.51600000000000001</v>
      </c>
      <c r="C20">
        <v>0.501</v>
      </c>
      <c r="H20">
        <f t="shared" si="1"/>
        <v>0.50849999999999995</v>
      </c>
      <c r="I20">
        <f t="shared" si="2"/>
        <v>67.381594449999909</v>
      </c>
    </row>
    <row r="21" spans="1:9" x14ac:dyDescent="0.3">
      <c r="A21">
        <v>8</v>
      </c>
      <c r="B21">
        <v>0.48799999999999999</v>
      </c>
      <c r="C21">
        <v>0.46400000000000002</v>
      </c>
      <c r="H21">
        <f t="shared" si="1"/>
        <v>0.47599999999999998</v>
      </c>
      <c r="I21">
        <f t="shared" si="2"/>
        <v>51.106995200000085</v>
      </c>
    </row>
    <row r="22" spans="1:9" x14ac:dyDescent="0.3">
      <c r="A22">
        <v>9</v>
      </c>
      <c r="B22">
        <v>0.48199999999999998</v>
      </c>
      <c r="C22">
        <v>0.50800000000000001</v>
      </c>
      <c r="H22">
        <f t="shared" si="1"/>
        <v>0.495</v>
      </c>
      <c r="I22">
        <f t="shared" si="2"/>
        <v>60.036504999999977</v>
      </c>
    </row>
    <row r="23" spans="1:9" x14ac:dyDescent="0.3">
      <c r="A23">
        <v>10</v>
      </c>
      <c r="B23">
        <v>0.54500000000000004</v>
      </c>
      <c r="C23">
        <v>0.56599999999999995</v>
      </c>
      <c r="H23">
        <f t="shared" si="1"/>
        <v>0.55549999999999999</v>
      </c>
      <c r="I23">
        <f t="shared" si="2"/>
        <v>99.437136049999992</v>
      </c>
    </row>
    <row r="24" spans="1:9" x14ac:dyDescent="0.3">
      <c r="A24">
        <v>11</v>
      </c>
      <c r="B24">
        <v>0.51900000000000002</v>
      </c>
      <c r="C24">
        <v>0.51100000000000001</v>
      </c>
      <c r="H24">
        <f t="shared" si="1"/>
        <v>0.51500000000000001</v>
      </c>
      <c r="I24">
        <f t="shared" si="2"/>
        <v>71.214544999999987</v>
      </c>
    </row>
    <row r="25" spans="1:9" x14ac:dyDescent="0.3">
      <c r="A25">
        <v>12</v>
      </c>
      <c r="B25">
        <v>0.48099999999999998</v>
      </c>
      <c r="C25">
        <v>0.46899999999999997</v>
      </c>
      <c r="H25">
        <f t="shared" si="1"/>
        <v>0.47499999999999998</v>
      </c>
      <c r="I25">
        <f t="shared" si="2"/>
        <v>50.682625000000087</v>
      </c>
    </row>
    <row r="26" spans="1:9" x14ac:dyDescent="0.3">
      <c r="A26">
        <v>13</v>
      </c>
      <c r="B26">
        <v>0.58099999999999996</v>
      </c>
      <c r="C26">
        <v>0.56399999999999995</v>
      </c>
      <c r="H26">
        <f t="shared" si="1"/>
        <v>0.57250000000000001</v>
      </c>
      <c r="I26">
        <f t="shared" si="2"/>
        <v>113.51255125000006</v>
      </c>
    </row>
    <row r="27" spans="1:9" x14ac:dyDescent="0.3">
      <c r="A27">
        <v>14</v>
      </c>
      <c r="B27">
        <v>0.438</v>
      </c>
      <c r="C27">
        <v>0.442</v>
      </c>
      <c r="H27">
        <f t="shared" si="1"/>
        <v>0.44</v>
      </c>
      <c r="I27">
        <f t="shared" si="2"/>
        <v>38.702719999999999</v>
      </c>
    </row>
    <row r="28" spans="1:9" x14ac:dyDescent="0.3">
      <c r="A28">
        <v>15</v>
      </c>
      <c r="B28">
        <v>0.57399999999999995</v>
      </c>
      <c r="C28">
        <v>0.58299999999999996</v>
      </c>
      <c r="H28">
        <f t="shared" si="1"/>
        <v>0.57850000000000001</v>
      </c>
      <c r="I28">
        <f t="shared" si="2"/>
        <v>118.79501244999989</v>
      </c>
    </row>
    <row r="29" spans="1:9" x14ac:dyDescent="0.3">
      <c r="A29">
        <v>16</v>
      </c>
      <c r="D29">
        <v>0.41099999999999998</v>
      </c>
      <c r="E29">
        <v>0.41499999999999998</v>
      </c>
      <c r="H29">
        <f>AVERAGE(D29:E29)</f>
        <v>0.41299999999999998</v>
      </c>
      <c r="I29">
        <f>5*((2280.2*H29^2)-(1744.1*H29)+364.66)</f>
        <v>166.39066900000017</v>
      </c>
    </row>
    <row r="30" spans="1:9" x14ac:dyDescent="0.3">
      <c r="A30">
        <v>18</v>
      </c>
      <c r="D30">
        <v>0.39500000000000002</v>
      </c>
      <c r="E30">
        <v>0.39200000000000002</v>
      </c>
      <c r="H30">
        <f t="shared" ref="H30:H85" si="3">AVERAGE(D30:E30)</f>
        <v>0.39350000000000002</v>
      </c>
      <c r="I30">
        <f t="shared" ref="I30:I85" si="4">5*((2280.2*H30^2)-(1744.1*H30)+364.66)</f>
        <v>157.13974225000015</v>
      </c>
    </row>
    <row r="31" spans="1:9" x14ac:dyDescent="0.3">
      <c r="A31">
        <v>19</v>
      </c>
      <c r="D31">
        <v>0.36799999999999999</v>
      </c>
      <c r="E31">
        <v>0.36299999999999999</v>
      </c>
      <c r="H31">
        <f t="shared" si="3"/>
        <v>0.36549999999999999</v>
      </c>
      <c r="I31">
        <f t="shared" si="4"/>
        <v>159.01969025000028</v>
      </c>
    </row>
    <row r="32" spans="1:9" x14ac:dyDescent="0.3">
      <c r="A32">
        <v>20</v>
      </c>
      <c r="D32">
        <v>0.36299999999999999</v>
      </c>
      <c r="E32">
        <v>0.35899999999999999</v>
      </c>
      <c r="H32">
        <f t="shared" si="3"/>
        <v>0.36099999999999999</v>
      </c>
      <c r="I32">
        <f t="shared" si="4"/>
        <v>160.9892210000001</v>
      </c>
    </row>
    <row r="33" spans="1:9" x14ac:dyDescent="0.3">
      <c r="A33">
        <v>21</v>
      </c>
      <c r="D33">
        <v>0.35599999999999998</v>
      </c>
      <c r="E33">
        <v>0.35299999999999998</v>
      </c>
      <c r="H33">
        <f t="shared" si="3"/>
        <v>0.35449999999999998</v>
      </c>
      <c r="I33">
        <f t="shared" si="4"/>
        <v>164.64927025000037</v>
      </c>
    </row>
    <row r="34" spans="1:9" x14ac:dyDescent="0.3">
      <c r="A34">
        <v>22</v>
      </c>
      <c r="D34">
        <v>0.376</v>
      </c>
      <c r="E34" s="14">
        <v>0.29799999999999999</v>
      </c>
      <c r="H34">
        <f>D34</f>
        <v>0.376</v>
      </c>
      <c r="I34">
        <f t="shared" si="4"/>
        <v>156.21977600000037</v>
      </c>
    </row>
    <row r="35" spans="1:9" x14ac:dyDescent="0.3">
      <c r="A35">
        <v>23</v>
      </c>
      <c r="D35">
        <v>0.45200000000000001</v>
      </c>
      <c r="E35" s="14">
        <v>0.21299999999999999</v>
      </c>
      <c r="H35">
        <f>D35</f>
        <v>0.45200000000000001</v>
      </c>
      <c r="I35">
        <f t="shared" si="4"/>
        <v>210.9039039999999</v>
      </c>
    </row>
    <row r="36" spans="1:9" x14ac:dyDescent="0.3">
      <c r="A36">
        <v>24</v>
      </c>
      <c r="D36">
        <v>0.55300000000000005</v>
      </c>
      <c r="E36" s="14">
        <v>0.20100000000000001</v>
      </c>
      <c r="H36">
        <f>D36</f>
        <v>0.55300000000000005</v>
      </c>
      <c r="I36">
        <f t="shared" si="4"/>
        <v>487.39190900000068</v>
      </c>
    </row>
    <row r="37" spans="1:9" x14ac:dyDescent="0.3">
      <c r="A37">
        <v>25</v>
      </c>
      <c r="D37">
        <v>0.35599999999999998</v>
      </c>
      <c r="E37">
        <v>0.36</v>
      </c>
      <c r="H37">
        <f t="shared" si="3"/>
        <v>0.35799999999999998</v>
      </c>
      <c r="I37">
        <f t="shared" si="4"/>
        <v>162.55876400000005</v>
      </c>
    </row>
    <row r="38" spans="1:9" x14ac:dyDescent="0.3">
      <c r="A38">
        <v>26</v>
      </c>
      <c r="D38">
        <v>0.39</v>
      </c>
      <c r="E38">
        <v>0.39500000000000002</v>
      </c>
      <c r="H38">
        <f t="shared" si="3"/>
        <v>0.39250000000000002</v>
      </c>
      <c r="I38">
        <f t="shared" si="4"/>
        <v>156.89905624999994</v>
      </c>
    </row>
    <row r="39" spans="1:9" x14ac:dyDescent="0.3">
      <c r="A39">
        <v>27</v>
      </c>
      <c r="D39">
        <v>0.34200000000000003</v>
      </c>
      <c r="E39">
        <v>0.34799999999999998</v>
      </c>
      <c r="H39">
        <f t="shared" si="3"/>
        <v>0.34499999999999997</v>
      </c>
      <c r="I39">
        <f t="shared" si="4"/>
        <v>171.73152500000015</v>
      </c>
    </row>
    <row r="40" spans="1:9" x14ac:dyDescent="0.3">
      <c r="A40">
        <v>28</v>
      </c>
      <c r="D40">
        <v>0.36399999999999999</v>
      </c>
      <c r="E40">
        <v>0.36699999999999999</v>
      </c>
      <c r="H40">
        <f t="shared" si="3"/>
        <v>0.36549999999999999</v>
      </c>
      <c r="I40">
        <f t="shared" si="4"/>
        <v>159.01969025000028</v>
      </c>
    </row>
    <row r="41" spans="1:9" x14ac:dyDescent="0.3">
      <c r="A41">
        <v>29</v>
      </c>
      <c r="D41">
        <v>0.39500000000000002</v>
      </c>
      <c r="E41">
        <v>0.40600000000000003</v>
      </c>
      <c r="H41">
        <f t="shared" si="3"/>
        <v>0.40050000000000002</v>
      </c>
      <c r="I41">
        <f t="shared" si="4"/>
        <v>159.46300024999999</v>
      </c>
    </row>
    <row r="42" spans="1:9" x14ac:dyDescent="0.3">
      <c r="A42">
        <v>31</v>
      </c>
      <c r="D42">
        <v>0.36</v>
      </c>
      <c r="E42">
        <v>0.35599999999999998</v>
      </c>
      <c r="H42">
        <f t="shared" si="3"/>
        <v>0.35799999999999998</v>
      </c>
      <c r="I42">
        <f t="shared" si="4"/>
        <v>162.55876400000005</v>
      </c>
    </row>
    <row r="43" spans="1:9" x14ac:dyDescent="0.3">
      <c r="A43">
        <v>32</v>
      </c>
      <c r="D43">
        <v>0.505</v>
      </c>
      <c r="E43">
        <v>0.496</v>
      </c>
      <c r="H43">
        <f t="shared" si="3"/>
        <v>0.50049999999999994</v>
      </c>
      <c r="I43">
        <f t="shared" si="4"/>
        <v>314.64310024999946</v>
      </c>
    </row>
    <row r="44" spans="1:9" x14ac:dyDescent="0.3">
      <c r="A44">
        <v>33</v>
      </c>
      <c r="D44">
        <v>0.372</v>
      </c>
      <c r="E44">
        <v>0.376</v>
      </c>
      <c r="H44">
        <f t="shared" si="3"/>
        <v>0.374</v>
      </c>
      <c r="I44">
        <f t="shared" si="4"/>
        <v>156.55927599999984</v>
      </c>
    </row>
    <row r="45" spans="1:9" x14ac:dyDescent="0.3">
      <c r="A45">
        <v>34</v>
      </c>
      <c r="D45">
        <v>0.35099999999999998</v>
      </c>
      <c r="E45">
        <v>0.35</v>
      </c>
      <c r="H45">
        <f t="shared" si="3"/>
        <v>0.35049999999999998</v>
      </c>
      <c r="I45">
        <f t="shared" si="4"/>
        <v>167.38045025000048</v>
      </c>
    </row>
    <row r="46" spans="1:9" x14ac:dyDescent="0.3">
      <c r="A46">
        <v>35</v>
      </c>
      <c r="D46">
        <v>0.48699999999999999</v>
      </c>
      <c r="E46">
        <v>0.50700000000000001</v>
      </c>
      <c r="H46">
        <f t="shared" si="3"/>
        <v>0.497</v>
      </c>
      <c r="I46">
        <f t="shared" si="4"/>
        <v>305.36110900000011</v>
      </c>
    </row>
    <row r="47" spans="1:9" x14ac:dyDescent="0.3">
      <c r="A47">
        <v>36</v>
      </c>
      <c r="D47">
        <v>0.38900000000000001</v>
      </c>
      <c r="E47">
        <v>0.39100000000000001</v>
      </c>
      <c r="H47">
        <f t="shared" si="3"/>
        <v>0.39</v>
      </c>
      <c r="I47">
        <f t="shared" si="4"/>
        <v>156.39710000000036</v>
      </c>
    </row>
    <row r="48" spans="1:9" x14ac:dyDescent="0.3">
      <c r="A48">
        <v>37</v>
      </c>
      <c r="D48">
        <v>0.41499999999999998</v>
      </c>
      <c r="E48">
        <v>0.41499999999999998</v>
      </c>
      <c r="H48">
        <f t="shared" si="3"/>
        <v>0.41499999999999998</v>
      </c>
      <c r="I48">
        <f t="shared" si="4"/>
        <v>167.82972500000028</v>
      </c>
    </row>
    <row r="49" spans="1:9" x14ac:dyDescent="0.3">
      <c r="A49">
        <v>38</v>
      </c>
      <c r="D49">
        <v>0.36399999999999999</v>
      </c>
      <c r="E49">
        <v>0.36099999999999999</v>
      </c>
      <c r="H49">
        <f t="shared" si="3"/>
        <v>0.36249999999999999</v>
      </c>
      <c r="I49">
        <f t="shared" si="4"/>
        <v>160.28140625000049</v>
      </c>
    </row>
    <row r="50" spans="1:9" x14ac:dyDescent="0.3">
      <c r="A50">
        <v>39</v>
      </c>
      <c r="D50">
        <v>0.35699999999999998</v>
      </c>
      <c r="E50">
        <v>0.35399999999999998</v>
      </c>
      <c r="H50">
        <f t="shared" si="3"/>
        <v>0.35549999999999998</v>
      </c>
      <c r="I50">
        <f t="shared" si="4"/>
        <v>164.02348025000038</v>
      </c>
    </row>
    <row r="51" spans="1:9" x14ac:dyDescent="0.3">
      <c r="A51">
        <v>40</v>
      </c>
      <c r="D51">
        <v>0.374</v>
      </c>
      <c r="E51">
        <v>0.373</v>
      </c>
      <c r="H51">
        <f t="shared" si="3"/>
        <v>0.3735</v>
      </c>
      <c r="I51">
        <f t="shared" si="4"/>
        <v>156.65840225000011</v>
      </c>
    </row>
    <row r="52" spans="1:9" x14ac:dyDescent="0.3">
      <c r="A52">
        <v>41</v>
      </c>
      <c r="D52">
        <v>0.35199999999999998</v>
      </c>
      <c r="E52">
        <v>0.35199999999999998</v>
      </c>
      <c r="H52">
        <f t="shared" si="3"/>
        <v>0.35199999999999998</v>
      </c>
      <c r="I52">
        <f t="shared" si="4"/>
        <v>166.31350400000002</v>
      </c>
    </row>
    <row r="53" spans="1:9" x14ac:dyDescent="0.3">
      <c r="A53">
        <v>42</v>
      </c>
      <c r="D53">
        <v>0.34599999999999997</v>
      </c>
      <c r="E53">
        <v>0.34899999999999998</v>
      </c>
      <c r="H53">
        <f t="shared" si="3"/>
        <v>0.34749999999999998</v>
      </c>
      <c r="I53">
        <f t="shared" si="4"/>
        <v>169.66825625000041</v>
      </c>
    </row>
    <row r="54" spans="1:9" x14ac:dyDescent="0.3">
      <c r="A54">
        <v>44</v>
      </c>
      <c r="D54">
        <v>0.36299999999999999</v>
      </c>
      <c r="E54">
        <v>0.36299999999999999</v>
      </c>
      <c r="H54">
        <f t="shared" si="3"/>
        <v>0.36299999999999999</v>
      </c>
      <c r="I54">
        <f t="shared" si="4"/>
        <v>160.05686900000001</v>
      </c>
    </row>
    <row r="55" spans="1:9" x14ac:dyDescent="0.3">
      <c r="A55">
        <v>45</v>
      </c>
      <c r="D55">
        <v>0.36</v>
      </c>
      <c r="E55">
        <v>0.36299999999999999</v>
      </c>
      <c r="H55">
        <f t="shared" si="3"/>
        <v>0.36149999999999999</v>
      </c>
      <c r="I55">
        <f t="shared" si="4"/>
        <v>160.74758225000039</v>
      </c>
    </row>
    <row r="56" spans="1:9" x14ac:dyDescent="0.3">
      <c r="A56">
        <v>46</v>
      </c>
      <c r="D56">
        <v>0.40799999999999997</v>
      </c>
      <c r="E56">
        <v>0.41</v>
      </c>
      <c r="H56">
        <f t="shared" si="3"/>
        <v>0.40899999999999997</v>
      </c>
      <c r="I56">
        <f t="shared" si="4"/>
        <v>163.7861810000004</v>
      </c>
    </row>
    <row r="57" spans="1:9" x14ac:dyDescent="0.3">
      <c r="A57">
        <v>47</v>
      </c>
      <c r="D57">
        <v>0.35299999999999998</v>
      </c>
      <c r="E57">
        <v>0.35699999999999998</v>
      </c>
      <c r="H57">
        <f t="shared" si="3"/>
        <v>0.35499999999999998</v>
      </c>
      <c r="I57">
        <f t="shared" si="4"/>
        <v>164.33352500000012</v>
      </c>
    </row>
    <row r="58" spans="1:9" x14ac:dyDescent="0.3">
      <c r="A58">
        <v>48</v>
      </c>
      <c r="D58">
        <v>0.37</v>
      </c>
      <c r="E58" s="14">
        <v>0.35099999999999998</v>
      </c>
      <c r="H58">
        <f>D58</f>
        <v>0.37</v>
      </c>
      <c r="I58">
        <f t="shared" si="4"/>
        <v>157.5118999999998</v>
      </c>
    </row>
    <row r="59" spans="1:9" x14ac:dyDescent="0.3">
      <c r="A59">
        <v>49</v>
      </c>
      <c r="D59">
        <v>0.45400000000000001</v>
      </c>
      <c r="E59" s="14">
        <v>0.37</v>
      </c>
      <c r="H59">
        <f>D59</f>
        <v>0.45400000000000001</v>
      </c>
      <c r="I59">
        <f t="shared" si="4"/>
        <v>214.12151599999987</v>
      </c>
    </row>
    <row r="60" spans="1:9" x14ac:dyDescent="0.3">
      <c r="A60">
        <v>50</v>
      </c>
      <c r="D60">
        <v>0.54300000000000004</v>
      </c>
      <c r="E60" s="14">
        <v>0.44900000000000001</v>
      </c>
      <c r="H60">
        <f>D60</f>
        <v>0.54300000000000004</v>
      </c>
      <c r="I60">
        <f t="shared" si="4"/>
        <v>449.64194900000024</v>
      </c>
    </row>
    <row r="61" spans="1:9" x14ac:dyDescent="0.3">
      <c r="A61">
        <v>51</v>
      </c>
      <c r="D61">
        <v>0.41899999999999998</v>
      </c>
      <c r="E61">
        <v>0.442</v>
      </c>
      <c r="H61">
        <f t="shared" si="3"/>
        <v>0.43049999999999999</v>
      </c>
      <c r="I61">
        <f t="shared" si="4"/>
        <v>182.07493025000048</v>
      </c>
    </row>
    <row r="62" spans="1:9" x14ac:dyDescent="0.3">
      <c r="A62">
        <v>52</v>
      </c>
      <c r="D62">
        <v>0.33900000000000002</v>
      </c>
      <c r="E62">
        <v>0.35299999999999998</v>
      </c>
      <c r="H62">
        <f t="shared" si="3"/>
        <v>0.34599999999999997</v>
      </c>
      <c r="I62">
        <f t="shared" si="4"/>
        <v>170.88911600000017</v>
      </c>
    </row>
    <row r="63" spans="1:9" x14ac:dyDescent="0.3">
      <c r="A63">
        <v>53</v>
      </c>
      <c r="D63">
        <v>0.35</v>
      </c>
      <c r="E63">
        <v>0.36699999999999999</v>
      </c>
      <c r="H63">
        <f t="shared" si="3"/>
        <v>0.35849999999999999</v>
      </c>
      <c r="I63">
        <f t="shared" si="4"/>
        <v>162.28292225000018</v>
      </c>
    </row>
    <row r="64" spans="1:9" x14ac:dyDescent="0.3">
      <c r="A64">
        <v>54</v>
      </c>
      <c r="D64">
        <v>0.40300000000000002</v>
      </c>
      <c r="E64">
        <v>0.432</v>
      </c>
      <c r="H64">
        <f t="shared" si="3"/>
        <v>0.41749999999999998</v>
      </c>
      <c r="I64">
        <f t="shared" si="4"/>
        <v>169.75680624999995</v>
      </c>
    </row>
    <row r="65" spans="1:9" x14ac:dyDescent="0.3">
      <c r="A65">
        <v>55</v>
      </c>
      <c r="D65">
        <v>0.33700000000000002</v>
      </c>
      <c r="E65">
        <v>0.35499999999999998</v>
      </c>
      <c r="H65">
        <f t="shared" si="3"/>
        <v>0.34599999999999997</v>
      </c>
      <c r="I65">
        <f t="shared" si="4"/>
        <v>170.88911600000017</v>
      </c>
    </row>
    <row r="66" spans="1:9" x14ac:dyDescent="0.3">
      <c r="A66">
        <v>56</v>
      </c>
      <c r="D66">
        <v>0.432</v>
      </c>
      <c r="E66">
        <v>0.44500000000000001</v>
      </c>
      <c r="H66">
        <f t="shared" si="3"/>
        <v>0.4385</v>
      </c>
      <c r="I66">
        <f t="shared" si="4"/>
        <v>191.57068225000017</v>
      </c>
    </row>
    <row r="67" spans="1:9" x14ac:dyDescent="0.3">
      <c r="A67">
        <v>57</v>
      </c>
      <c r="D67">
        <v>0.39700000000000002</v>
      </c>
      <c r="E67">
        <v>0.41599999999999998</v>
      </c>
      <c r="H67">
        <f t="shared" si="3"/>
        <v>0.40649999999999997</v>
      </c>
      <c r="I67">
        <f t="shared" si="4"/>
        <v>162.34364225000007</v>
      </c>
    </row>
    <row r="68" spans="1:9" x14ac:dyDescent="0.3">
      <c r="A68">
        <v>58</v>
      </c>
      <c r="D68">
        <v>0.35399999999999998</v>
      </c>
      <c r="E68">
        <v>0.36899999999999999</v>
      </c>
      <c r="H68">
        <f t="shared" si="3"/>
        <v>0.36149999999999999</v>
      </c>
      <c r="I68">
        <f t="shared" si="4"/>
        <v>160.74758225000039</v>
      </c>
    </row>
    <row r="69" spans="1:9" x14ac:dyDescent="0.3">
      <c r="A69">
        <v>59</v>
      </c>
      <c r="D69">
        <v>0.39200000000000002</v>
      </c>
      <c r="E69">
        <v>0.40300000000000002</v>
      </c>
      <c r="H69">
        <f t="shared" si="3"/>
        <v>0.39750000000000002</v>
      </c>
      <c r="I69">
        <f t="shared" si="4"/>
        <v>158.33050624999998</v>
      </c>
    </row>
    <row r="70" spans="1:9" x14ac:dyDescent="0.3">
      <c r="A70">
        <v>60</v>
      </c>
      <c r="D70">
        <v>0.44900000000000001</v>
      </c>
      <c r="E70">
        <v>0.51</v>
      </c>
      <c r="H70">
        <f t="shared" si="3"/>
        <v>0.47950000000000004</v>
      </c>
      <c r="I70">
        <f t="shared" si="4"/>
        <v>263.14102025000039</v>
      </c>
    </row>
    <row r="71" spans="1:9" x14ac:dyDescent="0.3">
      <c r="A71">
        <v>61</v>
      </c>
      <c r="D71">
        <v>0.64700000000000002</v>
      </c>
      <c r="E71">
        <v>0.66800000000000004</v>
      </c>
      <c r="H71">
        <f t="shared" si="3"/>
        <v>0.65749999999999997</v>
      </c>
      <c r="I71">
        <f t="shared" si="4"/>
        <v>1018.29480625</v>
      </c>
    </row>
    <row r="72" spans="1:9" x14ac:dyDescent="0.3">
      <c r="A72">
        <v>62</v>
      </c>
      <c r="D72">
        <v>0.79500000000000004</v>
      </c>
      <c r="E72">
        <v>0.83299999999999996</v>
      </c>
      <c r="H72">
        <f t="shared" si="3"/>
        <v>0.81400000000000006</v>
      </c>
      <c r="I72">
        <f t="shared" si="4"/>
        <v>2279.0699960000002</v>
      </c>
    </row>
    <row r="73" spans="1:9" x14ac:dyDescent="0.3">
      <c r="A73">
        <v>63</v>
      </c>
      <c r="D73">
        <v>0.45200000000000001</v>
      </c>
      <c r="E73">
        <v>0.44700000000000001</v>
      </c>
      <c r="H73">
        <f t="shared" si="3"/>
        <v>0.44950000000000001</v>
      </c>
      <c r="I73">
        <f t="shared" si="4"/>
        <v>207.01015025000032</v>
      </c>
    </row>
    <row r="74" spans="1:9" x14ac:dyDescent="0.3">
      <c r="A74">
        <v>64</v>
      </c>
      <c r="D74">
        <v>0.39100000000000001</v>
      </c>
      <c r="E74">
        <v>0.41</v>
      </c>
      <c r="H74">
        <f t="shared" si="3"/>
        <v>0.40049999999999997</v>
      </c>
      <c r="I74">
        <f t="shared" si="4"/>
        <v>159.46300024999999</v>
      </c>
    </row>
    <row r="75" spans="1:9" x14ac:dyDescent="0.3">
      <c r="A75">
        <v>65</v>
      </c>
      <c r="D75">
        <v>0.40799999999999997</v>
      </c>
      <c r="E75">
        <v>0.41299999999999998</v>
      </c>
      <c r="H75">
        <f t="shared" si="3"/>
        <v>0.41049999999999998</v>
      </c>
      <c r="I75">
        <f t="shared" si="4"/>
        <v>164.72011024999972</v>
      </c>
    </row>
    <row r="76" spans="1:9" x14ac:dyDescent="0.3">
      <c r="A76">
        <v>66</v>
      </c>
      <c r="D76">
        <v>0.48399999999999999</v>
      </c>
      <c r="E76">
        <v>0.501</v>
      </c>
      <c r="H76">
        <f t="shared" si="3"/>
        <v>0.49249999999999999</v>
      </c>
      <c r="I76">
        <f t="shared" si="4"/>
        <v>293.8375562500002</v>
      </c>
    </row>
    <row r="77" spans="1:9" x14ac:dyDescent="0.3">
      <c r="A77">
        <v>67</v>
      </c>
      <c r="D77">
        <v>0.39500000000000002</v>
      </c>
      <c r="E77">
        <v>0.40799999999999997</v>
      </c>
      <c r="H77">
        <f t="shared" si="3"/>
        <v>0.40149999999999997</v>
      </c>
      <c r="I77">
        <f t="shared" si="4"/>
        <v>159.88610225000002</v>
      </c>
    </row>
    <row r="78" spans="1:9" x14ac:dyDescent="0.3">
      <c r="A78">
        <v>68</v>
      </c>
      <c r="D78">
        <v>0.35499999999999998</v>
      </c>
      <c r="E78">
        <v>0.35199999999999998</v>
      </c>
      <c r="H78">
        <f t="shared" si="3"/>
        <v>0.35349999999999998</v>
      </c>
      <c r="I78">
        <f t="shared" si="4"/>
        <v>165.29786225000038</v>
      </c>
    </row>
    <row r="79" spans="1:9" x14ac:dyDescent="0.3">
      <c r="A79">
        <v>69</v>
      </c>
      <c r="D79">
        <v>0.39400000000000002</v>
      </c>
      <c r="E79">
        <v>0.39600000000000002</v>
      </c>
      <c r="H79">
        <f t="shared" si="3"/>
        <v>0.39500000000000002</v>
      </c>
      <c r="I79">
        <f t="shared" si="4"/>
        <v>157.54352500000039</v>
      </c>
    </row>
    <row r="80" spans="1:9" x14ac:dyDescent="0.3">
      <c r="A80">
        <v>70</v>
      </c>
      <c r="D80">
        <v>0.39400000000000002</v>
      </c>
      <c r="E80">
        <v>0.39800000000000002</v>
      </c>
      <c r="H80">
        <f t="shared" si="3"/>
        <v>0.39600000000000002</v>
      </c>
      <c r="I80">
        <f t="shared" si="4"/>
        <v>157.8412160000002</v>
      </c>
    </row>
    <row r="81" spans="1:9" x14ac:dyDescent="0.3">
      <c r="A81">
        <v>71</v>
      </c>
      <c r="D81">
        <v>0.54600000000000004</v>
      </c>
      <c r="E81">
        <v>0.56699999999999995</v>
      </c>
      <c r="H81">
        <f t="shared" si="3"/>
        <v>0.55649999999999999</v>
      </c>
      <c r="I81">
        <f t="shared" si="4"/>
        <v>501.14309225000028</v>
      </c>
    </row>
    <row r="82" spans="1:9" x14ac:dyDescent="0.3">
      <c r="A82">
        <v>72</v>
      </c>
      <c r="D82">
        <v>0.441</v>
      </c>
      <c r="E82">
        <v>0.434</v>
      </c>
      <c r="H82">
        <f t="shared" si="3"/>
        <v>0.4375</v>
      </c>
      <c r="I82">
        <f t="shared" si="4"/>
        <v>190.30390625000024</v>
      </c>
    </row>
    <row r="83" spans="1:9" x14ac:dyDescent="0.3">
      <c r="A83">
        <v>73</v>
      </c>
      <c r="D83">
        <v>0.39300000000000002</v>
      </c>
      <c r="E83">
        <v>0.4</v>
      </c>
      <c r="H83">
        <f t="shared" si="3"/>
        <v>0.39650000000000002</v>
      </c>
      <c r="I83">
        <f t="shared" si="4"/>
        <v>157.99861225000001</v>
      </c>
    </row>
    <row r="84" spans="1:9" x14ac:dyDescent="0.3">
      <c r="A84">
        <v>74</v>
      </c>
      <c r="D84">
        <v>0.36899999999999999</v>
      </c>
      <c r="E84">
        <v>0.38200000000000001</v>
      </c>
      <c r="H84">
        <f t="shared" si="3"/>
        <v>0.3755</v>
      </c>
      <c r="I84">
        <f t="shared" si="4"/>
        <v>156.29610025000005</v>
      </c>
    </row>
    <row r="85" spans="1:9" x14ac:dyDescent="0.3">
      <c r="A85">
        <v>75</v>
      </c>
      <c r="D85">
        <v>0.52600000000000002</v>
      </c>
      <c r="E85">
        <v>0.54300000000000004</v>
      </c>
      <c r="H85">
        <f t="shared" si="3"/>
        <v>0.53449999999999998</v>
      </c>
      <c r="I85">
        <f t="shared" si="4"/>
        <v>419.34729024999996</v>
      </c>
    </row>
    <row r="86" spans="1:9" x14ac:dyDescent="0.3">
      <c r="A86">
        <v>76</v>
      </c>
      <c r="B86">
        <v>0.50800000000000001</v>
      </c>
      <c r="C86">
        <v>0.51900000000000002</v>
      </c>
      <c r="H86">
        <f>AVERAGE(B86:C86)</f>
        <v>0.51350000000000007</v>
      </c>
      <c r="I86">
        <f>((2280.2*H86^2)-(1744.1*H86)+364.66)</f>
        <v>70.312916450000046</v>
      </c>
    </row>
    <row r="87" spans="1:9" x14ac:dyDescent="0.3">
      <c r="A87">
        <v>77</v>
      </c>
      <c r="B87">
        <v>0.52800000000000002</v>
      </c>
      <c r="C87">
        <v>0.54300000000000004</v>
      </c>
      <c r="H87">
        <f t="shared" ref="H87:H98" si="5">AVERAGE(B87:C87)</f>
        <v>0.53550000000000009</v>
      </c>
      <c r="I87">
        <f t="shared" ref="I87:I98" si="6">((2280.2*H87^2)-(1744.1*H87)+364.66)</f>
        <v>84.565172050000058</v>
      </c>
    </row>
    <row r="88" spans="1:9" x14ac:dyDescent="0.3">
      <c r="A88">
        <v>78</v>
      </c>
      <c r="B88">
        <v>0.57099999999999995</v>
      </c>
      <c r="C88">
        <v>0.58599999999999997</v>
      </c>
      <c r="H88">
        <f t="shared" si="5"/>
        <v>0.57850000000000001</v>
      </c>
      <c r="I88">
        <f t="shared" si="6"/>
        <v>118.79501244999989</v>
      </c>
    </row>
    <row r="89" spans="1:9" x14ac:dyDescent="0.3">
      <c r="A89">
        <v>79</v>
      </c>
      <c r="B89">
        <v>0.55800000000000005</v>
      </c>
      <c r="C89">
        <v>0.56299999999999994</v>
      </c>
      <c r="H89">
        <f t="shared" si="5"/>
        <v>0.5605</v>
      </c>
      <c r="I89">
        <f t="shared" si="6"/>
        <v>103.44015204999999</v>
      </c>
    </row>
    <row r="90" spans="1:9" x14ac:dyDescent="0.3">
      <c r="A90">
        <v>81</v>
      </c>
      <c r="B90">
        <v>0.48699999999999999</v>
      </c>
      <c r="C90">
        <v>0.47699999999999998</v>
      </c>
      <c r="H90">
        <f t="shared" si="5"/>
        <v>0.48199999999999998</v>
      </c>
      <c r="I90">
        <f t="shared" si="6"/>
        <v>53.748984800000073</v>
      </c>
    </row>
    <row r="91" spans="1:9" x14ac:dyDescent="0.3">
      <c r="A91">
        <v>82</v>
      </c>
      <c r="B91">
        <v>0.55200000000000005</v>
      </c>
      <c r="C91">
        <v>0.53300000000000003</v>
      </c>
      <c r="H91">
        <f t="shared" si="5"/>
        <v>0.54249999999999998</v>
      </c>
      <c r="I91">
        <f t="shared" si="6"/>
        <v>89.562861250000026</v>
      </c>
    </row>
    <row r="92" spans="1:9" x14ac:dyDescent="0.3">
      <c r="A92">
        <v>84</v>
      </c>
      <c r="B92">
        <v>0.56100000000000005</v>
      </c>
      <c r="C92">
        <v>0.56799999999999995</v>
      </c>
      <c r="H92">
        <f t="shared" si="5"/>
        <v>0.5645</v>
      </c>
      <c r="I92">
        <f t="shared" si="6"/>
        <v>106.72465204999997</v>
      </c>
    </row>
    <row r="93" spans="1:9" x14ac:dyDescent="0.3">
      <c r="A93">
        <v>85</v>
      </c>
      <c r="B93">
        <v>0.63800000000000001</v>
      </c>
      <c r="C93">
        <v>0.622</v>
      </c>
      <c r="H93">
        <f t="shared" si="5"/>
        <v>0.63</v>
      </c>
      <c r="I93">
        <f t="shared" si="6"/>
        <v>170.88838000000015</v>
      </c>
    </row>
    <row r="94" spans="1:9" x14ac:dyDescent="0.3">
      <c r="A94">
        <v>86</v>
      </c>
      <c r="B94">
        <v>0.54800000000000004</v>
      </c>
      <c r="C94">
        <v>0.53600000000000003</v>
      </c>
      <c r="H94">
        <f t="shared" si="5"/>
        <v>0.54200000000000004</v>
      </c>
      <c r="I94">
        <f t="shared" si="6"/>
        <v>89.198472800000047</v>
      </c>
    </row>
    <row r="95" spans="1:9" x14ac:dyDescent="0.3">
      <c r="A95">
        <v>87</v>
      </c>
      <c r="B95">
        <v>0.57299999999999995</v>
      </c>
      <c r="C95">
        <v>0.53</v>
      </c>
      <c r="H95">
        <f t="shared" si="5"/>
        <v>0.55149999999999999</v>
      </c>
      <c r="I95">
        <f t="shared" si="6"/>
        <v>96.316810450000105</v>
      </c>
    </row>
    <row r="96" spans="1:9" x14ac:dyDescent="0.3">
      <c r="A96">
        <v>88</v>
      </c>
      <c r="B96">
        <v>0.44700000000000001</v>
      </c>
      <c r="C96">
        <v>0.441</v>
      </c>
      <c r="H96">
        <f t="shared" si="5"/>
        <v>0.44400000000000001</v>
      </c>
      <c r="I96">
        <f t="shared" si="6"/>
        <v>39.789107199999989</v>
      </c>
    </row>
    <row r="97" spans="1:9" x14ac:dyDescent="0.3">
      <c r="A97">
        <v>89</v>
      </c>
      <c r="B97">
        <v>0.42599999999999999</v>
      </c>
      <c r="C97">
        <v>0.41</v>
      </c>
      <c r="H97">
        <f t="shared" si="5"/>
        <v>0.41799999999999998</v>
      </c>
      <c r="I97">
        <f t="shared" si="6"/>
        <v>34.031864800000051</v>
      </c>
    </row>
    <row r="98" spans="1:9" x14ac:dyDescent="0.3">
      <c r="A98">
        <v>90</v>
      </c>
      <c r="B98">
        <v>0.53</v>
      </c>
      <c r="C98">
        <v>0.52400000000000002</v>
      </c>
      <c r="H98">
        <f t="shared" si="5"/>
        <v>0.52700000000000002</v>
      </c>
      <c r="I98">
        <f t="shared" si="6"/>
        <v>78.796965799999896</v>
      </c>
    </row>
  </sheetData>
  <mergeCells count="3">
    <mergeCell ref="B3:C3"/>
    <mergeCell ref="D3:E3"/>
    <mergeCell ref="F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C544-0DD1-4D4F-926C-385080A0DA8E}">
  <dimension ref="A1:G75"/>
  <sheetViews>
    <sheetView workbookViewId="0">
      <selection activeCell="K18" sqref="K18"/>
    </sheetView>
  </sheetViews>
  <sheetFormatPr defaultRowHeight="15.6" x14ac:dyDescent="0.3"/>
  <sheetData>
    <row r="1" spans="1:7" x14ac:dyDescent="0.3">
      <c r="A1" t="s">
        <v>3</v>
      </c>
      <c r="B1" t="s">
        <v>4</v>
      </c>
      <c r="C1" t="s">
        <v>11</v>
      </c>
      <c r="D1" t="s">
        <v>13</v>
      </c>
      <c r="E1" t="s">
        <v>17</v>
      </c>
      <c r="F1" t="s">
        <v>19</v>
      </c>
      <c r="G1" t="s">
        <v>21</v>
      </c>
    </row>
    <row r="2" spans="1:7" x14ac:dyDescent="0.3">
      <c r="A2">
        <v>1</v>
      </c>
      <c r="B2" t="s">
        <v>11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</v>
      </c>
      <c r="B3" t="s">
        <v>11</v>
      </c>
      <c r="C3">
        <v>1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3</v>
      </c>
      <c r="B4" t="s">
        <v>11</v>
      </c>
      <c r="C4">
        <v>1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4</v>
      </c>
      <c r="B5" t="s">
        <v>11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5</v>
      </c>
      <c r="B6" t="s">
        <v>11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6</v>
      </c>
      <c r="B7" t="s">
        <v>11</v>
      </c>
      <c r="C7">
        <v>1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7</v>
      </c>
      <c r="B8" t="s">
        <v>11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8</v>
      </c>
      <c r="B9" t="s">
        <v>11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9</v>
      </c>
      <c r="B10" t="s">
        <v>11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10</v>
      </c>
      <c r="B11" t="s">
        <v>11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11</v>
      </c>
      <c r="B12" t="s">
        <v>11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12</v>
      </c>
      <c r="B13" t="s">
        <v>11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13</v>
      </c>
      <c r="B14" t="s">
        <v>11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14</v>
      </c>
      <c r="B15" t="s">
        <v>11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15</v>
      </c>
      <c r="B16" t="s">
        <v>11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16</v>
      </c>
      <c r="B17" t="s">
        <v>13</v>
      </c>
      <c r="C17">
        <v>1</v>
      </c>
      <c r="D17">
        <v>1.2827272727272727</v>
      </c>
      <c r="E17">
        <v>0</v>
      </c>
      <c r="F17">
        <v>0</v>
      </c>
      <c r="G17">
        <v>0</v>
      </c>
    </row>
    <row r="18" spans="1:7" x14ac:dyDescent="0.3">
      <c r="A18">
        <v>17</v>
      </c>
      <c r="B18" t="s">
        <v>13</v>
      </c>
      <c r="C18">
        <v>1</v>
      </c>
      <c r="D18">
        <v>1.2350427350427351</v>
      </c>
      <c r="E18">
        <v>0</v>
      </c>
      <c r="F18">
        <v>0</v>
      </c>
      <c r="G18">
        <v>0</v>
      </c>
    </row>
    <row r="19" spans="1:7" x14ac:dyDescent="0.3">
      <c r="A19">
        <v>18</v>
      </c>
      <c r="B19" t="s">
        <v>13</v>
      </c>
      <c r="C19">
        <v>1</v>
      </c>
      <c r="D19">
        <v>1.3083969465648855</v>
      </c>
      <c r="E19">
        <v>0</v>
      </c>
      <c r="F19">
        <v>0</v>
      </c>
      <c r="G19">
        <v>0</v>
      </c>
    </row>
    <row r="20" spans="1:7" x14ac:dyDescent="0.3">
      <c r="A20">
        <v>19</v>
      </c>
      <c r="B20" t="s">
        <v>13</v>
      </c>
      <c r="C20">
        <v>1</v>
      </c>
      <c r="D20">
        <v>1.2213740458015268</v>
      </c>
      <c r="E20">
        <v>0</v>
      </c>
      <c r="F20">
        <v>0</v>
      </c>
      <c r="G20">
        <v>0</v>
      </c>
    </row>
    <row r="21" spans="1:7" x14ac:dyDescent="0.3">
      <c r="A21">
        <v>20</v>
      </c>
      <c r="B21" t="s">
        <v>13</v>
      </c>
      <c r="C21">
        <v>1</v>
      </c>
      <c r="D21">
        <v>1.2761538461538462</v>
      </c>
      <c r="E21">
        <v>0</v>
      </c>
      <c r="F21">
        <v>0</v>
      </c>
      <c r="G21">
        <v>0</v>
      </c>
    </row>
    <row r="22" spans="1:7" x14ac:dyDescent="0.3">
      <c r="A22">
        <v>21</v>
      </c>
      <c r="B22" t="s">
        <v>13</v>
      </c>
      <c r="C22">
        <v>1</v>
      </c>
      <c r="D22">
        <v>1.2575000000000001</v>
      </c>
      <c r="E22">
        <v>0</v>
      </c>
      <c r="F22">
        <v>0</v>
      </c>
      <c r="G22">
        <v>0</v>
      </c>
    </row>
    <row r="23" spans="1:7" x14ac:dyDescent="0.3">
      <c r="A23">
        <v>22</v>
      </c>
      <c r="B23" t="s">
        <v>13</v>
      </c>
      <c r="C23">
        <v>1</v>
      </c>
      <c r="D23">
        <v>1.1836477987421383</v>
      </c>
      <c r="E23">
        <v>0</v>
      </c>
      <c r="F23">
        <v>0</v>
      </c>
      <c r="G23">
        <v>0</v>
      </c>
    </row>
    <row r="24" spans="1:7" x14ac:dyDescent="0.3">
      <c r="A24">
        <v>23</v>
      </c>
      <c r="B24" t="s">
        <v>13</v>
      </c>
      <c r="C24">
        <v>1</v>
      </c>
      <c r="D24">
        <v>1.2766666666666666</v>
      </c>
      <c r="E24">
        <v>0</v>
      </c>
      <c r="F24">
        <v>0</v>
      </c>
      <c r="G24">
        <v>0</v>
      </c>
    </row>
    <row r="25" spans="1:7" x14ac:dyDescent="0.3">
      <c r="A25">
        <v>24</v>
      </c>
      <c r="B25" t="s">
        <v>13</v>
      </c>
      <c r="C25">
        <v>1</v>
      </c>
      <c r="D25">
        <v>1.1791366906474821</v>
      </c>
      <c r="E25">
        <v>0</v>
      </c>
      <c r="F25">
        <v>0</v>
      </c>
      <c r="G25">
        <v>0</v>
      </c>
    </row>
    <row r="26" spans="1:7" x14ac:dyDescent="0.3">
      <c r="A26">
        <v>25</v>
      </c>
      <c r="B26" t="s">
        <v>13</v>
      </c>
      <c r="C26">
        <v>1</v>
      </c>
      <c r="D26">
        <v>1.2227544910179642</v>
      </c>
      <c r="E26">
        <v>0</v>
      </c>
      <c r="F26">
        <v>0</v>
      </c>
      <c r="G26">
        <v>0</v>
      </c>
    </row>
    <row r="27" spans="1:7" x14ac:dyDescent="0.3">
      <c r="A27">
        <v>26</v>
      </c>
      <c r="B27" t="s">
        <v>13</v>
      </c>
      <c r="C27">
        <v>1</v>
      </c>
      <c r="D27">
        <v>1.0410714285714284</v>
      </c>
      <c r="E27">
        <v>0</v>
      </c>
      <c r="F27">
        <v>0</v>
      </c>
      <c r="G27">
        <v>0</v>
      </c>
    </row>
    <row r="28" spans="1:7" x14ac:dyDescent="0.3">
      <c r="A28">
        <v>27</v>
      </c>
      <c r="B28" t="s">
        <v>13</v>
      </c>
      <c r="C28">
        <v>1</v>
      </c>
      <c r="D28">
        <v>1.2241206030150755</v>
      </c>
      <c r="E28">
        <v>0</v>
      </c>
      <c r="F28">
        <v>0</v>
      </c>
      <c r="G28">
        <v>0</v>
      </c>
    </row>
    <row r="29" spans="1:7" x14ac:dyDescent="0.3">
      <c r="A29">
        <v>28</v>
      </c>
      <c r="B29" t="s">
        <v>13</v>
      </c>
      <c r="C29">
        <v>1</v>
      </c>
      <c r="D29">
        <v>1.2311475409836066</v>
      </c>
      <c r="E29">
        <v>0</v>
      </c>
      <c r="F29">
        <v>0</v>
      </c>
      <c r="G29">
        <v>0</v>
      </c>
    </row>
    <row r="30" spans="1:7" x14ac:dyDescent="0.3">
      <c r="A30">
        <v>29</v>
      </c>
      <c r="B30" t="s">
        <v>13</v>
      </c>
      <c r="C30">
        <v>1</v>
      </c>
      <c r="D30">
        <v>1.1277310924369748</v>
      </c>
      <c r="E30">
        <v>0</v>
      </c>
      <c r="F30">
        <v>0</v>
      </c>
      <c r="G30">
        <v>0</v>
      </c>
    </row>
    <row r="31" spans="1:7" x14ac:dyDescent="0.3">
      <c r="A31">
        <v>31</v>
      </c>
      <c r="B31" t="s">
        <v>17</v>
      </c>
      <c r="C31">
        <v>1</v>
      </c>
      <c r="D31">
        <v>1.2256097560975612</v>
      </c>
      <c r="E31">
        <v>1.3134146341463415</v>
      </c>
      <c r="F31">
        <v>0</v>
      </c>
      <c r="G31">
        <v>0</v>
      </c>
    </row>
    <row r="32" spans="1:7" x14ac:dyDescent="0.3">
      <c r="A32">
        <v>32</v>
      </c>
      <c r="B32" t="s">
        <v>17</v>
      </c>
      <c r="C32">
        <v>1</v>
      </c>
      <c r="D32">
        <v>1.1890243902439026</v>
      </c>
      <c r="E32">
        <v>1.2323170731707318</v>
      </c>
      <c r="F32">
        <v>0</v>
      </c>
      <c r="G32">
        <v>0</v>
      </c>
    </row>
    <row r="33" spans="1:7" x14ac:dyDescent="0.3">
      <c r="A33">
        <v>33</v>
      </c>
      <c r="B33" t="s">
        <v>17</v>
      </c>
      <c r="C33">
        <v>1</v>
      </c>
      <c r="D33">
        <v>1.1764705882352942</v>
      </c>
      <c r="E33">
        <v>1.2654411764705884</v>
      </c>
      <c r="F33">
        <v>0</v>
      </c>
      <c r="G33">
        <v>0</v>
      </c>
    </row>
    <row r="34" spans="1:7" x14ac:dyDescent="0.3">
      <c r="A34">
        <v>34</v>
      </c>
      <c r="B34" t="s">
        <v>17</v>
      </c>
      <c r="C34">
        <v>1</v>
      </c>
      <c r="D34">
        <v>1.2131147540983607</v>
      </c>
      <c r="E34">
        <v>1.2961748633879779</v>
      </c>
      <c r="F34">
        <v>0</v>
      </c>
      <c r="G34">
        <v>0</v>
      </c>
    </row>
    <row r="35" spans="1:7" x14ac:dyDescent="0.3">
      <c r="A35">
        <v>35</v>
      </c>
      <c r="B35" t="s">
        <v>17</v>
      </c>
      <c r="C35">
        <v>1</v>
      </c>
      <c r="D35">
        <v>1.1840490797546013</v>
      </c>
      <c r="E35">
        <v>1.1846625766871164</v>
      </c>
      <c r="F35">
        <v>0</v>
      </c>
      <c r="G35">
        <v>0</v>
      </c>
    </row>
    <row r="36" spans="1:7" x14ac:dyDescent="0.3">
      <c r="A36">
        <v>36</v>
      </c>
      <c r="B36" t="s">
        <v>17</v>
      </c>
      <c r="C36">
        <v>1</v>
      </c>
      <c r="D36">
        <v>1.2241379310344827</v>
      </c>
      <c r="E36">
        <v>1.3008620689655173</v>
      </c>
      <c r="F36">
        <v>0</v>
      </c>
      <c r="G36">
        <v>0</v>
      </c>
    </row>
    <row r="37" spans="1:7" x14ac:dyDescent="0.3">
      <c r="A37">
        <v>37</v>
      </c>
      <c r="B37" t="s">
        <v>17</v>
      </c>
      <c r="C37">
        <v>1</v>
      </c>
      <c r="D37">
        <v>1.2028985507246377</v>
      </c>
      <c r="E37">
        <v>1.232608695652174</v>
      </c>
      <c r="F37">
        <v>0</v>
      </c>
      <c r="G37">
        <v>0</v>
      </c>
    </row>
    <row r="38" spans="1:7" x14ac:dyDescent="0.3">
      <c r="A38">
        <v>38</v>
      </c>
      <c r="B38" t="s">
        <v>17</v>
      </c>
      <c r="C38">
        <v>1</v>
      </c>
      <c r="D38">
        <v>1.1828571428571428</v>
      </c>
      <c r="E38">
        <v>1.2297142857142858</v>
      </c>
      <c r="F38">
        <v>0</v>
      </c>
      <c r="G38">
        <v>0</v>
      </c>
    </row>
    <row r="39" spans="1:7" x14ac:dyDescent="0.3">
      <c r="A39">
        <v>39</v>
      </c>
      <c r="B39" t="s">
        <v>17</v>
      </c>
      <c r="C39">
        <v>1</v>
      </c>
      <c r="D39">
        <v>1.2483221476510067</v>
      </c>
      <c r="E39">
        <v>1.2818791946308725</v>
      </c>
      <c r="F39">
        <v>0</v>
      </c>
      <c r="G39">
        <v>0</v>
      </c>
    </row>
    <row r="40" spans="1:7" x14ac:dyDescent="0.3">
      <c r="A40">
        <v>40</v>
      </c>
      <c r="B40" t="s">
        <v>17</v>
      </c>
      <c r="C40">
        <v>1</v>
      </c>
      <c r="D40">
        <v>1.2287581699346406</v>
      </c>
      <c r="E40">
        <v>1.2620915032679738</v>
      </c>
      <c r="F40">
        <v>0</v>
      </c>
      <c r="G40">
        <v>0</v>
      </c>
    </row>
    <row r="41" spans="1:7" x14ac:dyDescent="0.3">
      <c r="A41">
        <v>41</v>
      </c>
      <c r="B41" t="s">
        <v>17</v>
      </c>
      <c r="C41">
        <v>1</v>
      </c>
      <c r="D41">
        <v>1.3157894736842104</v>
      </c>
      <c r="E41">
        <v>1.3614035087719298</v>
      </c>
      <c r="F41">
        <v>0</v>
      </c>
      <c r="G41">
        <v>0</v>
      </c>
    </row>
    <row r="42" spans="1:7" x14ac:dyDescent="0.3">
      <c r="A42">
        <v>42</v>
      </c>
      <c r="B42" t="s">
        <v>17</v>
      </c>
      <c r="C42">
        <v>1</v>
      </c>
      <c r="D42">
        <v>1.2885906040268456</v>
      </c>
      <c r="E42">
        <v>1.3375838926174497</v>
      </c>
      <c r="F42">
        <v>0</v>
      </c>
      <c r="G42">
        <v>0</v>
      </c>
    </row>
    <row r="43" spans="1:7" x14ac:dyDescent="0.3">
      <c r="A43">
        <v>43</v>
      </c>
      <c r="B43" t="s">
        <v>17</v>
      </c>
      <c r="C43">
        <v>1</v>
      </c>
      <c r="D43">
        <v>1.1224489795918369</v>
      </c>
      <c r="E43">
        <v>1.1360544217687074</v>
      </c>
      <c r="F43">
        <v>0</v>
      </c>
      <c r="G43">
        <v>0</v>
      </c>
    </row>
    <row r="44" spans="1:7" x14ac:dyDescent="0.3">
      <c r="A44">
        <v>44</v>
      </c>
      <c r="B44" t="s">
        <v>17</v>
      </c>
      <c r="C44">
        <v>1</v>
      </c>
      <c r="D44">
        <v>1.2556390977443608</v>
      </c>
      <c r="E44">
        <v>1.3263157894736841</v>
      </c>
      <c r="F44">
        <v>0</v>
      </c>
      <c r="G44">
        <v>0</v>
      </c>
    </row>
    <row r="45" spans="1:7" x14ac:dyDescent="0.3">
      <c r="A45">
        <v>45</v>
      </c>
      <c r="B45" t="s">
        <v>17</v>
      </c>
      <c r="C45">
        <v>1</v>
      </c>
      <c r="D45">
        <v>1.1621621621621621</v>
      </c>
      <c r="E45">
        <v>1.2439189189189188</v>
      </c>
      <c r="F45">
        <v>0</v>
      </c>
      <c r="G45">
        <v>0</v>
      </c>
    </row>
    <row r="46" spans="1:7" x14ac:dyDescent="0.3">
      <c r="A46">
        <v>46</v>
      </c>
      <c r="B46" t="s">
        <v>19</v>
      </c>
      <c r="C46">
        <v>1</v>
      </c>
      <c r="D46">
        <v>1.2561983471074381</v>
      </c>
      <c r="E46">
        <v>1.3471074380165291</v>
      </c>
      <c r="F46">
        <v>1.4644628099173553</v>
      </c>
      <c r="G46">
        <v>0</v>
      </c>
    </row>
    <row r="47" spans="1:7" x14ac:dyDescent="0.3">
      <c r="A47">
        <v>47</v>
      </c>
      <c r="B47" t="s">
        <v>19</v>
      </c>
      <c r="C47">
        <v>1</v>
      </c>
      <c r="D47">
        <v>1.2681159420289854</v>
      </c>
      <c r="E47">
        <v>1.3043478260869565</v>
      </c>
      <c r="F47">
        <v>1.4173913043478259</v>
      </c>
      <c r="G47">
        <v>0</v>
      </c>
    </row>
    <row r="48" spans="1:7" x14ac:dyDescent="0.3">
      <c r="A48">
        <v>48</v>
      </c>
      <c r="B48" t="s">
        <v>19</v>
      </c>
      <c r="C48">
        <v>1</v>
      </c>
      <c r="D48">
        <v>1.2285714285714284</v>
      </c>
      <c r="E48">
        <v>1.2714285714285716</v>
      </c>
      <c r="F48">
        <v>1.3542857142857143</v>
      </c>
      <c r="G48">
        <v>0</v>
      </c>
    </row>
    <row r="49" spans="1:7" x14ac:dyDescent="0.3">
      <c r="A49">
        <v>49</v>
      </c>
      <c r="B49" t="s">
        <v>19</v>
      </c>
      <c r="C49">
        <v>1</v>
      </c>
      <c r="D49">
        <v>1.2796610169491525</v>
      </c>
      <c r="E49">
        <v>1.3220338983050846</v>
      </c>
      <c r="F49">
        <v>1.4262711864406776</v>
      </c>
      <c r="G49">
        <v>0</v>
      </c>
    </row>
    <row r="50" spans="1:7" x14ac:dyDescent="0.3">
      <c r="A50">
        <v>50</v>
      </c>
      <c r="B50" t="s">
        <v>19</v>
      </c>
      <c r="C50">
        <v>1</v>
      </c>
      <c r="D50">
        <v>1.6301369863013699</v>
      </c>
      <c r="E50">
        <v>1.6575342465753424</v>
      </c>
      <c r="F50">
        <v>1.7383561643835617</v>
      </c>
      <c r="G50">
        <v>0</v>
      </c>
    </row>
    <row r="51" spans="1:7" x14ac:dyDescent="0.3">
      <c r="A51">
        <v>51</v>
      </c>
      <c r="B51" t="s">
        <v>19</v>
      </c>
      <c r="C51">
        <v>1</v>
      </c>
      <c r="D51">
        <v>1.6263736263736266</v>
      </c>
      <c r="E51">
        <v>1.6923076923076925</v>
      </c>
      <c r="F51">
        <v>1.7252747252747254</v>
      </c>
      <c r="G51">
        <v>0</v>
      </c>
    </row>
    <row r="52" spans="1:7" x14ac:dyDescent="0.3">
      <c r="A52">
        <v>52</v>
      </c>
      <c r="B52" t="s">
        <v>19</v>
      </c>
      <c r="C52">
        <v>1</v>
      </c>
      <c r="D52">
        <v>1.6461538461538461</v>
      </c>
      <c r="E52">
        <v>1.6615384615384616</v>
      </c>
      <c r="F52">
        <v>1.7492307692307691</v>
      </c>
      <c r="G52">
        <v>0</v>
      </c>
    </row>
    <row r="53" spans="1:7" x14ac:dyDescent="0.3">
      <c r="A53">
        <v>53</v>
      </c>
      <c r="B53" t="s">
        <v>19</v>
      </c>
      <c r="C53">
        <v>1</v>
      </c>
      <c r="D53">
        <v>1.5575221238938053</v>
      </c>
      <c r="E53">
        <v>1.6194690265486724</v>
      </c>
      <c r="F53">
        <v>1.6929203539823008</v>
      </c>
      <c r="G53">
        <v>0</v>
      </c>
    </row>
    <row r="54" spans="1:7" x14ac:dyDescent="0.3">
      <c r="A54">
        <v>54</v>
      </c>
      <c r="B54" t="s">
        <v>19</v>
      </c>
      <c r="C54">
        <v>1</v>
      </c>
      <c r="D54">
        <v>1.182608695652174</v>
      </c>
      <c r="E54">
        <v>1.2434782608695654</v>
      </c>
      <c r="F54">
        <v>1.2913043478260868</v>
      </c>
      <c r="G54">
        <v>0</v>
      </c>
    </row>
    <row r="55" spans="1:7" x14ac:dyDescent="0.3">
      <c r="A55">
        <v>55</v>
      </c>
      <c r="B55" t="s">
        <v>19</v>
      </c>
      <c r="C55">
        <v>1</v>
      </c>
      <c r="D55">
        <v>1.2300884955752212</v>
      </c>
      <c r="E55">
        <v>1.2831858407079646</v>
      </c>
      <c r="F55">
        <v>1.3814159292035397</v>
      </c>
      <c r="G55">
        <v>0</v>
      </c>
    </row>
    <row r="56" spans="1:7" x14ac:dyDescent="0.3">
      <c r="A56">
        <v>56</v>
      </c>
      <c r="B56" t="s">
        <v>19</v>
      </c>
      <c r="C56">
        <v>1</v>
      </c>
      <c r="D56">
        <v>1.3032258064516129</v>
      </c>
      <c r="E56">
        <v>1.3354838709677419</v>
      </c>
      <c r="F56">
        <v>1.3877419354838711</v>
      </c>
      <c r="G56">
        <v>0</v>
      </c>
    </row>
    <row r="57" spans="1:7" x14ac:dyDescent="0.3">
      <c r="A57">
        <v>57</v>
      </c>
      <c r="B57" t="s">
        <v>19</v>
      </c>
      <c r="C57">
        <v>1</v>
      </c>
      <c r="D57">
        <v>1.262135922330097</v>
      </c>
      <c r="E57">
        <v>1.3592233009708736</v>
      </c>
      <c r="F57">
        <v>1.4951456310679612</v>
      </c>
      <c r="G57">
        <v>0</v>
      </c>
    </row>
    <row r="58" spans="1:7" x14ac:dyDescent="0.3">
      <c r="A58">
        <v>58</v>
      </c>
      <c r="B58" t="s">
        <v>19</v>
      </c>
      <c r="C58">
        <v>1</v>
      </c>
      <c r="D58">
        <v>1.2573529411764708</v>
      </c>
      <c r="E58">
        <v>1.3235294117647058</v>
      </c>
      <c r="F58">
        <v>1.4749999999999999</v>
      </c>
      <c r="G58">
        <v>0</v>
      </c>
    </row>
    <row r="59" spans="1:7" x14ac:dyDescent="0.3">
      <c r="A59">
        <v>59</v>
      </c>
      <c r="B59" t="s">
        <v>19</v>
      </c>
      <c r="C59">
        <v>1</v>
      </c>
      <c r="D59">
        <v>1.3007518796992481</v>
      </c>
      <c r="E59">
        <v>1.3984962406015038</v>
      </c>
      <c r="F59">
        <v>1.5684210526315787</v>
      </c>
      <c r="G59">
        <v>0</v>
      </c>
    </row>
    <row r="60" spans="1:7" x14ac:dyDescent="0.3">
      <c r="A60">
        <v>60</v>
      </c>
      <c r="B60" t="s">
        <v>19</v>
      </c>
      <c r="C60">
        <v>1</v>
      </c>
      <c r="D60">
        <v>1.3362831858407078</v>
      </c>
      <c r="E60">
        <v>1.3805309734513274</v>
      </c>
      <c r="F60">
        <v>1.4672566371681413</v>
      </c>
      <c r="G60">
        <v>0</v>
      </c>
    </row>
    <row r="61" spans="1:7" x14ac:dyDescent="0.3">
      <c r="A61">
        <v>61</v>
      </c>
      <c r="B61" t="s">
        <v>21</v>
      </c>
      <c r="C61">
        <v>1</v>
      </c>
      <c r="D61">
        <v>1.2925170068027212</v>
      </c>
      <c r="E61">
        <v>1.3401360544217686</v>
      </c>
      <c r="F61">
        <v>1.4829931972789117</v>
      </c>
      <c r="G61">
        <v>1.6190476190476191</v>
      </c>
    </row>
    <row r="62" spans="1:7" x14ac:dyDescent="0.3">
      <c r="A62">
        <v>62</v>
      </c>
      <c r="B62" t="s">
        <v>21</v>
      </c>
      <c r="C62">
        <v>1</v>
      </c>
      <c r="D62">
        <v>1.1388888888888888</v>
      </c>
      <c r="E62">
        <v>1.1388888888888888</v>
      </c>
      <c r="F62">
        <v>1.1722222222222223</v>
      </c>
      <c r="G62">
        <v>0.93555555555555558</v>
      </c>
    </row>
    <row r="63" spans="1:7" x14ac:dyDescent="0.3">
      <c r="A63">
        <v>63</v>
      </c>
      <c r="B63" t="s">
        <v>21</v>
      </c>
      <c r="C63">
        <v>1</v>
      </c>
      <c r="D63">
        <v>1.186813186813187</v>
      </c>
      <c r="E63">
        <v>1.2252747252747254</v>
      </c>
      <c r="F63">
        <v>1.2912087912087913</v>
      </c>
      <c r="G63">
        <v>1.365934065934066</v>
      </c>
    </row>
    <row r="64" spans="1:7" x14ac:dyDescent="0.3">
      <c r="A64">
        <v>64</v>
      </c>
      <c r="B64" t="s">
        <v>21</v>
      </c>
      <c r="C64">
        <v>1</v>
      </c>
      <c r="D64">
        <v>1.248</v>
      </c>
      <c r="E64">
        <v>1.3359999999999999</v>
      </c>
      <c r="F64">
        <v>1.3840000000000001</v>
      </c>
      <c r="G64">
        <v>1.6272</v>
      </c>
    </row>
    <row r="65" spans="1:7" x14ac:dyDescent="0.3">
      <c r="A65">
        <v>65</v>
      </c>
      <c r="B65" t="s">
        <v>21</v>
      </c>
      <c r="C65">
        <v>1</v>
      </c>
      <c r="D65">
        <v>1.2518518518518518</v>
      </c>
      <c r="E65">
        <v>1.3259259259259257</v>
      </c>
      <c r="F65">
        <v>1.4</v>
      </c>
      <c r="G65">
        <v>1.585925925925926</v>
      </c>
    </row>
    <row r="66" spans="1:7" x14ac:dyDescent="0.3">
      <c r="A66">
        <v>66</v>
      </c>
      <c r="B66" t="s">
        <v>21</v>
      </c>
      <c r="C66">
        <v>1</v>
      </c>
      <c r="D66">
        <v>1.2773109243697478</v>
      </c>
      <c r="E66">
        <v>1.3445378151260503</v>
      </c>
      <c r="F66">
        <v>1.4201680672268906</v>
      </c>
      <c r="G66">
        <v>1.5949579831932772</v>
      </c>
    </row>
    <row r="67" spans="1:7" x14ac:dyDescent="0.3">
      <c r="A67">
        <v>67</v>
      </c>
      <c r="B67" t="s">
        <v>21</v>
      </c>
      <c r="C67">
        <v>1</v>
      </c>
      <c r="D67">
        <v>1.2160493827160495</v>
      </c>
      <c r="E67">
        <v>1.2592592592592593</v>
      </c>
      <c r="F67">
        <v>1.2901234567901234</v>
      </c>
      <c r="G67">
        <v>1.338888888888889</v>
      </c>
    </row>
    <row r="68" spans="1:7" x14ac:dyDescent="0.3">
      <c r="A68">
        <v>68</v>
      </c>
      <c r="B68" t="s">
        <v>21</v>
      </c>
      <c r="C68">
        <v>1</v>
      </c>
      <c r="D68">
        <v>1.2349397590361444</v>
      </c>
      <c r="E68">
        <v>1.2771084337349397</v>
      </c>
      <c r="F68">
        <v>1.3253012048192769</v>
      </c>
      <c r="G68">
        <v>1.4186746987951806</v>
      </c>
    </row>
    <row r="69" spans="1:7" x14ac:dyDescent="0.3">
      <c r="A69">
        <v>69</v>
      </c>
      <c r="B69" t="s">
        <v>21</v>
      </c>
      <c r="C69">
        <v>1</v>
      </c>
      <c r="D69">
        <v>1.201834862385321</v>
      </c>
      <c r="E69">
        <v>1.2477064220183485</v>
      </c>
      <c r="F69">
        <v>1.3302752293577982</v>
      </c>
      <c r="G69">
        <v>1.6137614678899082</v>
      </c>
    </row>
    <row r="70" spans="1:7" x14ac:dyDescent="0.3">
      <c r="A70">
        <v>70</v>
      </c>
      <c r="B70" t="s">
        <v>21</v>
      </c>
      <c r="C70">
        <v>1</v>
      </c>
      <c r="D70">
        <v>1.1409395973154361</v>
      </c>
      <c r="E70">
        <v>1.1610738255033557</v>
      </c>
      <c r="F70">
        <v>1.1946308724832215</v>
      </c>
      <c r="G70">
        <v>1.2919463087248322</v>
      </c>
    </row>
    <row r="71" spans="1:7" x14ac:dyDescent="0.3">
      <c r="A71">
        <v>71</v>
      </c>
      <c r="B71" t="s">
        <v>21</v>
      </c>
      <c r="C71">
        <v>1</v>
      </c>
      <c r="D71">
        <v>1.2999999999999998</v>
      </c>
      <c r="E71">
        <v>1.3076923076923077</v>
      </c>
      <c r="F71">
        <v>1.3846153846153846</v>
      </c>
      <c r="G71">
        <v>1.426923076923077</v>
      </c>
    </row>
    <row r="72" spans="1:7" x14ac:dyDescent="0.3">
      <c r="A72">
        <v>72</v>
      </c>
      <c r="B72" t="s">
        <v>21</v>
      </c>
      <c r="C72">
        <v>1</v>
      </c>
      <c r="D72">
        <v>1.2578616352201257</v>
      </c>
      <c r="E72">
        <v>1.2955974842767297</v>
      </c>
      <c r="F72">
        <v>1.4276729559748427</v>
      </c>
      <c r="G72">
        <v>1.5949685534591194</v>
      </c>
    </row>
    <row r="73" spans="1:7" x14ac:dyDescent="0.3">
      <c r="A73">
        <v>73</v>
      </c>
      <c r="B73" t="s">
        <v>21</v>
      </c>
      <c r="C73">
        <v>1</v>
      </c>
      <c r="D73">
        <v>1.6276595744680851</v>
      </c>
      <c r="E73">
        <v>1.7021276595744681</v>
      </c>
      <c r="F73">
        <v>1.8191489361702129</v>
      </c>
      <c r="G73">
        <v>2.0797872340425534</v>
      </c>
    </row>
    <row r="74" spans="1:7" x14ac:dyDescent="0.3">
      <c r="A74">
        <v>74</v>
      </c>
      <c r="B74" t="s">
        <v>21</v>
      </c>
      <c r="C74">
        <v>1</v>
      </c>
      <c r="D74">
        <v>1.6363636363636362</v>
      </c>
      <c r="E74">
        <v>1.6818181818181817</v>
      </c>
      <c r="F74">
        <v>1.7954545454545454</v>
      </c>
      <c r="G74">
        <v>2.2852272727272727</v>
      </c>
    </row>
    <row r="75" spans="1:7" x14ac:dyDescent="0.3">
      <c r="A75">
        <v>75</v>
      </c>
      <c r="B75" t="s">
        <v>21</v>
      </c>
      <c r="C75">
        <v>1</v>
      </c>
      <c r="D75">
        <v>1.6219512195121955</v>
      </c>
      <c r="E75">
        <v>1.7317073170731707</v>
      </c>
      <c r="F75">
        <v>1.878048780487805</v>
      </c>
      <c r="G75">
        <v>2.2317073170731709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6869-24FA-4AF2-B065-1686C191806E}">
  <dimension ref="A1:B73"/>
  <sheetViews>
    <sheetView workbookViewId="0">
      <selection activeCell="E83" sqref="E83"/>
    </sheetView>
  </sheetViews>
  <sheetFormatPr defaultRowHeight="15.6" x14ac:dyDescent="0.3"/>
  <sheetData>
    <row r="1" spans="1:2" x14ac:dyDescent="0.3">
      <c r="A1" t="s">
        <v>45</v>
      </c>
      <c r="B1" t="s">
        <v>44</v>
      </c>
    </row>
    <row r="2" spans="1:2" x14ac:dyDescent="0.3">
      <c r="A2">
        <v>1</v>
      </c>
      <c r="B2">
        <v>113.07975679999998</v>
      </c>
    </row>
    <row r="3" spans="1:2" x14ac:dyDescent="0.3">
      <c r="A3">
        <v>2</v>
      </c>
      <c r="B3">
        <v>33.951361249999991</v>
      </c>
    </row>
    <row r="4" spans="1:2" x14ac:dyDescent="0.3">
      <c r="A4">
        <v>3</v>
      </c>
      <c r="B4">
        <v>42.18078079999998</v>
      </c>
    </row>
    <row r="5" spans="1:2" x14ac:dyDescent="0.3">
      <c r="A5">
        <v>4</v>
      </c>
      <c r="B5">
        <v>36.091388199999983</v>
      </c>
    </row>
    <row r="6" spans="1:2" x14ac:dyDescent="0.3">
      <c r="A6">
        <v>5</v>
      </c>
      <c r="B6">
        <v>31.35745280000009</v>
      </c>
    </row>
    <row r="7" spans="1:2" x14ac:dyDescent="0.3">
      <c r="A7">
        <v>6</v>
      </c>
      <c r="B7">
        <v>56.796406450000006</v>
      </c>
    </row>
    <row r="8" spans="1:2" x14ac:dyDescent="0.3">
      <c r="A8">
        <v>7</v>
      </c>
      <c r="B8">
        <v>67.381594449999909</v>
      </c>
    </row>
    <row r="9" spans="1:2" x14ac:dyDescent="0.3">
      <c r="A9">
        <v>8</v>
      </c>
      <c r="B9">
        <v>51.106995200000085</v>
      </c>
    </row>
    <row r="10" spans="1:2" x14ac:dyDescent="0.3">
      <c r="A10">
        <v>9</v>
      </c>
      <c r="B10">
        <v>60.036504999999977</v>
      </c>
    </row>
    <row r="11" spans="1:2" x14ac:dyDescent="0.3">
      <c r="A11">
        <v>10</v>
      </c>
      <c r="B11">
        <v>99.437136049999992</v>
      </c>
    </row>
    <row r="12" spans="1:2" x14ac:dyDescent="0.3">
      <c r="A12">
        <v>11</v>
      </c>
      <c r="B12">
        <v>71.214544999999987</v>
      </c>
    </row>
    <row r="13" spans="1:2" x14ac:dyDescent="0.3">
      <c r="A13">
        <v>12</v>
      </c>
      <c r="B13">
        <v>50.682625000000087</v>
      </c>
    </row>
    <row r="14" spans="1:2" x14ac:dyDescent="0.3">
      <c r="A14">
        <v>13</v>
      </c>
      <c r="B14">
        <v>113.51255125000006</v>
      </c>
    </row>
    <row r="15" spans="1:2" x14ac:dyDescent="0.3">
      <c r="A15">
        <v>14</v>
      </c>
      <c r="B15">
        <v>38.702719999999999</v>
      </c>
    </row>
    <row r="16" spans="1:2" x14ac:dyDescent="0.3">
      <c r="A16">
        <v>15</v>
      </c>
      <c r="B16">
        <v>118.79501244999989</v>
      </c>
    </row>
    <row r="17" spans="1:2" x14ac:dyDescent="0.3">
      <c r="A17">
        <v>16</v>
      </c>
      <c r="B17">
        <v>166.39066900000017</v>
      </c>
    </row>
    <row r="18" spans="1:2" x14ac:dyDescent="0.3">
      <c r="A18">
        <v>18</v>
      </c>
      <c r="B18">
        <v>157.13974225000015</v>
      </c>
    </row>
    <row r="19" spans="1:2" x14ac:dyDescent="0.3">
      <c r="A19">
        <v>19</v>
      </c>
      <c r="B19">
        <v>159.01969025000028</v>
      </c>
    </row>
    <row r="20" spans="1:2" x14ac:dyDescent="0.3">
      <c r="A20">
        <v>20</v>
      </c>
      <c r="B20">
        <v>160.9892210000001</v>
      </c>
    </row>
    <row r="21" spans="1:2" x14ac:dyDescent="0.3">
      <c r="A21">
        <v>21</v>
      </c>
      <c r="B21">
        <v>164.64927025000037</v>
      </c>
    </row>
    <row r="22" spans="1:2" x14ac:dyDescent="0.3">
      <c r="A22">
        <v>22</v>
      </c>
      <c r="B22">
        <v>156.21977600000037</v>
      </c>
    </row>
    <row r="23" spans="1:2" x14ac:dyDescent="0.3">
      <c r="A23">
        <v>23</v>
      </c>
      <c r="B23">
        <v>210.9039039999999</v>
      </c>
    </row>
    <row r="24" spans="1:2" x14ac:dyDescent="0.3">
      <c r="A24">
        <v>24</v>
      </c>
      <c r="B24">
        <v>487.39190900000068</v>
      </c>
    </row>
    <row r="25" spans="1:2" x14ac:dyDescent="0.3">
      <c r="A25">
        <v>25</v>
      </c>
      <c r="B25">
        <v>162.55876400000005</v>
      </c>
    </row>
    <row r="26" spans="1:2" x14ac:dyDescent="0.3">
      <c r="A26">
        <v>26</v>
      </c>
      <c r="B26">
        <v>156.89905624999994</v>
      </c>
    </row>
    <row r="27" spans="1:2" x14ac:dyDescent="0.3">
      <c r="A27">
        <v>27</v>
      </c>
      <c r="B27">
        <v>171.73152500000015</v>
      </c>
    </row>
    <row r="28" spans="1:2" x14ac:dyDescent="0.3">
      <c r="A28">
        <v>28</v>
      </c>
      <c r="B28">
        <v>159.01969025000028</v>
      </c>
    </row>
    <row r="29" spans="1:2" x14ac:dyDescent="0.3">
      <c r="A29">
        <v>29</v>
      </c>
      <c r="B29">
        <v>159.46300024999999</v>
      </c>
    </row>
    <row r="30" spans="1:2" x14ac:dyDescent="0.3">
      <c r="A30">
        <v>31</v>
      </c>
      <c r="B30">
        <v>162.55876400000005</v>
      </c>
    </row>
    <row r="31" spans="1:2" x14ac:dyDescent="0.3">
      <c r="A31">
        <v>32</v>
      </c>
      <c r="B31">
        <v>314.64310024999946</v>
      </c>
    </row>
    <row r="32" spans="1:2" x14ac:dyDescent="0.3">
      <c r="A32">
        <v>33</v>
      </c>
      <c r="B32">
        <v>156.55927599999984</v>
      </c>
    </row>
    <row r="33" spans="1:2" x14ac:dyDescent="0.3">
      <c r="A33">
        <v>34</v>
      </c>
      <c r="B33">
        <v>167.38045025000048</v>
      </c>
    </row>
    <row r="34" spans="1:2" x14ac:dyDescent="0.3">
      <c r="A34">
        <v>35</v>
      </c>
      <c r="B34">
        <v>305.36110900000011</v>
      </c>
    </row>
    <row r="35" spans="1:2" x14ac:dyDescent="0.3">
      <c r="A35">
        <v>36</v>
      </c>
      <c r="B35">
        <v>156.39710000000036</v>
      </c>
    </row>
    <row r="36" spans="1:2" x14ac:dyDescent="0.3">
      <c r="A36">
        <v>37</v>
      </c>
      <c r="B36">
        <v>167.82972500000028</v>
      </c>
    </row>
    <row r="37" spans="1:2" x14ac:dyDescent="0.3">
      <c r="A37">
        <v>38</v>
      </c>
      <c r="B37">
        <v>160.28140625000049</v>
      </c>
    </row>
    <row r="38" spans="1:2" x14ac:dyDescent="0.3">
      <c r="A38">
        <v>39</v>
      </c>
      <c r="B38">
        <v>164.02348025000038</v>
      </c>
    </row>
    <row r="39" spans="1:2" x14ac:dyDescent="0.3">
      <c r="A39">
        <v>40</v>
      </c>
      <c r="B39">
        <v>156.65840225000011</v>
      </c>
    </row>
    <row r="40" spans="1:2" x14ac:dyDescent="0.3">
      <c r="A40">
        <v>41</v>
      </c>
      <c r="B40">
        <v>166.31350400000002</v>
      </c>
    </row>
    <row r="41" spans="1:2" x14ac:dyDescent="0.3">
      <c r="A41">
        <v>42</v>
      </c>
      <c r="B41">
        <v>169.66825625000041</v>
      </c>
    </row>
    <row r="42" spans="1:2" x14ac:dyDescent="0.3">
      <c r="A42">
        <v>44</v>
      </c>
      <c r="B42">
        <v>160.05686900000001</v>
      </c>
    </row>
    <row r="43" spans="1:2" x14ac:dyDescent="0.3">
      <c r="A43">
        <v>45</v>
      </c>
      <c r="B43">
        <v>160.74758225000039</v>
      </c>
    </row>
    <row r="44" spans="1:2" x14ac:dyDescent="0.3">
      <c r="A44">
        <v>46</v>
      </c>
      <c r="B44">
        <v>163.7861810000004</v>
      </c>
    </row>
    <row r="45" spans="1:2" x14ac:dyDescent="0.3">
      <c r="A45">
        <v>47</v>
      </c>
      <c r="B45">
        <v>164.33352500000012</v>
      </c>
    </row>
    <row r="46" spans="1:2" x14ac:dyDescent="0.3">
      <c r="A46">
        <v>48</v>
      </c>
      <c r="B46">
        <v>157.5118999999998</v>
      </c>
    </row>
    <row r="47" spans="1:2" x14ac:dyDescent="0.3">
      <c r="A47">
        <v>49</v>
      </c>
      <c r="B47">
        <v>214.12151599999987</v>
      </c>
    </row>
    <row r="48" spans="1:2" x14ac:dyDescent="0.3">
      <c r="A48">
        <v>50</v>
      </c>
      <c r="B48">
        <v>449.64194900000024</v>
      </c>
    </row>
    <row r="49" spans="1:2" x14ac:dyDescent="0.3">
      <c r="A49">
        <v>51</v>
      </c>
      <c r="B49">
        <v>182.07493025000048</v>
      </c>
    </row>
    <row r="50" spans="1:2" x14ac:dyDescent="0.3">
      <c r="A50">
        <v>52</v>
      </c>
      <c r="B50">
        <v>170.88911600000017</v>
      </c>
    </row>
    <row r="51" spans="1:2" x14ac:dyDescent="0.3">
      <c r="A51">
        <v>53</v>
      </c>
      <c r="B51">
        <v>162.28292225000018</v>
      </c>
    </row>
    <row r="52" spans="1:2" x14ac:dyDescent="0.3">
      <c r="A52">
        <v>54</v>
      </c>
      <c r="B52">
        <v>169.75680624999995</v>
      </c>
    </row>
    <row r="53" spans="1:2" x14ac:dyDescent="0.3">
      <c r="A53">
        <v>55</v>
      </c>
      <c r="B53">
        <v>170.88911600000017</v>
      </c>
    </row>
    <row r="54" spans="1:2" x14ac:dyDescent="0.3">
      <c r="A54">
        <v>56</v>
      </c>
      <c r="B54">
        <v>191.57068225000017</v>
      </c>
    </row>
    <row r="55" spans="1:2" x14ac:dyDescent="0.3">
      <c r="A55">
        <v>57</v>
      </c>
      <c r="B55">
        <v>162.34364225000007</v>
      </c>
    </row>
    <row r="56" spans="1:2" x14ac:dyDescent="0.3">
      <c r="A56">
        <v>58</v>
      </c>
      <c r="B56">
        <v>160.74758225000039</v>
      </c>
    </row>
    <row r="57" spans="1:2" x14ac:dyDescent="0.3">
      <c r="A57">
        <v>59</v>
      </c>
      <c r="B57">
        <v>158.33050624999998</v>
      </c>
    </row>
    <row r="58" spans="1:2" x14ac:dyDescent="0.3">
      <c r="A58">
        <v>60</v>
      </c>
      <c r="B58">
        <v>263.14102025000039</v>
      </c>
    </row>
    <row r="59" spans="1:2" x14ac:dyDescent="0.3">
      <c r="A59">
        <v>61</v>
      </c>
      <c r="B59">
        <v>1018.29480625</v>
      </c>
    </row>
    <row r="60" spans="1:2" x14ac:dyDescent="0.3">
      <c r="A60">
        <v>62</v>
      </c>
      <c r="B60">
        <v>2279.0699960000002</v>
      </c>
    </row>
    <row r="61" spans="1:2" x14ac:dyDescent="0.3">
      <c r="A61">
        <v>63</v>
      </c>
      <c r="B61">
        <v>207.01015025000032</v>
      </c>
    </row>
    <row r="62" spans="1:2" x14ac:dyDescent="0.3">
      <c r="A62">
        <v>64</v>
      </c>
      <c r="B62">
        <v>159.46300024999999</v>
      </c>
    </row>
    <row r="63" spans="1:2" x14ac:dyDescent="0.3">
      <c r="A63">
        <v>65</v>
      </c>
      <c r="B63">
        <v>164.72011024999972</v>
      </c>
    </row>
    <row r="64" spans="1:2" x14ac:dyDescent="0.3">
      <c r="A64">
        <v>66</v>
      </c>
      <c r="B64">
        <v>293.8375562500002</v>
      </c>
    </row>
    <row r="65" spans="1:2" x14ac:dyDescent="0.3">
      <c r="A65">
        <v>67</v>
      </c>
      <c r="B65">
        <v>159.88610225000002</v>
      </c>
    </row>
    <row r="66" spans="1:2" x14ac:dyDescent="0.3">
      <c r="A66">
        <v>68</v>
      </c>
      <c r="B66">
        <v>165.29786225000038</v>
      </c>
    </row>
    <row r="67" spans="1:2" x14ac:dyDescent="0.3">
      <c r="A67">
        <v>69</v>
      </c>
      <c r="B67">
        <v>157.54352500000039</v>
      </c>
    </row>
    <row r="68" spans="1:2" x14ac:dyDescent="0.3">
      <c r="A68">
        <v>70</v>
      </c>
      <c r="B68">
        <v>157.8412160000002</v>
      </c>
    </row>
    <row r="69" spans="1:2" x14ac:dyDescent="0.3">
      <c r="A69">
        <v>71</v>
      </c>
      <c r="B69">
        <v>501.14309225000028</v>
      </c>
    </row>
    <row r="70" spans="1:2" x14ac:dyDescent="0.3">
      <c r="A70">
        <v>72</v>
      </c>
      <c r="B70">
        <v>190.30390625000024</v>
      </c>
    </row>
    <row r="71" spans="1:2" x14ac:dyDescent="0.3">
      <c r="A71">
        <v>73</v>
      </c>
      <c r="B71">
        <v>157.99861225000001</v>
      </c>
    </row>
    <row r="72" spans="1:2" x14ac:dyDescent="0.3">
      <c r="A72">
        <v>74</v>
      </c>
      <c r="B72">
        <v>156.29610025000005</v>
      </c>
    </row>
    <row r="73" spans="1:2" x14ac:dyDescent="0.3">
      <c r="A73">
        <v>75</v>
      </c>
      <c r="B73">
        <v>419.34729024999996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F79F-C4D9-4FDC-AFDB-C3817925E613}">
  <dimension ref="A1:E76"/>
  <sheetViews>
    <sheetView workbookViewId="0">
      <selection activeCell="T60" sqref="T60"/>
    </sheetView>
  </sheetViews>
  <sheetFormatPr defaultRowHeight="15.6" x14ac:dyDescent="0.3"/>
  <sheetData>
    <row r="1" spans="1:5" x14ac:dyDescent="0.3">
      <c r="A1" s="11" t="s">
        <v>3</v>
      </c>
      <c r="B1" s="11" t="s">
        <v>4</v>
      </c>
      <c r="C1" t="s">
        <v>32</v>
      </c>
      <c r="D1" t="s">
        <v>33</v>
      </c>
      <c r="E1" t="s">
        <v>34</v>
      </c>
    </row>
    <row r="2" spans="1:5" x14ac:dyDescent="0.3">
      <c r="A2" s="11">
        <v>1</v>
      </c>
      <c r="B2" s="11" t="s">
        <v>11</v>
      </c>
      <c r="C2">
        <v>1</v>
      </c>
      <c r="D2">
        <v>250</v>
      </c>
      <c r="E2">
        <f>(C2*10^4)/2</f>
        <v>5000</v>
      </c>
    </row>
    <row r="3" spans="1:5" x14ac:dyDescent="0.3">
      <c r="A3" s="11">
        <v>2</v>
      </c>
      <c r="B3" s="11" t="s">
        <v>11</v>
      </c>
      <c r="C3">
        <v>4</v>
      </c>
      <c r="D3">
        <v>250</v>
      </c>
      <c r="E3">
        <f t="shared" ref="E3:E16" si="0">(C3*10^4)/2</f>
        <v>20000</v>
      </c>
    </row>
    <row r="4" spans="1:5" x14ac:dyDescent="0.3">
      <c r="A4" s="11">
        <v>3</v>
      </c>
      <c r="B4" s="11" t="s">
        <v>11</v>
      </c>
      <c r="C4">
        <v>2</v>
      </c>
      <c r="D4">
        <v>250</v>
      </c>
      <c r="E4">
        <f t="shared" si="0"/>
        <v>10000</v>
      </c>
    </row>
    <row r="5" spans="1:5" x14ac:dyDescent="0.3">
      <c r="A5" s="11">
        <v>4</v>
      </c>
      <c r="B5" s="11" t="s">
        <v>11</v>
      </c>
      <c r="C5">
        <v>6</v>
      </c>
      <c r="D5">
        <v>250</v>
      </c>
      <c r="E5">
        <f t="shared" si="0"/>
        <v>30000</v>
      </c>
    </row>
    <row r="6" spans="1:5" x14ac:dyDescent="0.3">
      <c r="A6" s="11">
        <v>5</v>
      </c>
      <c r="B6" s="11" t="s">
        <v>11</v>
      </c>
      <c r="C6">
        <v>4</v>
      </c>
      <c r="D6">
        <v>250</v>
      </c>
      <c r="E6">
        <f t="shared" si="0"/>
        <v>20000</v>
      </c>
    </row>
    <row r="7" spans="1:5" x14ac:dyDescent="0.3">
      <c r="A7" s="11">
        <v>6</v>
      </c>
      <c r="B7" s="11" t="s">
        <v>11</v>
      </c>
      <c r="C7">
        <v>8</v>
      </c>
      <c r="D7">
        <v>250</v>
      </c>
      <c r="E7">
        <f t="shared" si="0"/>
        <v>40000</v>
      </c>
    </row>
    <row r="8" spans="1:5" x14ac:dyDescent="0.3">
      <c r="A8" s="11">
        <v>7</v>
      </c>
      <c r="B8" s="11" t="s">
        <v>11</v>
      </c>
      <c r="C8">
        <v>7</v>
      </c>
      <c r="D8">
        <v>250</v>
      </c>
      <c r="E8">
        <f t="shared" si="0"/>
        <v>35000</v>
      </c>
    </row>
    <row r="9" spans="1:5" x14ac:dyDescent="0.3">
      <c r="A9" s="11">
        <v>8</v>
      </c>
      <c r="B9" s="11" t="s">
        <v>11</v>
      </c>
      <c r="C9">
        <v>2</v>
      </c>
      <c r="D9">
        <v>250</v>
      </c>
      <c r="E9">
        <f t="shared" si="0"/>
        <v>10000</v>
      </c>
    </row>
    <row r="10" spans="1:5" x14ac:dyDescent="0.3">
      <c r="A10" s="11">
        <v>9</v>
      </c>
      <c r="B10" s="11" t="s">
        <v>11</v>
      </c>
      <c r="C10">
        <v>6</v>
      </c>
      <c r="D10">
        <v>250</v>
      </c>
      <c r="E10">
        <f>(C10*10^4)/2</f>
        <v>30000</v>
      </c>
    </row>
    <row r="11" spans="1:5" x14ac:dyDescent="0.3">
      <c r="A11" s="11">
        <v>10</v>
      </c>
      <c r="B11" s="11" t="s">
        <v>11</v>
      </c>
      <c r="C11">
        <v>3</v>
      </c>
      <c r="D11">
        <v>250</v>
      </c>
      <c r="E11">
        <f t="shared" si="0"/>
        <v>15000</v>
      </c>
    </row>
    <row r="12" spans="1:5" x14ac:dyDescent="0.3">
      <c r="A12" s="11">
        <v>11</v>
      </c>
      <c r="B12" s="11" t="s">
        <v>11</v>
      </c>
      <c r="C12">
        <v>5</v>
      </c>
      <c r="D12">
        <v>250</v>
      </c>
      <c r="E12">
        <f t="shared" si="0"/>
        <v>25000</v>
      </c>
    </row>
    <row r="13" spans="1:5" x14ac:dyDescent="0.3">
      <c r="A13" s="11">
        <v>12</v>
      </c>
      <c r="B13" s="11" t="s">
        <v>11</v>
      </c>
      <c r="C13">
        <v>3</v>
      </c>
      <c r="D13">
        <v>250</v>
      </c>
      <c r="E13">
        <f t="shared" si="0"/>
        <v>15000</v>
      </c>
    </row>
    <row r="14" spans="1:5" x14ac:dyDescent="0.3">
      <c r="A14" s="11">
        <v>13</v>
      </c>
      <c r="B14" s="11" t="s">
        <v>11</v>
      </c>
      <c r="C14">
        <v>1</v>
      </c>
      <c r="D14">
        <v>250</v>
      </c>
      <c r="E14">
        <f t="shared" si="0"/>
        <v>5000</v>
      </c>
    </row>
    <row r="15" spans="1:5" x14ac:dyDescent="0.3">
      <c r="A15" s="11">
        <v>14</v>
      </c>
      <c r="B15" s="11" t="s">
        <v>11</v>
      </c>
      <c r="C15">
        <v>2</v>
      </c>
      <c r="D15">
        <v>250</v>
      </c>
      <c r="E15">
        <f t="shared" si="0"/>
        <v>10000</v>
      </c>
    </row>
    <row r="16" spans="1:5" x14ac:dyDescent="0.3">
      <c r="A16" s="11">
        <v>15</v>
      </c>
      <c r="B16" s="11" t="s">
        <v>11</v>
      </c>
      <c r="C16">
        <v>6</v>
      </c>
      <c r="D16">
        <v>250</v>
      </c>
      <c r="E16">
        <f t="shared" si="0"/>
        <v>30000</v>
      </c>
    </row>
    <row r="17" spans="1:5" x14ac:dyDescent="0.3">
      <c r="A17" s="11">
        <v>16</v>
      </c>
      <c r="B17" s="11" t="s">
        <v>13</v>
      </c>
      <c r="C17">
        <v>120</v>
      </c>
      <c r="D17">
        <v>500</v>
      </c>
      <c r="E17">
        <f>(C17*10^4)</f>
        <v>1200000</v>
      </c>
    </row>
    <row r="18" spans="1:5" x14ac:dyDescent="0.3">
      <c r="A18" s="11">
        <v>17</v>
      </c>
      <c r="B18" s="11" t="s">
        <v>13</v>
      </c>
      <c r="C18">
        <v>0</v>
      </c>
      <c r="D18">
        <v>0</v>
      </c>
      <c r="E18">
        <f>(C18*10^4)</f>
        <v>0</v>
      </c>
    </row>
    <row r="19" spans="1:5" x14ac:dyDescent="0.3">
      <c r="A19" s="11">
        <v>18</v>
      </c>
      <c r="B19" s="11" t="s">
        <v>13</v>
      </c>
      <c r="C19">
        <v>60</v>
      </c>
      <c r="D19">
        <v>500</v>
      </c>
      <c r="E19">
        <f t="shared" ref="E19:E76" si="1">(C19*10^4)</f>
        <v>600000</v>
      </c>
    </row>
    <row r="20" spans="1:5" x14ac:dyDescent="0.3">
      <c r="A20" s="11">
        <v>19</v>
      </c>
      <c r="B20" s="11" t="s">
        <v>13</v>
      </c>
      <c r="C20">
        <v>24</v>
      </c>
      <c r="D20">
        <v>500</v>
      </c>
      <c r="E20">
        <f t="shared" si="1"/>
        <v>240000</v>
      </c>
    </row>
    <row r="21" spans="1:5" x14ac:dyDescent="0.3">
      <c r="A21" s="11">
        <v>20</v>
      </c>
      <c r="B21" s="11" t="s">
        <v>13</v>
      </c>
      <c r="C21">
        <v>13</v>
      </c>
      <c r="D21">
        <v>500</v>
      </c>
      <c r="E21">
        <f>(C21*10^4)</f>
        <v>130000</v>
      </c>
    </row>
    <row r="22" spans="1:5" x14ac:dyDescent="0.3">
      <c r="A22" s="11">
        <v>21</v>
      </c>
      <c r="B22" s="11" t="s">
        <v>13</v>
      </c>
      <c r="C22">
        <v>12</v>
      </c>
      <c r="D22">
        <v>500</v>
      </c>
      <c r="E22">
        <f t="shared" si="1"/>
        <v>120000</v>
      </c>
    </row>
    <row r="23" spans="1:5" x14ac:dyDescent="0.3">
      <c r="A23" s="11">
        <v>22</v>
      </c>
      <c r="B23" s="11" t="s">
        <v>13</v>
      </c>
      <c r="C23">
        <v>20</v>
      </c>
      <c r="D23">
        <v>500</v>
      </c>
      <c r="E23">
        <f>(C23*10^4)</f>
        <v>200000</v>
      </c>
    </row>
    <row r="24" spans="1:5" x14ac:dyDescent="0.3">
      <c r="A24" s="11">
        <v>23</v>
      </c>
      <c r="B24" s="11" t="s">
        <v>13</v>
      </c>
      <c r="C24">
        <v>71</v>
      </c>
      <c r="D24">
        <v>500</v>
      </c>
      <c r="E24">
        <f t="shared" si="1"/>
        <v>710000</v>
      </c>
    </row>
    <row r="25" spans="1:5" x14ac:dyDescent="0.3">
      <c r="A25" s="11">
        <v>24</v>
      </c>
      <c r="B25" s="11" t="s">
        <v>13</v>
      </c>
      <c r="C25">
        <v>51</v>
      </c>
      <c r="D25">
        <v>500</v>
      </c>
      <c r="E25">
        <f t="shared" si="1"/>
        <v>510000</v>
      </c>
    </row>
    <row r="26" spans="1:5" x14ac:dyDescent="0.3">
      <c r="A26" s="11">
        <v>25</v>
      </c>
      <c r="B26" s="11" t="s">
        <v>13</v>
      </c>
      <c r="C26">
        <v>15</v>
      </c>
      <c r="D26">
        <v>500</v>
      </c>
      <c r="E26">
        <f t="shared" si="1"/>
        <v>150000</v>
      </c>
    </row>
    <row r="27" spans="1:5" x14ac:dyDescent="0.3">
      <c r="A27" s="11">
        <v>26</v>
      </c>
      <c r="B27" s="11" t="s">
        <v>13</v>
      </c>
      <c r="C27">
        <v>88</v>
      </c>
      <c r="D27">
        <v>500</v>
      </c>
      <c r="E27">
        <f t="shared" si="1"/>
        <v>880000</v>
      </c>
    </row>
    <row r="28" spans="1:5" x14ac:dyDescent="0.3">
      <c r="A28" s="11">
        <v>27</v>
      </c>
      <c r="B28" s="11" t="s">
        <v>13</v>
      </c>
      <c r="C28">
        <v>6</v>
      </c>
      <c r="D28">
        <v>500</v>
      </c>
      <c r="E28">
        <f t="shared" si="1"/>
        <v>60000</v>
      </c>
    </row>
    <row r="29" spans="1:5" x14ac:dyDescent="0.3">
      <c r="A29" s="11">
        <v>28</v>
      </c>
      <c r="B29" s="11" t="s">
        <v>13</v>
      </c>
      <c r="C29">
        <v>45</v>
      </c>
      <c r="D29">
        <v>500</v>
      </c>
      <c r="E29">
        <f t="shared" si="1"/>
        <v>450000</v>
      </c>
    </row>
    <row r="30" spans="1:5" x14ac:dyDescent="0.3">
      <c r="A30" s="11">
        <v>29</v>
      </c>
      <c r="B30" s="11" t="s">
        <v>13</v>
      </c>
      <c r="C30">
        <v>57</v>
      </c>
      <c r="D30">
        <v>500</v>
      </c>
      <c r="E30">
        <f t="shared" si="1"/>
        <v>570000</v>
      </c>
    </row>
    <row r="31" spans="1:5" x14ac:dyDescent="0.3">
      <c r="A31" s="11">
        <v>30</v>
      </c>
      <c r="B31" s="11" t="s">
        <v>13</v>
      </c>
      <c r="C31">
        <v>0</v>
      </c>
      <c r="D31">
        <v>0</v>
      </c>
      <c r="E31">
        <f t="shared" si="1"/>
        <v>0</v>
      </c>
    </row>
    <row r="32" spans="1:5" x14ac:dyDescent="0.3">
      <c r="A32" s="11">
        <v>31</v>
      </c>
      <c r="B32" s="11" t="s">
        <v>17</v>
      </c>
      <c r="C32">
        <v>26</v>
      </c>
      <c r="D32">
        <v>500</v>
      </c>
      <c r="E32">
        <f t="shared" si="1"/>
        <v>260000</v>
      </c>
    </row>
    <row r="33" spans="1:5" x14ac:dyDescent="0.3">
      <c r="A33" s="11">
        <v>32</v>
      </c>
      <c r="B33" s="11" t="s">
        <v>17</v>
      </c>
      <c r="C33">
        <v>247</v>
      </c>
      <c r="D33">
        <v>500</v>
      </c>
      <c r="E33">
        <f t="shared" si="1"/>
        <v>2470000</v>
      </c>
    </row>
    <row r="34" spans="1:5" x14ac:dyDescent="0.3">
      <c r="A34" s="11">
        <v>33</v>
      </c>
      <c r="B34" s="11" t="s">
        <v>17</v>
      </c>
      <c r="C34">
        <v>19</v>
      </c>
      <c r="D34">
        <v>500</v>
      </c>
      <c r="E34">
        <f t="shared" si="1"/>
        <v>190000</v>
      </c>
    </row>
    <row r="35" spans="1:5" x14ac:dyDescent="0.3">
      <c r="A35" s="11">
        <v>34</v>
      </c>
      <c r="B35" s="11" t="s">
        <v>17</v>
      </c>
      <c r="C35">
        <v>10</v>
      </c>
      <c r="D35">
        <v>500</v>
      </c>
      <c r="E35">
        <f t="shared" si="1"/>
        <v>100000</v>
      </c>
    </row>
    <row r="36" spans="1:5" x14ac:dyDescent="0.3">
      <c r="A36" s="11">
        <v>35</v>
      </c>
      <c r="B36" s="11" t="s">
        <v>17</v>
      </c>
      <c r="C36">
        <v>168</v>
      </c>
      <c r="D36">
        <v>500</v>
      </c>
      <c r="E36">
        <f t="shared" si="1"/>
        <v>1680000</v>
      </c>
    </row>
    <row r="37" spans="1:5" x14ac:dyDescent="0.3">
      <c r="A37" s="11">
        <v>36</v>
      </c>
      <c r="B37" s="11" t="s">
        <v>17</v>
      </c>
      <c r="C37">
        <v>28</v>
      </c>
      <c r="D37">
        <v>500</v>
      </c>
      <c r="E37">
        <f t="shared" si="1"/>
        <v>280000</v>
      </c>
    </row>
    <row r="38" spans="1:5" x14ac:dyDescent="0.3">
      <c r="A38" s="11">
        <v>37</v>
      </c>
      <c r="B38" s="11" t="s">
        <v>17</v>
      </c>
      <c r="C38">
        <v>42</v>
      </c>
      <c r="D38">
        <v>500</v>
      </c>
      <c r="E38">
        <f t="shared" si="1"/>
        <v>420000</v>
      </c>
    </row>
    <row r="39" spans="1:5" x14ac:dyDescent="0.3">
      <c r="A39" s="11">
        <v>38</v>
      </c>
      <c r="B39" s="11" t="s">
        <v>17</v>
      </c>
      <c r="C39">
        <v>11</v>
      </c>
      <c r="D39">
        <v>500</v>
      </c>
      <c r="E39">
        <f t="shared" si="1"/>
        <v>110000</v>
      </c>
    </row>
    <row r="40" spans="1:5" x14ac:dyDescent="0.3">
      <c r="A40" s="11">
        <v>39</v>
      </c>
      <c r="B40" s="11" t="s">
        <v>17</v>
      </c>
      <c r="C40">
        <v>13</v>
      </c>
      <c r="D40">
        <v>500</v>
      </c>
      <c r="E40">
        <f t="shared" si="1"/>
        <v>130000</v>
      </c>
    </row>
    <row r="41" spans="1:5" x14ac:dyDescent="0.3">
      <c r="A41" s="11">
        <v>40</v>
      </c>
      <c r="B41" s="11" t="s">
        <v>17</v>
      </c>
      <c r="C41">
        <v>34</v>
      </c>
      <c r="D41">
        <v>500</v>
      </c>
      <c r="E41">
        <f>(C41*10^4)</f>
        <v>340000</v>
      </c>
    </row>
    <row r="42" spans="1:5" x14ac:dyDescent="0.3">
      <c r="A42" s="11">
        <v>41</v>
      </c>
      <c r="B42" s="11" t="s">
        <v>17</v>
      </c>
      <c r="C42">
        <v>7</v>
      </c>
      <c r="D42">
        <v>500</v>
      </c>
      <c r="E42">
        <f t="shared" si="1"/>
        <v>70000</v>
      </c>
    </row>
    <row r="43" spans="1:5" x14ac:dyDescent="0.3">
      <c r="A43" s="11">
        <v>42</v>
      </c>
      <c r="B43" s="11" t="s">
        <v>17</v>
      </c>
      <c r="C43">
        <v>11</v>
      </c>
      <c r="D43">
        <v>500</v>
      </c>
      <c r="E43">
        <f t="shared" si="1"/>
        <v>110000</v>
      </c>
    </row>
    <row r="44" spans="1:5" x14ac:dyDescent="0.3">
      <c r="A44" s="11">
        <v>43</v>
      </c>
      <c r="B44" s="11" t="s">
        <v>17</v>
      </c>
      <c r="C44">
        <v>0</v>
      </c>
      <c r="D44">
        <v>0</v>
      </c>
      <c r="E44">
        <f t="shared" si="1"/>
        <v>0</v>
      </c>
    </row>
    <row r="45" spans="1:5" x14ac:dyDescent="0.3">
      <c r="A45" s="11">
        <v>44</v>
      </c>
      <c r="B45" s="11" t="s">
        <v>17</v>
      </c>
      <c r="C45">
        <v>11</v>
      </c>
      <c r="D45">
        <v>500</v>
      </c>
      <c r="E45">
        <f t="shared" si="1"/>
        <v>110000</v>
      </c>
    </row>
    <row r="46" spans="1:5" x14ac:dyDescent="0.3">
      <c r="A46" s="11">
        <v>45</v>
      </c>
      <c r="B46" s="11" t="s">
        <v>17</v>
      </c>
      <c r="C46">
        <v>12</v>
      </c>
      <c r="D46">
        <v>500</v>
      </c>
      <c r="E46">
        <f t="shared" si="1"/>
        <v>120000</v>
      </c>
    </row>
    <row r="47" spans="1:5" x14ac:dyDescent="0.3">
      <c r="A47" s="11">
        <v>46</v>
      </c>
      <c r="B47" s="11" t="s">
        <v>19</v>
      </c>
      <c r="C47">
        <v>41</v>
      </c>
      <c r="D47">
        <v>500</v>
      </c>
      <c r="E47">
        <f t="shared" si="1"/>
        <v>410000</v>
      </c>
    </row>
    <row r="48" spans="1:5" x14ac:dyDescent="0.3">
      <c r="A48" s="11">
        <v>47</v>
      </c>
      <c r="B48" s="11" t="s">
        <v>19</v>
      </c>
      <c r="C48">
        <v>14</v>
      </c>
      <c r="D48">
        <v>500</v>
      </c>
      <c r="E48">
        <f t="shared" si="1"/>
        <v>140000</v>
      </c>
    </row>
    <row r="49" spans="1:5" x14ac:dyDescent="0.3">
      <c r="A49" s="11">
        <v>48</v>
      </c>
      <c r="B49" s="11" t="s">
        <v>19</v>
      </c>
      <c r="C49">
        <v>9</v>
      </c>
      <c r="D49">
        <v>500</v>
      </c>
      <c r="E49">
        <f t="shared" si="1"/>
        <v>90000</v>
      </c>
    </row>
    <row r="50" spans="1:5" x14ac:dyDescent="0.3">
      <c r="A50" s="11">
        <v>49</v>
      </c>
      <c r="B50" s="11" t="s">
        <v>19</v>
      </c>
      <c r="C50">
        <v>49</v>
      </c>
      <c r="D50">
        <v>500</v>
      </c>
      <c r="E50">
        <f t="shared" si="1"/>
        <v>490000</v>
      </c>
    </row>
    <row r="51" spans="1:5" x14ac:dyDescent="0.3">
      <c r="A51" s="11">
        <v>50</v>
      </c>
      <c r="B51" s="11" t="s">
        <v>19</v>
      </c>
      <c r="C51">
        <v>290</v>
      </c>
      <c r="D51">
        <v>500</v>
      </c>
      <c r="E51">
        <f t="shared" si="1"/>
        <v>2900000</v>
      </c>
    </row>
    <row r="52" spans="1:5" x14ac:dyDescent="0.3">
      <c r="A52" s="11">
        <v>51</v>
      </c>
      <c r="B52" s="11" t="s">
        <v>19</v>
      </c>
      <c r="C52">
        <v>59</v>
      </c>
      <c r="D52">
        <v>500</v>
      </c>
      <c r="E52">
        <f t="shared" si="1"/>
        <v>590000</v>
      </c>
    </row>
    <row r="53" spans="1:5" x14ac:dyDescent="0.3">
      <c r="A53" s="11">
        <v>52</v>
      </c>
      <c r="B53" s="11" t="s">
        <v>19</v>
      </c>
      <c r="C53">
        <v>10</v>
      </c>
      <c r="D53">
        <v>500</v>
      </c>
      <c r="E53">
        <f t="shared" si="1"/>
        <v>100000</v>
      </c>
    </row>
    <row r="54" spans="1:5" x14ac:dyDescent="0.3">
      <c r="A54" s="11">
        <v>53</v>
      </c>
      <c r="B54" s="11" t="s">
        <v>19</v>
      </c>
      <c r="C54">
        <v>17</v>
      </c>
      <c r="D54">
        <v>500</v>
      </c>
      <c r="E54">
        <f t="shared" si="1"/>
        <v>170000</v>
      </c>
    </row>
    <row r="55" spans="1:5" x14ac:dyDescent="0.3">
      <c r="A55" s="11">
        <v>54</v>
      </c>
      <c r="B55" s="11" t="s">
        <v>19</v>
      </c>
      <c r="C55">
        <v>9</v>
      </c>
      <c r="D55">
        <v>500</v>
      </c>
      <c r="E55">
        <f t="shared" si="1"/>
        <v>90000</v>
      </c>
    </row>
    <row r="56" spans="1:5" x14ac:dyDescent="0.3">
      <c r="A56" s="11">
        <v>55</v>
      </c>
      <c r="B56" s="11" t="s">
        <v>19</v>
      </c>
      <c r="C56">
        <v>7</v>
      </c>
      <c r="D56">
        <v>500</v>
      </c>
      <c r="E56">
        <f t="shared" si="1"/>
        <v>70000</v>
      </c>
    </row>
    <row r="57" spans="1:5" x14ac:dyDescent="0.3">
      <c r="A57" s="11">
        <v>56</v>
      </c>
      <c r="B57" s="11" t="s">
        <v>19</v>
      </c>
      <c r="C57">
        <v>37</v>
      </c>
      <c r="D57">
        <v>500</v>
      </c>
      <c r="E57">
        <f t="shared" si="1"/>
        <v>370000</v>
      </c>
    </row>
    <row r="58" spans="1:5" x14ac:dyDescent="0.3">
      <c r="A58" s="11">
        <v>57</v>
      </c>
      <c r="B58" s="11" t="s">
        <v>19</v>
      </c>
      <c r="C58">
        <v>58</v>
      </c>
      <c r="D58">
        <v>500</v>
      </c>
      <c r="E58">
        <f t="shared" si="1"/>
        <v>580000</v>
      </c>
    </row>
    <row r="59" spans="1:5" x14ac:dyDescent="0.3">
      <c r="A59" s="11">
        <v>58</v>
      </c>
      <c r="B59" s="11" t="s">
        <v>19</v>
      </c>
      <c r="C59">
        <v>11</v>
      </c>
      <c r="D59">
        <v>500</v>
      </c>
      <c r="E59">
        <f t="shared" si="1"/>
        <v>110000</v>
      </c>
    </row>
    <row r="60" spans="1:5" x14ac:dyDescent="0.3">
      <c r="A60" s="11">
        <v>59</v>
      </c>
      <c r="B60" s="11" t="s">
        <v>19</v>
      </c>
      <c r="C60">
        <v>25</v>
      </c>
      <c r="D60">
        <v>500</v>
      </c>
      <c r="E60">
        <f t="shared" si="1"/>
        <v>250000</v>
      </c>
    </row>
    <row r="61" spans="1:5" x14ac:dyDescent="0.3">
      <c r="A61" s="11">
        <v>60</v>
      </c>
      <c r="B61" s="11" t="s">
        <v>19</v>
      </c>
      <c r="C61">
        <v>205</v>
      </c>
      <c r="D61">
        <v>500</v>
      </c>
      <c r="E61">
        <f t="shared" si="1"/>
        <v>2050000</v>
      </c>
    </row>
    <row r="62" spans="1:5" x14ac:dyDescent="0.3">
      <c r="A62" s="11">
        <v>61</v>
      </c>
      <c r="B62" s="11" t="s">
        <v>21</v>
      </c>
      <c r="C62">
        <v>182</v>
      </c>
      <c r="D62">
        <v>500</v>
      </c>
      <c r="E62">
        <f t="shared" si="1"/>
        <v>1820000</v>
      </c>
    </row>
    <row r="63" spans="1:5" x14ac:dyDescent="0.3">
      <c r="A63" s="11">
        <v>62</v>
      </c>
      <c r="B63" s="11" t="s">
        <v>21</v>
      </c>
      <c r="C63">
        <v>134</v>
      </c>
      <c r="D63">
        <v>500</v>
      </c>
      <c r="E63">
        <f t="shared" si="1"/>
        <v>1340000</v>
      </c>
    </row>
    <row r="64" spans="1:5" x14ac:dyDescent="0.3">
      <c r="A64" s="11">
        <v>63</v>
      </c>
      <c r="B64" s="11" t="s">
        <v>21</v>
      </c>
      <c r="C64">
        <v>27</v>
      </c>
      <c r="D64">
        <v>500</v>
      </c>
      <c r="E64">
        <f t="shared" si="1"/>
        <v>270000</v>
      </c>
    </row>
    <row r="65" spans="1:5" x14ac:dyDescent="0.3">
      <c r="A65" s="11">
        <v>64</v>
      </c>
      <c r="B65" s="11" t="s">
        <v>21</v>
      </c>
      <c r="C65">
        <v>36</v>
      </c>
      <c r="D65">
        <v>500</v>
      </c>
      <c r="E65">
        <f t="shared" si="1"/>
        <v>360000</v>
      </c>
    </row>
    <row r="66" spans="1:5" x14ac:dyDescent="0.3">
      <c r="A66" s="11">
        <v>65</v>
      </c>
      <c r="B66" s="11" t="s">
        <v>21</v>
      </c>
      <c r="C66">
        <v>10</v>
      </c>
      <c r="D66">
        <v>500</v>
      </c>
      <c r="E66">
        <f t="shared" si="1"/>
        <v>100000</v>
      </c>
    </row>
    <row r="67" spans="1:5" x14ac:dyDescent="0.3">
      <c r="A67" s="11">
        <v>66</v>
      </c>
      <c r="B67" s="11" t="s">
        <v>21</v>
      </c>
      <c r="C67">
        <v>75</v>
      </c>
      <c r="D67">
        <v>500</v>
      </c>
      <c r="E67">
        <f t="shared" si="1"/>
        <v>750000</v>
      </c>
    </row>
    <row r="68" spans="1:5" x14ac:dyDescent="0.3">
      <c r="A68" s="11">
        <v>67</v>
      </c>
      <c r="B68" s="11" t="s">
        <v>21</v>
      </c>
      <c r="C68">
        <v>25</v>
      </c>
      <c r="D68">
        <v>500</v>
      </c>
      <c r="E68">
        <f t="shared" si="1"/>
        <v>250000</v>
      </c>
    </row>
    <row r="69" spans="1:5" x14ac:dyDescent="0.3">
      <c r="A69" s="11">
        <v>68</v>
      </c>
      <c r="B69" s="11" t="s">
        <v>21</v>
      </c>
      <c r="C69">
        <v>4</v>
      </c>
      <c r="D69">
        <v>500</v>
      </c>
      <c r="E69">
        <f t="shared" si="1"/>
        <v>40000</v>
      </c>
    </row>
    <row r="70" spans="1:5" x14ac:dyDescent="0.3">
      <c r="A70" s="11">
        <v>69</v>
      </c>
      <c r="B70" s="11" t="s">
        <v>21</v>
      </c>
      <c r="C70">
        <v>86</v>
      </c>
      <c r="D70">
        <v>500</v>
      </c>
      <c r="E70">
        <f t="shared" si="1"/>
        <v>860000</v>
      </c>
    </row>
    <row r="71" spans="1:5" x14ac:dyDescent="0.3">
      <c r="A71" s="11">
        <v>70</v>
      </c>
      <c r="B71" s="11" t="s">
        <v>21</v>
      </c>
      <c r="C71">
        <v>12</v>
      </c>
      <c r="D71">
        <v>500</v>
      </c>
      <c r="E71">
        <f t="shared" si="1"/>
        <v>120000</v>
      </c>
    </row>
    <row r="72" spans="1:5" x14ac:dyDescent="0.3">
      <c r="A72" s="11">
        <v>71</v>
      </c>
      <c r="B72" s="11" t="s">
        <v>21</v>
      </c>
      <c r="C72">
        <v>800</v>
      </c>
      <c r="D72">
        <v>500</v>
      </c>
      <c r="E72">
        <f t="shared" si="1"/>
        <v>8000000</v>
      </c>
    </row>
    <row r="73" spans="1:5" x14ac:dyDescent="0.3">
      <c r="A73" s="11">
        <v>72</v>
      </c>
      <c r="B73" s="11" t="s">
        <v>21</v>
      </c>
      <c r="C73">
        <v>21</v>
      </c>
      <c r="D73">
        <v>500</v>
      </c>
      <c r="E73">
        <f t="shared" si="1"/>
        <v>210000</v>
      </c>
    </row>
    <row r="74" spans="1:5" x14ac:dyDescent="0.3">
      <c r="A74" s="11">
        <v>73</v>
      </c>
      <c r="B74" s="11" t="s">
        <v>21</v>
      </c>
      <c r="C74">
        <v>28</v>
      </c>
      <c r="D74">
        <v>500</v>
      </c>
      <c r="E74">
        <f t="shared" si="1"/>
        <v>280000</v>
      </c>
    </row>
    <row r="75" spans="1:5" x14ac:dyDescent="0.3">
      <c r="A75" s="11">
        <v>74</v>
      </c>
      <c r="B75" s="11" t="s">
        <v>21</v>
      </c>
      <c r="C75">
        <v>33</v>
      </c>
      <c r="D75">
        <v>500</v>
      </c>
      <c r="E75">
        <f t="shared" si="1"/>
        <v>330000</v>
      </c>
    </row>
    <row r="76" spans="1:5" x14ac:dyDescent="0.3">
      <c r="A76" s="11">
        <v>75</v>
      </c>
      <c r="B76" s="11" t="s">
        <v>21</v>
      </c>
      <c r="C76">
        <v>268</v>
      </c>
      <c r="D76">
        <v>500</v>
      </c>
      <c r="E76">
        <f t="shared" si="1"/>
        <v>2680000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D6063-6D33-4B65-BCE3-9D1BE827AB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992DC6-E13C-4482-A80D-5E4770B907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CB9A87-18B8-4C8A-8699-B5697F88B6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IDs and Notes</vt:lpstr>
      <vt:lpstr>Body weights</vt:lpstr>
      <vt:lpstr>BAL Cell counts</vt:lpstr>
      <vt:lpstr>BAL protein Assay</vt:lpstr>
      <vt:lpstr>Data_Reordered_BW</vt:lpstr>
      <vt:lpstr>Data_Reordered_BAL_Protein</vt:lpstr>
      <vt:lpstr>Data_Reordered_BAL_Cell_Counts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Suresh, Ramakrishna</cp:lastModifiedBy>
  <cp:revision/>
  <dcterms:created xsi:type="dcterms:W3CDTF">2021-02-15T14:47:44Z</dcterms:created>
  <dcterms:modified xsi:type="dcterms:W3CDTF">2024-06-12T20:09:42Z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