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58" documentId="13_ncr:1_{DF0191F5-4368-984A-9825-69C669D1661E}" xr6:coauthVersionLast="47" xr6:coauthVersionMax="47" xr10:uidLastSave="{9BCBE3EF-588F-42BF-98CB-B8931EBC8B67}"/>
  <bookViews>
    <workbookView xWindow="-120" yWindow="-120" windowWidth="29040" windowHeight="15720" activeTab="1" xr2:uid="{00000000-000D-0000-FFFF-FFFF00000000}"/>
  </bookViews>
  <sheets>
    <sheet name="Obs Conc- use this tab" sheetId="6" r:id="rId1"/>
    <sheet name="Data_Reordered" sheetId="11" r:id="rId2"/>
    <sheet name="FI" sheetId="1" r:id="rId3"/>
    <sheet name="Detectability Limits" sheetId="13" r:id="rId4"/>
    <sheet name="FI - Bkgd" sheetId="2" r:id="rId5"/>
    <sheet name="Std Dev" sheetId="3" r:id="rId6"/>
    <sheet name="%CV" sheetId="4" r:id="rId7"/>
    <sheet name="Conc in Range" sheetId="5" r:id="rId8"/>
    <sheet name="Exp Conc" sheetId="7" r:id="rId9"/>
    <sheet name="(Obs Exp) X 100" sheetId="8" r:id="rId10"/>
    <sheet name="Dilution" sheetId="9" r:id="rId11"/>
    <sheet name="Standard Curve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D10" i="6" l="1"/>
  <c r="D11" i="6"/>
  <c r="D12" i="6"/>
  <c r="K112" i="6" s="1"/>
  <c r="D13" i="6"/>
  <c r="H113" i="6" s="1"/>
  <c r="D14" i="6"/>
  <c r="D15" i="6"/>
  <c r="D16" i="6"/>
  <c r="K116" i="6" s="1"/>
  <c r="D17" i="6"/>
  <c r="H117" i="6" s="1"/>
  <c r="D18" i="6"/>
  <c r="D19" i="6"/>
  <c r="D20" i="6"/>
  <c r="K120" i="6" s="1"/>
  <c r="D21" i="6"/>
  <c r="H121" i="6" s="1"/>
  <c r="D22" i="6"/>
  <c r="D23" i="6"/>
  <c r="D24" i="6"/>
  <c r="K124" i="6" s="1"/>
  <c r="D25" i="6"/>
  <c r="H125" i="6" s="1"/>
  <c r="D26" i="6"/>
  <c r="D27" i="6"/>
  <c r="D28" i="6"/>
  <c r="K128" i="6" s="1"/>
  <c r="D29" i="6"/>
  <c r="H129" i="6" s="1"/>
  <c r="D30" i="6"/>
  <c r="D31" i="6"/>
  <c r="D32" i="6"/>
  <c r="D33" i="6"/>
  <c r="H133" i="6" s="1"/>
  <c r="D34" i="6"/>
  <c r="D35" i="6"/>
  <c r="D36" i="6"/>
  <c r="D37" i="6"/>
  <c r="H137" i="6" s="1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H187" i="6" s="1"/>
  <c r="D88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I112" i="6"/>
  <c r="J112" i="6"/>
  <c r="M112" i="6"/>
  <c r="N112" i="6"/>
  <c r="Q112" i="6"/>
  <c r="R112" i="6"/>
  <c r="U112" i="6"/>
  <c r="V112" i="6"/>
  <c r="Y112" i="6"/>
  <c r="Z112" i="6"/>
  <c r="AC112" i="6"/>
  <c r="AD112" i="6"/>
  <c r="J113" i="6"/>
  <c r="K113" i="6"/>
  <c r="N113" i="6"/>
  <c r="O113" i="6"/>
  <c r="R113" i="6"/>
  <c r="S113" i="6"/>
  <c r="V113" i="6"/>
  <c r="W113" i="6"/>
  <c r="Z113" i="6"/>
  <c r="AA113" i="6"/>
  <c r="AD113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I116" i="6"/>
  <c r="J116" i="6"/>
  <c r="M116" i="6"/>
  <c r="N116" i="6"/>
  <c r="Q116" i="6"/>
  <c r="R116" i="6"/>
  <c r="U116" i="6"/>
  <c r="V116" i="6"/>
  <c r="Y116" i="6"/>
  <c r="Z116" i="6"/>
  <c r="AC116" i="6"/>
  <c r="AD116" i="6"/>
  <c r="J117" i="6"/>
  <c r="K117" i="6"/>
  <c r="N117" i="6"/>
  <c r="O117" i="6"/>
  <c r="R117" i="6"/>
  <c r="S117" i="6"/>
  <c r="V117" i="6"/>
  <c r="W117" i="6"/>
  <c r="Z117" i="6"/>
  <c r="AA117" i="6"/>
  <c r="AD117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I120" i="6"/>
  <c r="J120" i="6"/>
  <c r="M120" i="6"/>
  <c r="N120" i="6"/>
  <c r="Q120" i="6"/>
  <c r="R120" i="6"/>
  <c r="U120" i="6"/>
  <c r="V120" i="6"/>
  <c r="Y120" i="6"/>
  <c r="Z120" i="6"/>
  <c r="AC120" i="6"/>
  <c r="AD120" i="6"/>
  <c r="J121" i="6"/>
  <c r="K121" i="6"/>
  <c r="N121" i="6"/>
  <c r="O121" i="6"/>
  <c r="R121" i="6"/>
  <c r="S121" i="6"/>
  <c r="V121" i="6"/>
  <c r="W121" i="6"/>
  <c r="Z121" i="6"/>
  <c r="AA121" i="6"/>
  <c r="AD121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I124" i="6"/>
  <c r="J124" i="6"/>
  <c r="M124" i="6"/>
  <c r="N124" i="6"/>
  <c r="Q124" i="6"/>
  <c r="R124" i="6"/>
  <c r="U124" i="6"/>
  <c r="V124" i="6"/>
  <c r="Y124" i="6"/>
  <c r="Z124" i="6"/>
  <c r="AC124" i="6"/>
  <c r="AD124" i="6"/>
  <c r="J125" i="6"/>
  <c r="K125" i="6"/>
  <c r="N125" i="6"/>
  <c r="O125" i="6"/>
  <c r="R125" i="6"/>
  <c r="S125" i="6"/>
  <c r="V125" i="6"/>
  <c r="W125" i="6"/>
  <c r="Z125" i="6"/>
  <c r="AA125" i="6"/>
  <c r="AD125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H128" i="6"/>
  <c r="I128" i="6"/>
  <c r="J128" i="6"/>
  <c r="L128" i="6"/>
  <c r="M128" i="6"/>
  <c r="N128" i="6"/>
  <c r="P128" i="6"/>
  <c r="Q128" i="6"/>
  <c r="R128" i="6"/>
  <c r="T128" i="6"/>
  <c r="U128" i="6"/>
  <c r="V128" i="6"/>
  <c r="X128" i="6"/>
  <c r="Y128" i="6"/>
  <c r="Z128" i="6"/>
  <c r="AB128" i="6"/>
  <c r="AC128" i="6"/>
  <c r="AD128" i="6"/>
  <c r="J129" i="6"/>
  <c r="K129" i="6"/>
  <c r="N129" i="6"/>
  <c r="O129" i="6"/>
  <c r="R129" i="6"/>
  <c r="S129" i="6"/>
  <c r="V129" i="6"/>
  <c r="W129" i="6"/>
  <c r="Z129" i="6"/>
  <c r="AA129" i="6"/>
  <c r="AD129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J133" i="6"/>
  <c r="K133" i="6"/>
  <c r="N133" i="6"/>
  <c r="O133" i="6"/>
  <c r="R133" i="6"/>
  <c r="S133" i="6"/>
  <c r="V133" i="6"/>
  <c r="W133" i="6"/>
  <c r="Z133" i="6"/>
  <c r="AA133" i="6"/>
  <c r="AD133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J137" i="6"/>
  <c r="K137" i="6"/>
  <c r="N137" i="6"/>
  <c r="O137" i="6"/>
  <c r="R137" i="6"/>
  <c r="S137" i="6"/>
  <c r="V137" i="6"/>
  <c r="W137" i="6"/>
  <c r="Z137" i="6"/>
  <c r="AA137" i="6"/>
  <c r="AD137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D196" i="6" l="1"/>
  <c r="AC196" i="6"/>
  <c r="AB196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AD195" i="6"/>
  <c r="AC195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AD194" i="6"/>
  <c r="AC194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AD193" i="6"/>
  <c r="Z193" i="6"/>
  <c r="V193" i="6"/>
  <c r="R193" i="6"/>
  <c r="N193" i="6"/>
  <c r="J193" i="6"/>
  <c r="AD192" i="6"/>
  <c r="Z192" i="6"/>
  <c r="V192" i="6"/>
  <c r="R192" i="6"/>
  <c r="N192" i="6"/>
  <c r="K192" i="6"/>
  <c r="J192" i="6"/>
  <c r="K193" i="6"/>
  <c r="AC137" i="6"/>
  <c r="Y137" i="6"/>
  <c r="U137" i="6"/>
  <c r="Q137" i="6"/>
  <c r="M137" i="6"/>
  <c r="I137" i="6"/>
  <c r="AC133" i="6"/>
  <c r="Y133" i="6"/>
  <c r="U133" i="6"/>
  <c r="Q133" i="6"/>
  <c r="M133" i="6"/>
  <c r="I133" i="6"/>
  <c r="AC129" i="6"/>
  <c r="Y129" i="6"/>
  <c r="U129" i="6"/>
  <c r="Q129" i="6"/>
  <c r="M129" i="6"/>
  <c r="I129" i="6"/>
  <c r="AC125" i="6"/>
  <c r="AC193" i="6" s="1"/>
  <c r="Y125" i="6"/>
  <c r="Y193" i="6" s="1"/>
  <c r="U125" i="6"/>
  <c r="U193" i="6" s="1"/>
  <c r="Q125" i="6"/>
  <c r="Q193" i="6" s="1"/>
  <c r="M125" i="6"/>
  <c r="M193" i="6" s="1"/>
  <c r="I125" i="6"/>
  <c r="I193" i="6" s="1"/>
  <c r="AB124" i="6"/>
  <c r="X124" i="6"/>
  <c r="T124" i="6"/>
  <c r="P124" i="6"/>
  <c r="L124" i="6"/>
  <c r="H124" i="6"/>
  <c r="H193" i="6" s="1"/>
  <c r="AC121" i="6"/>
  <c r="Y121" i="6"/>
  <c r="U121" i="6"/>
  <c r="Q121" i="6"/>
  <c r="M121" i="6"/>
  <c r="I121" i="6"/>
  <c r="AB120" i="6"/>
  <c r="X120" i="6"/>
  <c r="T120" i="6"/>
  <c r="P120" i="6"/>
  <c r="L120" i="6"/>
  <c r="H120" i="6"/>
  <c r="AC117" i="6"/>
  <c r="Y117" i="6"/>
  <c r="U117" i="6"/>
  <c r="Q117" i="6"/>
  <c r="M117" i="6"/>
  <c r="I117" i="6"/>
  <c r="AB116" i="6"/>
  <c r="X116" i="6"/>
  <c r="T116" i="6"/>
  <c r="P116" i="6"/>
  <c r="L116" i="6"/>
  <c r="H116" i="6"/>
  <c r="AC113" i="6"/>
  <c r="AC192" i="6" s="1"/>
  <c r="Y113" i="6"/>
  <c r="Y192" i="6" s="1"/>
  <c r="U113" i="6"/>
  <c r="U192" i="6" s="1"/>
  <c r="Q113" i="6"/>
  <c r="Q192" i="6" s="1"/>
  <c r="M113" i="6"/>
  <c r="M192" i="6" s="1"/>
  <c r="I113" i="6"/>
  <c r="I192" i="6" s="1"/>
  <c r="AB112" i="6"/>
  <c r="X112" i="6"/>
  <c r="T112" i="6"/>
  <c r="P112" i="6"/>
  <c r="L112" i="6"/>
  <c r="H112" i="6"/>
  <c r="H192" i="6" s="1"/>
  <c r="AB137" i="6"/>
  <c r="X137" i="6"/>
  <c r="T137" i="6"/>
  <c r="P137" i="6"/>
  <c r="L137" i="6"/>
  <c r="AB133" i="6"/>
  <c r="X133" i="6"/>
  <c r="T133" i="6"/>
  <c r="P133" i="6"/>
  <c r="L133" i="6"/>
  <c r="AB129" i="6"/>
  <c r="X129" i="6"/>
  <c r="T129" i="6"/>
  <c r="P129" i="6"/>
  <c r="L129" i="6"/>
  <c r="AA128" i="6"/>
  <c r="W128" i="6"/>
  <c r="S128" i="6"/>
  <c r="O128" i="6"/>
  <c r="AB125" i="6"/>
  <c r="X125" i="6"/>
  <c r="T125" i="6"/>
  <c r="P125" i="6"/>
  <c r="L125" i="6"/>
  <c r="AA124" i="6"/>
  <c r="AA193" i="6" s="1"/>
  <c r="W124" i="6"/>
  <c r="W193" i="6" s="1"/>
  <c r="S124" i="6"/>
  <c r="S193" i="6" s="1"/>
  <c r="O124" i="6"/>
  <c r="O193" i="6" s="1"/>
  <c r="AB121" i="6"/>
  <c r="X121" i="6"/>
  <c r="T121" i="6"/>
  <c r="P121" i="6"/>
  <c r="L121" i="6"/>
  <c r="AA120" i="6"/>
  <c r="W120" i="6"/>
  <c r="S120" i="6"/>
  <c r="O120" i="6"/>
  <c r="AB117" i="6"/>
  <c r="X117" i="6"/>
  <c r="T117" i="6"/>
  <c r="P117" i="6"/>
  <c r="L117" i="6"/>
  <c r="AA116" i="6"/>
  <c r="W116" i="6"/>
  <c r="S116" i="6"/>
  <c r="O116" i="6"/>
  <c r="AB113" i="6"/>
  <c r="X113" i="6"/>
  <c r="T113" i="6"/>
  <c r="P113" i="6"/>
  <c r="L113" i="6"/>
  <c r="AA112" i="6"/>
  <c r="AA192" i="6" s="1"/>
  <c r="W112" i="6"/>
  <c r="W192" i="6" s="1"/>
  <c r="S112" i="6"/>
  <c r="S192" i="6" s="1"/>
  <c r="O112" i="6"/>
  <c r="O192" i="6" s="1"/>
  <c r="L192" i="6" l="1"/>
  <c r="P192" i="6"/>
  <c r="T192" i="6"/>
  <c r="X192" i="6"/>
  <c r="AB192" i="6"/>
  <c r="L193" i="6"/>
  <c r="P193" i="6"/>
  <c r="T193" i="6"/>
  <c r="X193" i="6"/>
  <c r="AB193" i="6"/>
</calcChain>
</file>

<file path=xl/sharedStrings.xml><?xml version="1.0" encoding="utf-8"?>
<sst xmlns="http://schemas.openxmlformats.org/spreadsheetml/2006/main" count="3724" uniqueCount="403">
  <si>
    <t>File Name: C:\Users\lem168\Desktop\Brydie 12_14_22 23 plex pl1_20221214_141546.rbx</t>
  </si>
  <si>
    <t>Acquisition Date: 14-Dec-2022, 01:16 AM</t>
  </si>
  <si>
    <t>Reader Serial Number: MAGPX13283707</t>
  </si>
  <si>
    <t xml:space="preserve">Plate ID: </t>
  </si>
  <si>
    <t>RP1 PMT (Volts): 0.00</t>
  </si>
  <si>
    <t>RP1 Target: NA</t>
  </si>
  <si>
    <t>Eotaxin (74)</t>
  </si>
  <si>
    <t>G-CSF (54)</t>
  </si>
  <si>
    <t>GM-CSF (73)</t>
  </si>
  <si>
    <t>IFNg (34)</t>
  </si>
  <si>
    <t>IL-10 (56)</t>
  </si>
  <si>
    <t>IL-12p40 (76)</t>
  </si>
  <si>
    <t>IL-12p70 (78)</t>
  </si>
  <si>
    <t>IL-13 (37)</t>
  </si>
  <si>
    <t>IL-17A (72)</t>
  </si>
  <si>
    <t>IL-1a (53)</t>
  </si>
  <si>
    <t>IL-1b (19)</t>
  </si>
  <si>
    <t>IL-2 (36)</t>
  </si>
  <si>
    <t>IL-3 (18)</t>
  </si>
  <si>
    <t>IL-4 (39)</t>
  </si>
  <si>
    <t>IL-5 (52)</t>
  </si>
  <si>
    <t>IL-6 (38)</t>
  </si>
  <si>
    <t>IL-9 (33)</t>
  </si>
  <si>
    <t>KC (57)</t>
  </si>
  <si>
    <t>MCP-1 (51)</t>
  </si>
  <si>
    <t>MIP-1B (75)</t>
  </si>
  <si>
    <t>MIP-1a (77)</t>
  </si>
  <si>
    <t>RANTES (55)</t>
  </si>
  <si>
    <t>TNFa (21)</t>
  </si>
  <si>
    <t>ID</t>
  </si>
  <si>
    <t xml:space="preserve">Day </t>
  </si>
  <si>
    <t>Wt of Lung MG</t>
  </si>
  <si>
    <t>WT OF LUNG IN grams</t>
  </si>
  <si>
    <t>Type</t>
  </si>
  <si>
    <t>Well</t>
  </si>
  <si>
    <t>Description</t>
  </si>
  <si>
    <t>Obs Conc</t>
  </si>
  <si>
    <t>Day 0</t>
  </si>
  <si>
    <t>X1</t>
  </si>
  <si>
    <t>B3</t>
  </si>
  <si>
    <t>Sample ID: Unknown1</t>
  </si>
  <si>
    <t>X2</t>
  </si>
  <si>
    <t>C3</t>
  </si>
  <si>
    <t>Sample ID: Unknown2</t>
  </si>
  <si>
    <t>X3</t>
  </si>
  <si>
    <t>D3</t>
  </si>
  <si>
    <t>Sample ID: Unknown3</t>
  </si>
  <si>
    <t>X4</t>
  </si>
  <si>
    <t>E3</t>
  </si>
  <si>
    <t>Sample ID: Unknown4</t>
  </si>
  <si>
    <t>X5</t>
  </si>
  <si>
    <t>F3</t>
  </si>
  <si>
    <t>Sample ID: Unknown5</t>
  </si>
  <si>
    <t>X6</t>
  </si>
  <si>
    <t>G3</t>
  </si>
  <si>
    <t>Sample ID: Unknown6</t>
  </si>
  <si>
    <t>X7</t>
  </si>
  <si>
    <t>H3</t>
  </si>
  <si>
    <t>Sample ID: Unknown7</t>
  </si>
  <si>
    <t>X8</t>
  </si>
  <si>
    <t>A4</t>
  </si>
  <si>
    <t>Sample ID: Unknown8</t>
  </si>
  <si>
    <t>X9</t>
  </si>
  <si>
    <t>B4</t>
  </si>
  <si>
    <t>Sample ID: Unknown9</t>
  </si>
  <si>
    <t>X10</t>
  </si>
  <si>
    <t>C4</t>
  </si>
  <si>
    <t>Sample ID: Unknown10</t>
  </si>
  <si>
    <t>X11</t>
  </si>
  <si>
    <t>D4</t>
  </si>
  <si>
    <t>Sample ID: Unknown11</t>
  </si>
  <si>
    <t>X12</t>
  </si>
  <si>
    <t>E4</t>
  </si>
  <si>
    <t>Sample ID: Unknown12</t>
  </si>
  <si>
    <t>X13</t>
  </si>
  <si>
    <t>F4</t>
  </si>
  <si>
    <t>Sample ID: Unknown13</t>
  </si>
  <si>
    <t>X14</t>
  </si>
  <si>
    <t>G4</t>
  </si>
  <si>
    <t>Sample ID: Unknown14</t>
  </si>
  <si>
    <t>Day 3</t>
  </si>
  <si>
    <t>X15</t>
  </si>
  <si>
    <t>H4</t>
  </si>
  <si>
    <t>Sample ID: Unknown15</t>
  </si>
  <si>
    <t>X16</t>
  </si>
  <si>
    <t>A5</t>
  </si>
  <si>
    <t>Sample ID: Unknown16</t>
  </si>
  <si>
    <t>X17</t>
  </si>
  <si>
    <t>B5</t>
  </si>
  <si>
    <t>Sample ID: Unknown17</t>
  </si>
  <si>
    <t>X18</t>
  </si>
  <si>
    <t>C5</t>
  </si>
  <si>
    <t>Sample ID: Unknown18</t>
  </si>
  <si>
    <t>X19</t>
  </si>
  <si>
    <t>D5</t>
  </si>
  <si>
    <t>Sample ID: Unknown19</t>
  </si>
  <si>
    <t>X20</t>
  </si>
  <si>
    <t>E5</t>
  </si>
  <si>
    <t>Sample ID: Unknown20</t>
  </si>
  <si>
    <t>X21</t>
  </si>
  <si>
    <t>F5</t>
  </si>
  <si>
    <t>Sample ID: Unknown21</t>
  </si>
  <si>
    <t>X22</t>
  </si>
  <si>
    <t>G5</t>
  </si>
  <si>
    <t>Sample ID: Unknown22</t>
  </si>
  <si>
    <t>X23</t>
  </si>
  <si>
    <t>H5</t>
  </si>
  <si>
    <t>Sample ID: Unknown23</t>
  </si>
  <si>
    <t>X24</t>
  </si>
  <si>
    <t>A6</t>
  </si>
  <si>
    <t>Sample ID: Unknown24</t>
  </si>
  <si>
    <t>X25</t>
  </si>
  <si>
    <t>B6</t>
  </si>
  <si>
    <t>Sample ID: Unknown25</t>
  </si>
  <si>
    <t>X26</t>
  </si>
  <si>
    <t>C6</t>
  </si>
  <si>
    <t>Sample ID: Unknown26</t>
  </si>
  <si>
    <t>X27</t>
  </si>
  <si>
    <t>D6</t>
  </si>
  <si>
    <t>Sample ID: Unknown27</t>
  </si>
  <si>
    <t>X28</t>
  </si>
  <si>
    <t>E6</t>
  </si>
  <si>
    <t>Sample ID: Unknown28</t>
  </si>
  <si>
    <t>X29</t>
  </si>
  <si>
    <t>F6</t>
  </si>
  <si>
    <t>Sample ID: Unknown29</t>
  </si>
  <si>
    <t>Day 4</t>
  </si>
  <si>
    <t>X30</t>
  </si>
  <si>
    <t>G6</t>
  </si>
  <si>
    <t>Sample ID: Unknown30</t>
  </si>
  <si>
    <t>X31</t>
  </si>
  <si>
    <t>H6</t>
  </si>
  <si>
    <t>Sample ID: Unknown31</t>
  </si>
  <si>
    <t>X32</t>
  </si>
  <si>
    <t>A7</t>
  </si>
  <si>
    <t>Sample ID: Unknown32</t>
  </si>
  <si>
    <t>X33</t>
  </si>
  <si>
    <t>B7</t>
  </si>
  <si>
    <t>Sample ID: Unknown33</t>
  </si>
  <si>
    <t>X34</t>
  </si>
  <si>
    <t>C7</t>
  </si>
  <si>
    <t>Sample ID: Unknown34</t>
  </si>
  <si>
    <t>X35</t>
  </si>
  <si>
    <t>D7</t>
  </si>
  <si>
    <t>Sample ID: Unknown35</t>
  </si>
  <si>
    <t>X36</t>
  </si>
  <si>
    <t>E7</t>
  </si>
  <si>
    <t>Sample ID: Unknown36</t>
  </si>
  <si>
    <t>X37</t>
  </si>
  <si>
    <t>F7</t>
  </si>
  <si>
    <t>Sample ID: Unknown37</t>
  </si>
  <si>
    <t>X38</t>
  </si>
  <si>
    <t>G7</t>
  </si>
  <si>
    <t>Sample ID: Unknown38</t>
  </si>
  <si>
    <t>X39</t>
  </si>
  <si>
    <t>H7</t>
  </si>
  <si>
    <t>Sample ID: Unknown39</t>
  </si>
  <si>
    <t>X40</t>
  </si>
  <si>
    <t>A8</t>
  </si>
  <si>
    <t>Sample ID: Unknown40</t>
  </si>
  <si>
    <t>X41</t>
  </si>
  <si>
    <t>B8</t>
  </si>
  <si>
    <t>Sample ID: Unknown41</t>
  </si>
  <si>
    <t>X42</t>
  </si>
  <si>
    <t>C8</t>
  </si>
  <si>
    <t>Sample ID: Unknown42</t>
  </si>
  <si>
    <t>X43</t>
  </si>
  <si>
    <t>D8</t>
  </si>
  <si>
    <t>Sample ID: Unknown43</t>
  </si>
  <si>
    <t>X44</t>
  </si>
  <si>
    <t>E8</t>
  </si>
  <si>
    <t>Sample ID: Unknown44</t>
  </si>
  <si>
    <t>Day 5</t>
  </si>
  <si>
    <t>X45</t>
  </si>
  <si>
    <t>F8</t>
  </si>
  <si>
    <t>Sample ID: Unknown45</t>
  </si>
  <si>
    <t>X46</t>
  </si>
  <si>
    <t>G8</t>
  </si>
  <si>
    <t>Sample ID: Unknown46</t>
  </si>
  <si>
    <t>X47</t>
  </si>
  <si>
    <t>H8</t>
  </si>
  <si>
    <t>Sample ID: Unknown47</t>
  </si>
  <si>
    <t>X48</t>
  </si>
  <si>
    <t>A9</t>
  </si>
  <si>
    <t>Sample ID: Unknown48</t>
  </si>
  <si>
    <t>X49</t>
  </si>
  <si>
    <t>B9</t>
  </si>
  <si>
    <t>Sample ID: Unknown49</t>
  </si>
  <si>
    <t>X50</t>
  </si>
  <si>
    <t>C9</t>
  </si>
  <si>
    <t>Sample ID: Unknown50</t>
  </si>
  <si>
    <t>X51</t>
  </si>
  <si>
    <t>D9</t>
  </si>
  <si>
    <t>Sample ID: Unknown51</t>
  </si>
  <si>
    <t>X52</t>
  </si>
  <si>
    <t>E9</t>
  </si>
  <si>
    <t>Sample ID: Unknown52</t>
  </si>
  <si>
    <t>X53</t>
  </si>
  <si>
    <t>F9</t>
  </si>
  <si>
    <t>Sample ID: Unknown53</t>
  </si>
  <si>
    <t>X54</t>
  </si>
  <si>
    <t>G9</t>
  </si>
  <si>
    <t>Sample ID: Unknown54</t>
  </si>
  <si>
    <t>X55</t>
  </si>
  <si>
    <t>H9</t>
  </si>
  <si>
    <t>Sample ID: Unknown55</t>
  </si>
  <si>
    <t>X56</t>
  </si>
  <si>
    <t>A10</t>
  </si>
  <si>
    <t>Sample ID: Unknown56</t>
  </si>
  <si>
    <t>X57</t>
  </si>
  <si>
    <t>B10</t>
  </si>
  <si>
    <t>Sample ID: Unknown57</t>
  </si>
  <si>
    <t>X58</t>
  </si>
  <si>
    <t>C10</t>
  </si>
  <si>
    <t>Sample ID: Unknown58</t>
  </si>
  <si>
    <t>X59</t>
  </si>
  <si>
    <t>D10</t>
  </si>
  <si>
    <t>Sample ID: Unknown59</t>
  </si>
  <si>
    <t>Day 8</t>
  </si>
  <si>
    <t>X60</t>
  </si>
  <si>
    <t>E10</t>
  </si>
  <si>
    <t>Sample ID: Unknown60</t>
  </si>
  <si>
    <t>X61</t>
  </si>
  <si>
    <t>F10</t>
  </si>
  <si>
    <t>Sample ID: Unknown61</t>
  </si>
  <si>
    <t>X62</t>
  </si>
  <si>
    <t>G10</t>
  </si>
  <si>
    <t>Sample ID: Unknown62</t>
  </si>
  <si>
    <t>X63</t>
  </si>
  <si>
    <t>H10</t>
  </si>
  <si>
    <t>Sample ID: Unknown63</t>
  </si>
  <si>
    <t>X64</t>
  </si>
  <si>
    <t>A11</t>
  </si>
  <si>
    <t>Sample ID: Unknown64</t>
  </si>
  <si>
    <t>X65</t>
  </si>
  <si>
    <t>B11</t>
  </si>
  <si>
    <t>Sample ID: Unknown65</t>
  </si>
  <si>
    <t>X66</t>
  </si>
  <si>
    <t>C11</t>
  </si>
  <si>
    <t>Sample ID: Unknown66</t>
  </si>
  <si>
    <t>X67</t>
  </si>
  <si>
    <t>D11</t>
  </si>
  <si>
    <t>Sample ID: Unknown67</t>
  </si>
  <si>
    <t>X68</t>
  </si>
  <si>
    <t>E11</t>
  </si>
  <si>
    <t>Sample ID: Unknown68</t>
  </si>
  <si>
    <t>X69</t>
  </si>
  <si>
    <t>F11</t>
  </si>
  <si>
    <t>Sample ID: Unknown69</t>
  </si>
  <si>
    <t>X70</t>
  </si>
  <si>
    <t>G11</t>
  </si>
  <si>
    <t>Sample ID: Unknown70</t>
  </si>
  <si>
    <t>X71</t>
  </si>
  <si>
    <t>H11</t>
  </si>
  <si>
    <t>Sample ID: Unknown71</t>
  </si>
  <si>
    <t>X72</t>
  </si>
  <si>
    <t>A12</t>
  </si>
  <si>
    <t>Sample ID: Unknown72</t>
  </si>
  <si>
    <t>X73</t>
  </si>
  <si>
    <t>B12</t>
  </si>
  <si>
    <t>Sample ID: Unknown73</t>
  </si>
  <si>
    <t>X74</t>
  </si>
  <si>
    <t>C12</t>
  </si>
  <si>
    <t>Sample ID: Unknown74</t>
  </si>
  <si>
    <t>Day 21</t>
  </si>
  <si>
    <t>X75</t>
  </si>
  <si>
    <t>D12</t>
  </si>
  <si>
    <t>Sample ID: Unknown75</t>
  </si>
  <si>
    <t>X76</t>
  </si>
  <si>
    <t>E12</t>
  </si>
  <si>
    <t>Sample ID: Unknown76</t>
  </si>
  <si>
    <t>X77</t>
  </si>
  <si>
    <t>F12</t>
  </si>
  <si>
    <t>Sample ID: Unknown77</t>
  </si>
  <si>
    <t>X78</t>
  </si>
  <si>
    <t>G12</t>
  </si>
  <si>
    <t>Sample ID: Unknown78</t>
  </si>
  <si>
    <t>X79</t>
  </si>
  <si>
    <t>H12</t>
  </si>
  <si>
    <t>Sample ID: Unknown79</t>
  </si>
  <si>
    <t>Standard</t>
  </si>
  <si>
    <t>B</t>
  </si>
  <si>
    <t>A3</t>
  </si>
  <si>
    <t>Reagent Name: Background0</t>
  </si>
  <si>
    <t>S2</t>
  </si>
  <si>
    <t>B1,B2</t>
  </si>
  <si>
    <t>Reagent Name: Standard2</t>
  </si>
  <si>
    <t>standard</t>
  </si>
  <si>
    <t>S3</t>
  </si>
  <si>
    <t>C1,C2</t>
  </si>
  <si>
    <t>Reagent Name: Standard3</t>
  </si>
  <si>
    <t>S4</t>
  </si>
  <si>
    <t>D1,D2</t>
  </si>
  <si>
    <t>Reagent Name: Standard4</t>
  </si>
  <si>
    <t>S5</t>
  </si>
  <si>
    <t>E1,E2</t>
  </si>
  <si>
    <t>Reagent Name: Standard5</t>
  </si>
  <si>
    <t>S6</t>
  </si>
  <si>
    <t>F1,F2</t>
  </si>
  <si>
    <t>Reagent Name: Standard6</t>
  </si>
  <si>
    <t>S7</t>
  </si>
  <si>
    <t>G1,G2</t>
  </si>
  <si>
    <t>Reagent Name: Standard7</t>
  </si>
  <si>
    <t>S8</t>
  </si>
  <si>
    <t>H1,H2</t>
  </si>
  <si>
    <t>Reagent Name: Standard8</t>
  </si>
  <si>
    <t>S1</t>
  </si>
  <si>
    <t>A1,A2</t>
  </si>
  <si>
    <t>Reagent Name: Standard1</t>
  </si>
  <si>
    <t>OOR &gt;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</si>
  <si>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</si>
  <si>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</si>
  <si>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</si>
  <si>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</si>
  <si>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NORMALIZED DATA TO LUNG GRAMS</t>
  </si>
  <si>
    <t>Avg</t>
  </si>
  <si>
    <t xml:space="preserve">Day 0 </t>
  </si>
  <si>
    <t>FI</t>
  </si>
  <si>
    <t>---</t>
  </si>
  <si>
    <t>FI - Bkgd</t>
  </si>
  <si>
    <t>Std Dev</t>
  </si>
  <si>
    <t>%CV</t>
  </si>
  <si>
    <t>Conc in Range</t>
  </si>
  <si>
    <t>OOR &lt;</t>
  </si>
  <si>
    <t>Exp Conc</t>
  </si>
  <si>
    <t>(Obs/Exp) * 100</t>
  </si>
  <si>
    <t>***</t>
  </si>
  <si>
    <t>Dilution</t>
  </si>
  <si>
    <t>Regression Type: Logistic - 5PL</t>
  </si>
  <si>
    <t>Std. Curve: FI = 18.2489 + (16424 - 18.2489) / ((1 + (Conc / 4075.9)^-2.48017))^0.477194</t>
  </si>
  <si>
    <t>Std. Curve: FI = 11.1782 + (56822.9 - 11.1782) / ((1 + (Conc / 27360.9)^-0.605382))^1.8994</t>
  </si>
  <si>
    <t>FitProb. = 0.9676, ResVar. = 0.0017</t>
  </si>
  <si>
    <t>FitProb. = 0.7478, ResVar. = 0.4072</t>
  </si>
  <si>
    <t>Std. Curve: FI = 11.3677 + (17772 - 11.3677) / ((1 + (Conc / 1776.33)^-1.25619))^1.5595</t>
  </si>
  <si>
    <t>Std. Curve: FI = 11.1354 + (18075.4 - 11.1354) / ((1 + (Conc / 3233.1)^-0.663949))^1.68518</t>
  </si>
  <si>
    <t>FitProb. = 0.2770, ResVar. = 1.2839</t>
  </si>
  <si>
    <t>FitProb. = 0.3728, ResVar. = 1.0415</t>
  </si>
  <si>
    <t>Std. Curve: FI = 24.7145 + (25849.5 - 24.7145) / ((1 + (Conc / 8704.89)^-1.15424))^1.0529</t>
  </si>
  <si>
    <t>Std. Curve: FI = 9.39669 + (39792.1 - 9.39669) / ((1 + (Conc / 15200.8)^-0.687953))^1.64766</t>
  </si>
  <si>
    <t>FitProb. = 0.8916, ResVar. = 0.1147</t>
  </si>
  <si>
    <t>FitProb. = 0.4008, ResVar. = 0.9803</t>
  </si>
  <si>
    <t>Std. Curve: FI = 40.6038 + (145959 - 40.6038) / ((1 + (Conc / 35982.2)^-0.31295))^3.87007</t>
  </si>
  <si>
    <t>Std. Curve: FI = 2.41605 + (35655.4 - 2.41605) / ((1 + (Conc / 41764.5)^-0.828066))^1.38647</t>
  </si>
  <si>
    <t>FitProb. = 0.1196, ResVar. = 1.9470</t>
  </si>
  <si>
    <t>FitProb. = 0.6560, ResVar. = 0.5384</t>
  </si>
  <si>
    <t>Std. Curve: FI = 11.7686 + (26903 - 11.7686) / ((1 + (Conc / 2472.65)^-1.15444))^0.869411</t>
  </si>
  <si>
    <t>Std. Curve: FI = 17.1293 + (38183.2 - 17.1293) / ((1 + (Conc / 2361.26)^-0.776973))^1.4834</t>
  </si>
  <si>
    <t>FitProb. = 0.8965, ResVar. = 0.1998</t>
  </si>
  <si>
    <t>FitProb. = 0.7238, ResVar. = 0.4408</t>
  </si>
  <si>
    <t>Std. Curve: FI = 4.6227 + (20588.1 - 4.6227) / ((1 + (Conc / 4210.43)^-0.91333))^1.14853</t>
  </si>
  <si>
    <t>Std. Curve: FI = 6.12576 + (29395.8 - 6.12576) / ((1 + (Conc / 8532.06)^-1.07866))^1.03117</t>
  </si>
  <si>
    <t>FitProb. = 0.6804, ResVar. = 0.5026</t>
  </si>
  <si>
    <t>FitProb. = 0.5585, ResVar. = 0.6892</t>
  </si>
  <si>
    <t>Std. Curve: FI = 2.91272 + (46817 - 2.91272) / ((1 + (Conc / 6381.66)^-0.584485))^1.77506</t>
  </si>
  <si>
    <t>Std. Curve: FI = 8.68943 + (45030.8 - 8.68943) / ((1 + (Conc / 4589.86)^-0.572039))^1.92591</t>
  </si>
  <si>
    <t>FitProb. = 0.1249, ResVar. = 1.9140</t>
  </si>
  <si>
    <t>FitProb. = 0.0990, ResVar. = 2.0912</t>
  </si>
  <si>
    <t>Std. Curve: FI = 5.19252 + (25896.9 - 5.19252) / ((1 + (Conc / 8143.88)^-1.59205))^0.649414</t>
  </si>
  <si>
    <t>Std. Curve: FI = 61.7238 + (34715.3 - 61.7238) / ((1 + (Conc / 2795.12)^-0.730458))^1.59107</t>
  </si>
  <si>
    <t>FitProb. = 0.1786, ResVar. = 1.6361</t>
  </si>
  <si>
    <t>FitProb. = 0.8545, ResVar. = 0.2597</t>
  </si>
  <si>
    <t>Std. Curve: FI = 33.276 + (11384.2 - 33.276) / ((1 + (Conc / 850.883)^-0.606928))^2.72278</t>
  </si>
  <si>
    <t>Std. Curve: FI = 9.55607 + (14315.1 - 9.55607) / ((1 + (Conc / 3119.81)^-0.915964))^1.45206</t>
  </si>
  <si>
    <t>FitProb. = 0.4617, ResVar. = 0.7728</t>
  </si>
  <si>
    <t>FitProb. = 0.9212, ResVar. = 0.0821</t>
  </si>
  <si>
    <t>Std. Curve: FI = 6.93033 + (16411.2 - 6.93033) / ((1 + (Conc / 11803.7)^-0.962481))^1.81309</t>
  </si>
  <si>
    <t>Std. Curve: FI = 22.1253 + (10478.7 - 22.1253) / ((1 + (Conc / 3574.23)^-1.83479))^0.799256</t>
  </si>
  <si>
    <t>FitProb. = 0.7597, ResVar. = 0.2748</t>
  </si>
  <si>
    <t>FitProb. = 0.8069, ResVar. = 0.0598</t>
  </si>
  <si>
    <t>Std. Curve: FI = 10.6971 + (22067.2 - 10.6971) / ((1 + (Conc / 1121.81)^-0.983607))^1.09389</t>
  </si>
  <si>
    <t>Std. Curve: FI = 17.7259 + (19437.7 - 17.7259) / ((1 + (Conc / 3772.8)^-0.999439))^1.42618</t>
  </si>
  <si>
    <t>FitProb. = 0.6321, ResVar. = 0.5739</t>
  </si>
  <si>
    <t>FitProb. = 0.5860, ResVar. = 0.5344</t>
  </si>
  <si>
    <t>Std. Curve: FI = 3.75118 + (84936 - 3.75118) / ((1 + (Conc / 80107.7)^-0.580104))^1.84105</t>
  </si>
  <si>
    <t>FitProb. = 0.0498, ResVar. = 2.6075</t>
  </si>
  <si>
    <t>Lung_weight</t>
  </si>
  <si>
    <t>Mouse_ID</t>
  </si>
  <si>
    <t>Cytokines</t>
  </si>
  <si>
    <t>Eotaxin..74.</t>
  </si>
  <si>
    <t>G.CSF..54.</t>
  </si>
  <si>
    <t>GM.CSF..73.</t>
  </si>
  <si>
    <t>IFNg..34.</t>
  </si>
  <si>
    <t>IL.10..56.</t>
  </si>
  <si>
    <t>IL.12p40..76.</t>
  </si>
  <si>
    <t>IL.12p70..78.</t>
  </si>
  <si>
    <t>IL.13..37.</t>
  </si>
  <si>
    <t>IL.17A..72.</t>
  </si>
  <si>
    <t>IL.1b..19.</t>
  </si>
  <si>
    <t>IL.2..36.</t>
  </si>
  <si>
    <t>IL.3..18.</t>
  </si>
  <si>
    <t>IL.4..39.</t>
  </si>
  <si>
    <t>IL.5..52.</t>
  </si>
  <si>
    <t>IL.6..38.</t>
  </si>
  <si>
    <t>IL.9..33.</t>
  </si>
  <si>
    <t>IL.1a..53.</t>
  </si>
  <si>
    <t>KC..57.</t>
  </si>
  <si>
    <t>MCP.1..51.</t>
  </si>
  <si>
    <t>MIP.1B..75.</t>
  </si>
  <si>
    <t>MIP.1a..77.</t>
  </si>
  <si>
    <t>RANTES..55.</t>
  </si>
  <si>
    <t>TNFa..21.</t>
  </si>
  <si>
    <t>Minimum</t>
  </si>
  <si>
    <t>Lung_weight_x_100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</si>
</sst>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38100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2733675</xdr:colOff>
      <xdr:row>1</xdr:row>
      <xdr:rowOff>142875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1543050</xdr:colOff>
      <xdr:row>2</xdr:row>
      <xdr:rowOff>142875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0</xdr:row>
      <xdr:rowOff>0</xdr:rowOff>
    </xdr:from>
    <xdr:to>
      <xdr:col>3</xdr:col>
      <xdr:colOff>38100</xdr:colOff>
      <xdr:row>1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2733675</xdr:colOff>
      <xdr:row>1</xdr:row>
      <xdr:rowOff>142875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43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1543050</xdr:colOff>
      <xdr:row>2</xdr:row>
      <xdr:rowOff>142875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33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38100</xdr:colOff>
      <xdr:row>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2733675</xdr:colOff>
      <xdr:row>8</xdr:row>
      <xdr:rowOff>142875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1543050</xdr:colOff>
      <xdr:row>9</xdr:row>
      <xdr:rowOff>142875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38100</xdr:colOff>
      <xdr:row>8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2733675</xdr:colOff>
      <xdr:row>8</xdr:row>
      <xdr:rowOff>142875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629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1543050</xdr:colOff>
      <xdr:row>9</xdr:row>
      <xdr:rowOff>142875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6819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38100</xdr:colOff>
      <xdr:row>15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2733675</xdr:colOff>
      <xdr:row>15</xdr:row>
      <xdr:rowOff>142875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1543050</xdr:colOff>
      <xdr:row>16</xdr:row>
      <xdr:rowOff>142875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38100</xdr:colOff>
      <xdr:row>15</xdr:row>
      <xdr:rowOff>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7772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2733675</xdr:colOff>
      <xdr:row>15</xdr:row>
      <xdr:rowOff>142875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515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1543050</xdr:colOff>
      <xdr:row>16</xdr:row>
      <xdr:rowOff>142875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0706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38100</xdr:colOff>
      <xdr:row>22</xdr:row>
      <xdr:rowOff>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2733675</xdr:colOff>
      <xdr:row>22</xdr:row>
      <xdr:rowOff>142875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01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1543050</xdr:colOff>
      <xdr:row>23</xdr:row>
      <xdr:rowOff>142875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38100</xdr:colOff>
      <xdr:row>22</xdr:row>
      <xdr:rowOff>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1658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2733675</xdr:colOff>
      <xdr:row>22</xdr:row>
      <xdr:rowOff>142875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401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1543050</xdr:colOff>
      <xdr:row>23</xdr:row>
      <xdr:rowOff>142875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4592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38100</xdr:colOff>
      <xdr:row>29</xdr:row>
      <xdr:rowOff>0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448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2733675</xdr:colOff>
      <xdr:row>29</xdr:row>
      <xdr:rowOff>142875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1543050</xdr:colOff>
      <xdr:row>30</xdr:row>
      <xdr:rowOff>142875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38100</xdr:colOff>
      <xdr:row>29</xdr:row>
      <xdr:rowOff>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55448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2733675</xdr:colOff>
      <xdr:row>29</xdr:row>
      <xdr:rowOff>142875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288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1543050</xdr:colOff>
      <xdr:row>30</xdr:row>
      <xdr:rowOff>142875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8478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38100</xdr:colOff>
      <xdr:row>36</xdr:row>
      <xdr:rowOff>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2733675</xdr:colOff>
      <xdr:row>36</xdr:row>
      <xdr:rowOff>142875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1543050</xdr:colOff>
      <xdr:row>37</xdr:row>
      <xdr:rowOff>142875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64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38100</xdr:colOff>
      <xdr:row>36</xdr:row>
      <xdr:rowOff>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431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2733675</xdr:colOff>
      <xdr:row>36</xdr:row>
      <xdr:rowOff>142875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174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1543050</xdr:colOff>
      <xdr:row>37</xdr:row>
      <xdr:rowOff>142875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2364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1</xdr:col>
      <xdr:colOff>38100</xdr:colOff>
      <xdr:row>43</xdr:row>
      <xdr:rowOff>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17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2733675</xdr:colOff>
      <xdr:row>43</xdr:row>
      <xdr:rowOff>142875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60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1543050</xdr:colOff>
      <xdr:row>44</xdr:row>
      <xdr:rowOff>142875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50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38100</xdr:colOff>
      <xdr:row>43</xdr:row>
      <xdr:rowOff>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3317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2733675</xdr:colOff>
      <xdr:row>43</xdr:row>
      <xdr:rowOff>142875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060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1543050</xdr:colOff>
      <xdr:row>44</xdr:row>
      <xdr:rowOff>142875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6250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</xdr:col>
      <xdr:colOff>38100</xdr:colOff>
      <xdr:row>50</xdr:row>
      <xdr:rowOff>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03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2733675</xdr:colOff>
      <xdr:row>50</xdr:row>
      <xdr:rowOff>142875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946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1543050</xdr:colOff>
      <xdr:row>51</xdr:row>
      <xdr:rowOff>142875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37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38100</xdr:colOff>
      <xdr:row>50</xdr:row>
      <xdr:rowOff>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72034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2733675</xdr:colOff>
      <xdr:row>50</xdr:row>
      <xdr:rowOff>142875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99466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1543050</xdr:colOff>
      <xdr:row>51</xdr:row>
      <xdr:rowOff>142875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01371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1</xdr:col>
      <xdr:colOff>38100</xdr:colOff>
      <xdr:row>57</xdr:row>
      <xdr:rowOff>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89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2733675</xdr:colOff>
      <xdr:row>57</xdr:row>
      <xdr:rowOff>142875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32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1543050</xdr:colOff>
      <xdr:row>58</xdr:row>
      <xdr:rowOff>142875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3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38100</xdr:colOff>
      <xdr:row>57</xdr:row>
      <xdr:rowOff>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10896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2733675</xdr:colOff>
      <xdr:row>57</xdr:row>
      <xdr:rowOff>142875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38328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1543050</xdr:colOff>
      <xdr:row>58</xdr:row>
      <xdr:rowOff>142875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0233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1</xdr:col>
      <xdr:colOff>38100</xdr:colOff>
      <xdr:row>64</xdr:row>
      <xdr:rowOff>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758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2733675</xdr:colOff>
      <xdr:row>64</xdr:row>
      <xdr:rowOff>142875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1543050</xdr:colOff>
      <xdr:row>65</xdr:row>
      <xdr:rowOff>142875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38100</xdr:colOff>
      <xdr:row>64</xdr:row>
      <xdr:rowOff>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49758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2733675</xdr:colOff>
      <xdr:row>64</xdr:row>
      <xdr:rowOff>142875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77190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1543050</xdr:colOff>
      <xdr:row>65</xdr:row>
      <xdr:rowOff>142875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79095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1</xdr:col>
      <xdr:colOff>38100</xdr:colOff>
      <xdr:row>71</xdr:row>
      <xdr:rowOff>0</xdr:rowOff>
    </xdr:to>
    <xdr:pic>
      <xdr:nvPicPr>
        <xdr:cNvPr id="1085" name="Picture 61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2733675</xdr:colOff>
      <xdr:row>71</xdr:row>
      <xdr:rowOff>142875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05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1543050</xdr:colOff>
      <xdr:row>72</xdr:row>
      <xdr:rowOff>142875</xdr:rowOff>
    </xdr:to>
    <xdr:pic>
      <xdr:nvPicPr>
        <xdr:cNvPr id="1087" name="Picture 63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95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38100</xdr:colOff>
      <xdr:row>71</xdr:row>
      <xdr:rowOff>0</xdr:rowOff>
    </xdr:to>
    <xdr:pic>
      <xdr:nvPicPr>
        <xdr:cNvPr id="1088" name="Picture 64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8620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2733675</xdr:colOff>
      <xdr:row>71</xdr:row>
      <xdr:rowOff>142875</xdr:rowOff>
    </xdr:to>
    <xdr:pic>
      <xdr:nvPicPr>
        <xdr:cNvPr id="1089" name="Picture 65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16052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1543050</xdr:colOff>
      <xdr:row>72</xdr:row>
      <xdr:rowOff>142875</xdr:rowOff>
    </xdr:to>
    <xdr:pic>
      <xdr:nvPicPr>
        <xdr:cNvPr id="1090" name="Picture 66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417957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1</xdr:col>
      <xdr:colOff>38100</xdr:colOff>
      <xdr:row>78</xdr:row>
      <xdr:rowOff>0</xdr:rowOff>
    </xdr:to>
    <xdr:pic>
      <xdr:nvPicPr>
        <xdr:cNvPr id="1091" name="Picture 67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48200"/>
          <a:ext cx="54864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2733675</xdr:colOff>
      <xdr:row>78</xdr:row>
      <xdr:rowOff>142875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91400"/>
          <a:ext cx="27336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1543050</xdr:colOff>
      <xdr:row>79</xdr:row>
      <xdr:rowOff>142875</xdr:rowOff>
    </xdr:to>
    <xdr:pic>
      <xdr:nvPicPr>
        <xdr:cNvPr id="1093" name="Picture 69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81900"/>
          <a:ext cx="15430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96"/>
  <sheetViews>
    <sheetView zoomScale="70" zoomScaleNormal="70" workbookViewId="0">
      <selection activeCell="H10" sqref="H10"/>
    </sheetView>
  </sheetViews>
  <sheetFormatPr defaultColWidth="8.85546875" defaultRowHeight="15" x14ac:dyDescent="0.25"/>
  <cols>
    <col min="3" max="3" width="33.85546875" bestFit="1" customWidth="1"/>
    <col min="4" max="4" width="20.42578125" bestFit="1" customWidth="1"/>
    <col min="5" max="5" width="5.28515625" bestFit="1" customWidth="1"/>
    <col min="6" max="6" width="6.140625" bestFit="1" customWidth="1"/>
    <col min="7" max="7" width="26.85546875" bestFit="1" customWidth="1"/>
    <col min="8" max="8" width="11.42578125" bestFit="1" customWidth="1"/>
    <col min="9" max="9" width="10.140625" bestFit="1" customWidth="1"/>
    <col min="10" max="10" width="12" bestFit="1" customWidth="1"/>
    <col min="13" max="14" width="12.140625" bestFit="1" customWidth="1"/>
    <col min="15" max="15" width="10" bestFit="1" customWidth="1"/>
    <col min="16" max="16" width="10.28515625" bestFit="1" customWidth="1"/>
    <col min="26" max="26" width="10.7109375" bestFit="1" customWidth="1"/>
    <col min="27" max="27" width="11.28515625" bestFit="1" customWidth="1"/>
    <col min="28" max="28" width="11.140625" bestFit="1" customWidth="1"/>
    <col min="29" max="29" width="11.7109375" bestFit="1" customWidth="1"/>
    <col min="30" max="30" width="9.28515625" bestFit="1" customWidth="1"/>
  </cols>
  <sheetData>
    <row r="1" spans="1:30" x14ac:dyDescent="0.25">
      <c r="E1" s="1" t="s">
        <v>0</v>
      </c>
    </row>
    <row r="2" spans="1:30" x14ac:dyDescent="0.25">
      <c r="E2" s="1" t="s">
        <v>1</v>
      </c>
    </row>
    <row r="3" spans="1:30" x14ac:dyDescent="0.25">
      <c r="E3" s="1" t="s">
        <v>2</v>
      </c>
    </row>
    <row r="4" spans="1:30" x14ac:dyDescent="0.25">
      <c r="E4" s="1" t="s">
        <v>3</v>
      </c>
    </row>
    <row r="5" spans="1:30" x14ac:dyDescent="0.25">
      <c r="E5" s="1" t="s">
        <v>4</v>
      </c>
    </row>
    <row r="6" spans="1:30" x14ac:dyDescent="0.25">
      <c r="E6" s="1" t="s">
        <v>5</v>
      </c>
    </row>
    <row r="8" spans="1:30" x14ac:dyDescent="0.25">
      <c r="E8" s="1"/>
      <c r="F8" s="1"/>
      <c r="G8" s="1"/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27</v>
      </c>
      <c r="AD8" s="1" t="s">
        <v>28</v>
      </c>
    </row>
    <row r="9" spans="1:30" x14ac:dyDescent="0.25">
      <c r="A9" t="s">
        <v>29</v>
      </c>
      <c r="B9" t="s">
        <v>30</v>
      </c>
      <c r="C9" t="s">
        <v>31</v>
      </c>
      <c r="D9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  <c r="AD9" s="1" t="s">
        <v>36</v>
      </c>
    </row>
    <row r="10" spans="1:30" x14ac:dyDescent="0.25">
      <c r="A10">
        <v>1</v>
      </c>
      <c r="B10" t="s">
        <v>37</v>
      </c>
      <c r="C10">
        <v>33.5</v>
      </c>
      <c r="D10" s="4">
        <f>C10/1000</f>
        <v>3.3500000000000002E-2</v>
      </c>
      <c r="E10" t="s">
        <v>38</v>
      </c>
      <c r="F10" t="s">
        <v>39</v>
      </c>
      <c r="G10" t="s">
        <v>40</v>
      </c>
      <c r="H10">
        <v>97.06</v>
      </c>
      <c r="I10">
        <v>0</v>
      </c>
      <c r="J10">
        <v>0</v>
      </c>
      <c r="K10">
        <v>7.87</v>
      </c>
      <c r="L10">
        <v>0.73</v>
      </c>
      <c r="M10">
        <v>21.16</v>
      </c>
      <c r="N10">
        <v>54.59</v>
      </c>
      <c r="O10">
        <v>10.36</v>
      </c>
      <c r="P10">
        <v>1.02</v>
      </c>
      <c r="Q10">
        <v>9.3699999999999992</v>
      </c>
      <c r="R10">
        <v>0.44</v>
      </c>
      <c r="S10">
        <v>10.41</v>
      </c>
      <c r="T10">
        <v>0.79</v>
      </c>
      <c r="U10">
        <v>0.59</v>
      </c>
      <c r="V10">
        <v>2</v>
      </c>
      <c r="W10">
        <v>12.11</v>
      </c>
      <c r="X10">
        <v>7.25</v>
      </c>
      <c r="Y10">
        <v>9.56</v>
      </c>
      <c r="Z10">
        <v>109.59</v>
      </c>
      <c r="AA10">
        <v>28.77</v>
      </c>
      <c r="AB10">
        <v>5.39</v>
      </c>
      <c r="AC10">
        <v>68.36</v>
      </c>
      <c r="AD10">
        <v>9.26</v>
      </c>
    </row>
    <row r="11" spans="1:30" x14ac:dyDescent="0.25">
      <c r="A11">
        <v>2</v>
      </c>
      <c r="B11" t="s">
        <v>37</v>
      </c>
      <c r="C11">
        <v>38.1</v>
      </c>
      <c r="D11" s="4">
        <f t="shared" ref="D11:D74" si="0">C11/1000</f>
        <v>3.8100000000000002E-2</v>
      </c>
      <c r="E11" t="s">
        <v>41</v>
      </c>
      <c r="F11" t="s">
        <v>42</v>
      </c>
      <c r="G11" t="s">
        <v>43</v>
      </c>
      <c r="H11">
        <v>142.04</v>
      </c>
      <c r="I11">
        <v>1.7</v>
      </c>
      <c r="J11">
        <v>0</v>
      </c>
      <c r="K11">
        <v>8.2200000000000006</v>
      </c>
      <c r="L11">
        <v>2.5099999999999998</v>
      </c>
      <c r="M11">
        <v>35.32</v>
      </c>
      <c r="N11">
        <v>62.6</v>
      </c>
      <c r="O11">
        <v>13.79</v>
      </c>
      <c r="P11">
        <v>1.91</v>
      </c>
      <c r="Q11">
        <v>8.1999999999999993</v>
      </c>
      <c r="R11">
        <v>1.33</v>
      </c>
      <c r="S11">
        <v>10.97</v>
      </c>
      <c r="T11">
        <v>0.79</v>
      </c>
      <c r="U11">
        <v>0.82</v>
      </c>
      <c r="V11">
        <v>1.6</v>
      </c>
      <c r="W11">
        <v>8.51</v>
      </c>
      <c r="X11">
        <v>0</v>
      </c>
      <c r="Y11">
        <v>18.53</v>
      </c>
      <c r="Z11">
        <v>168.36</v>
      </c>
      <c r="AA11">
        <v>37.08</v>
      </c>
      <c r="AB11">
        <v>5.68</v>
      </c>
      <c r="AC11">
        <v>300.35000000000002</v>
      </c>
      <c r="AD11">
        <v>12.55</v>
      </c>
    </row>
    <row r="12" spans="1:30" x14ac:dyDescent="0.25">
      <c r="A12">
        <v>3</v>
      </c>
      <c r="B12" t="s">
        <v>37</v>
      </c>
      <c r="C12">
        <v>31.5</v>
      </c>
      <c r="D12" s="4">
        <f t="shared" si="0"/>
        <v>3.15E-2</v>
      </c>
      <c r="E12" t="s">
        <v>44</v>
      </c>
      <c r="F12" t="s">
        <v>45</v>
      </c>
      <c r="G12" t="s">
        <v>46</v>
      </c>
      <c r="H12">
        <v>76.63</v>
      </c>
      <c r="I12">
        <v>1.7</v>
      </c>
      <c r="J12">
        <v>0</v>
      </c>
      <c r="K12">
        <v>8.9</v>
      </c>
      <c r="L12">
        <v>4.74</v>
      </c>
      <c r="M12">
        <v>33.729999999999997</v>
      </c>
      <c r="N12">
        <v>61.15</v>
      </c>
      <c r="O12">
        <v>23.43</v>
      </c>
      <c r="P12">
        <v>2.85</v>
      </c>
      <c r="Q12">
        <v>9.11</v>
      </c>
      <c r="R12">
        <v>0.44</v>
      </c>
      <c r="S12">
        <v>11.52</v>
      </c>
      <c r="T12">
        <v>0.79</v>
      </c>
      <c r="U12">
        <v>1.27</v>
      </c>
      <c r="V12">
        <v>1.6</v>
      </c>
      <c r="W12">
        <v>11.49</v>
      </c>
      <c r="X12">
        <v>0</v>
      </c>
      <c r="Y12">
        <v>16.68</v>
      </c>
      <c r="Z12">
        <v>129.19999999999999</v>
      </c>
      <c r="AA12">
        <v>26.52</v>
      </c>
      <c r="AB12">
        <v>4.24</v>
      </c>
      <c r="AC12">
        <v>128.21</v>
      </c>
      <c r="AD12">
        <v>15.79</v>
      </c>
    </row>
    <row r="13" spans="1:30" x14ac:dyDescent="0.25">
      <c r="A13">
        <v>4</v>
      </c>
      <c r="B13" t="s">
        <v>37</v>
      </c>
      <c r="C13">
        <v>33.4</v>
      </c>
      <c r="D13" s="4">
        <f t="shared" si="0"/>
        <v>3.3399999999999999E-2</v>
      </c>
      <c r="E13" t="s">
        <v>47</v>
      </c>
      <c r="F13" t="s">
        <v>48</v>
      </c>
      <c r="G13" t="s">
        <v>49</v>
      </c>
      <c r="H13">
        <v>90.77</v>
      </c>
      <c r="I13">
        <v>1.7</v>
      </c>
      <c r="J13">
        <v>0</v>
      </c>
      <c r="K13">
        <v>6.49</v>
      </c>
      <c r="L13">
        <v>4.03</v>
      </c>
      <c r="M13">
        <v>58.71</v>
      </c>
      <c r="N13">
        <v>64.06</v>
      </c>
      <c r="O13">
        <v>13.79</v>
      </c>
      <c r="P13">
        <v>2.29</v>
      </c>
      <c r="Q13">
        <v>3.88</v>
      </c>
      <c r="R13">
        <v>0.74</v>
      </c>
      <c r="S13">
        <v>5.25</v>
      </c>
      <c r="T13">
        <v>0.6</v>
      </c>
      <c r="U13">
        <v>1.49</v>
      </c>
      <c r="V13">
        <v>1.19</v>
      </c>
      <c r="W13">
        <v>11.04</v>
      </c>
      <c r="X13">
        <v>0</v>
      </c>
      <c r="Y13">
        <v>12.77</v>
      </c>
      <c r="Z13">
        <v>129.19999999999999</v>
      </c>
      <c r="AA13">
        <v>44.59</v>
      </c>
      <c r="AB13">
        <v>7.31</v>
      </c>
      <c r="AC13">
        <v>225.49</v>
      </c>
      <c r="AD13">
        <v>9.26</v>
      </c>
    </row>
    <row r="14" spans="1:30" x14ac:dyDescent="0.25">
      <c r="A14">
        <v>6</v>
      </c>
      <c r="B14" t="s">
        <v>37</v>
      </c>
      <c r="C14">
        <v>50.9</v>
      </c>
      <c r="D14" s="4">
        <f t="shared" si="0"/>
        <v>5.0900000000000001E-2</v>
      </c>
      <c r="E14" t="s">
        <v>50</v>
      </c>
      <c r="F14" t="s">
        <v>51</v>
      </c>
      <c r="G14" t="s">
        <v>52</v>
      </c>
      <c r="H14">
        <v>136.97</v>
      </c>
      <c r="I14">
        <v>1.7</v>
      </c>
      <c r="J14">
        <v>0</v>
      </c>
      <c r="K14">
        <v>13.9</v>
      </c>
      <c r="L14">
        <v>0</v>
      </c>
      <c r="M14">
        <v>63.19</v>
      </c>
      <c r="N14">
        <v>56.78</v>
      </c>
      <c r="O14">
        <v>29.54</v>
      </c>
      <c r="P14">
        <v>1.35</v>
      </c>
      <c r="Q14">
        <v>12.66</v>
      </c>
      <c r="R14">
        <v>2.19</v>
      </c>
      <c r="S14">
        <v>18.98</v>
      </c>
      <c r="T14">
        <v>0.6</v>
      </c>
      <c r="U14">
        <v>1.05</v>
      </c>
      <c r="V14">
        <v>1.19</v>
      </c>
      <c r="W14">
        <v>6.44</v>
      </c>
      <c r="X14">
        <v>20.77</v>
      </c>
      <c r="Y14">
        <v>22.93</v>
      </c>
      <c r="Z14">
        <v>183.28</v>
      </c>
      <c r="AA14">
        <v>33.04</v>
      </c>
      <c r="AB14">
        <v>4.5999999999999996</v>
      </c>
      <c r="AC14">
        <v>217.12</v>
      </c>
      <c r="AD14">
        <v>20.58</v>
      </c>
    </row>
    <row r="15" spans="1:30" x14ac:dyDescent="0.25">
      <c r="A15">
        <v>7</v>
      </c>
      <c r="B15" t="s">
        <v>37</v>
      </c>
      <c r="C15">
        <v>27.9</v>
      </c>
      <c r="D15" s="4">
        <f t="shared" si="0"/>
        <v>2.7899999999999998E-2</v>
      </c>
      <c r="E15" t="s">
        <v>53</v>
      </c>
      <c r="F15" t="s">
        <v>54</v>
      </c>
      <c r="G15" t="s">
        <v>55</v>
      </c>
      <c r="H15">
        <v>87.81</v>
      </c>
      <c r="I15">
        <v>7.97</v>
      </c>
      <c r="J15">
        <v>0</v>
      </c>
      <c r="K15">
        <v>10.25</v>
      </c>
      <c r="L15">
        <v>8.0299999999999994</v>
      </c>
      <c r="M15">
        <v>36.5</v>
      </c>
      <c r="N15">
        <v>66.97</v>
      </c>
      <c r="O15">
        <v>23.43</v>
      </c>
      <c r="P15">
        <v>2.4700000000000002</v>
      </c>
      <c r="Q15">
        <v>9.76</v>
      </c>
      <c r="R15">
        <v>1.04</v>
      </c>
      <c r="S15">
        <v>11.52</v>
      </c>
      <c r="T15">
        <v>0.97</v>
      </c>
      <c r="U15">
        <v>1.27</v>
      </c>
      <c r="V15">
        <v>1.6</v>
      </c>
      <c r="W15">
        <v>12.9</v>
      </c>
      <c r="X15">
        <v>0</v>
      </c>
      <c r="Y15">
        <v>27.08</v>
      </c>
      <c r="Z15">
        <v>141.16999999999999</v>
      </c>
      <c r="AA15">
        <v>58.9</v>
      </c>
      <c r="AB15">
        <v>7.31</v>
      </c>
      <c r="AC15">
        <v>830.46</v>
      </c>
      <c r="AD15">
        <v>14.17</v>
      </c>
    </row>
    <row r="16" spans="1:30" x14ac:dyDescent="0.25">
      <c r="A16">
        <v>8</v>
      </c>
      <c r="B16" t="s">
        <v>37</v>
      </c>
      <c r="C16">
        <v>38.6</v>
      </c>
      <c r="D16" s="4">
        <f t="shared" si="0"/>
        <v>3.8600000000000002E-2</v>
      </c>
      <c r="E16" t="s">
        <v>56</v>
      </c>
      <c r="F16" t="s">
        <v>57</v>
      </c>
      <c r="G16" t="s">
        <v>58</v>
      </c>
      <c r="H16">
        <v>107.8</v>
      </c>
      <c r="I16">
        <v>4.99</v>
      </c>
      <c r="J16">
        <v>0</v>
      </c>
      <c r="K16">
        <v>7.18</v>
      </c>
      <c r="L16">
        <v>0</v>
      </c>
      <c r="M16">
        <v>54.95</v>
      </c>
      <c r="N16">
        <v>46.53</v>
      </c>
      <c r="O16">
        <v>13.79</v>
      </c>
      <c r="P16">
        <v>1.49</v>
      </c>
      <c r="Q16">
        <v>11.16</v>
      </c>
      <c r="R16">
        <v>1.33</v>
      </c>
      <c r="S16">
        <v>8.73</v>
      </c>
      <c r="T16">
        <v>0.51</v>
      </c>
      <c r="U16">
        <v>0.82</v>
      </c>
      <c r="V16">
        <v>0.78</v>
      </c>
      <c r="W16">
        <v>6.63</v>
      </c>
      <c r="X16">
        <v>0</v>
      </c>
      <c r="Y16">
        <v>27.08</v>
      </c>
      <c r="Z16">
        <v>163.18</v>
      </c>
      <c r="AA16">
        <v>30.94</v>
      </c>
      <c r="AB16">
        <v>6.29</v>
      </c>
      <c r="AC16">
        <v>291.64999999999998</v>
      </c>
      <c r="AD16">
        <v>10.91</v>
      </c>
    </row>
    <row r="17" spans="1:30" x14ac:dyDescent="0.25">
      <c r="A17">
        <v>9</v>
      </c>
      <c r="B17" t="s">
        <v>37</v>
      </c>
      <c r="C17">
        <v>33.4</v>
      </c>
      <c r="D17" s="4">
        <f t="shared" si="0"/>
        <v>3.3399999999999999E-2</v>
      </c>
      <c r="E17" t="s">
        <v>59</v>
      </c>
      <c r="F17" t="s">
        <v>60</v>
      </c>
      <c r="G17" t="s">
        <v>61</v>
      </c>
      <c r="H17">
        <v>70.94</v>
      </c>
      <c r="I17">
        <v>1.7</v>
      </c>
      <c r="J17">
        <v>0</v>
      </c>
      <c r="K17">
        <v>5.79</v>
      </c>
      <c r="L17">
        <v>0</v>
      </c>
      <c r="M17">
        <v>34.92</v>
      </c>
      <c r="N17">
        <v>43.58</v>
      </c>
      <c r="O17">
        <v>26.51</v>
      </c>
      <c r="P17">
        <v>3.13</v>
      </c>
      <c r="Q17">
        <v>7.81</v>
      </c>
      <c r="R17">
        <v>1.18</v>
      </c>
      <c r="S17">
        <v>9.58</v>
      </c>
      <c r="T17">
        <v>0.88</v>
      </c>
      <c r="U17">
        <v>1.05</v>
      </c>
      <c r="V17">
        <v>2</v>
      </c>
      <c r="W17">
        <v>5.08</v>
      </c>
      <c r="X17">
        <v>0</v>
      </c>
      <c r="Y17">
        <v>11.73</v>
      </c>
      <c r="Z17">
        <v>47.39</v>
      </c>
      <c r="AA17">
        <v>28.77</v>
      </c>
      <c r="AB17">
        <v>4.5999999999999996</v>
      </c>
      <c r="AC17">
        <v>417.06</v>
      </c>
      <c r="AD17">
        <v>14.98</v>
      </c>
    </row>
    <row r="18" spans="1:30" x14ac:dyDescent="0.25">
      <c r="A18">
        <v>10</v>
      </c>
      <c r="B18" t="s">
        <v>37</v>
      </c>
      <c r="C18">
        <v>40.200000000000003</v>
      </c>
      <c r="D18" s="4">
        <f t="shared" si="0"/>
        <v>4.02E-2</v>
      </c>
      <c r="E18" t="s">
        <v>62</v>
      </c>
      <c r="F18" t="s">
        <v>63</v>
      </c>
      <c r="G18" t="s">
        <v>64</v>
      </c>
      <c r="H18">
        <v>140.68</v>
      </c>
      <c r="I18">
        <v>1.7</v>
      </c>
      <c r="J18">
        <v>0</v>
      </c>
      <c r="K18">
        <v>5.43</v>
      </c>
      <c r="L18">
        <v>0</v>
      </c>
      <c r="M18">
        <v>17.78</v>
      </c>
      <c r="N18">
        <v>41.37</v>
      </c>
      <c r="O18">
        <v>17.09</v>
      </c>
      <c r="P18">
        <v>2.57</v>
      </c>
      <c r="Q18">
        <v>6.2</v>
      </c>
      <c r="R18">
        <v>0.74</v>
      </c>
      <c r="S18">
        <v>4.03</v>
      </c>
      <c r="T18">
        <v>0.6</v>
      </c>
      <c r="U18">
        <v>0.59</v>
      </c>
      <c r="V18">
        <v>1.6</v>
      </c>
      <c r="W18">
        <v>6.44</v>
      </c>
      <c r="X18">
        <v>0</v>
      </c>
      <c r="Y18">
        <v>12.77</v>
      </c>
      <c r="Z18">
        <v>152.46</v>
      </c>
      <c r="AA18">
        <v>21.71</v>
      </c>
      <c r="AB18">
        <v>2.54</v>
      </c>
      <c r="AC18">
        <v>183.71</v>
      </c>
      <c r="AD18">
        <v>7.59</v>
      </c>
    </row>
    <row r="19" spans="1:30" x14ac:dyDescent="0.25">
      <c r="A19">
        <v>11</v>
      </c>
      <c r="B19" t="s">
        <v>37</v>
      </c>
      <c r="C19">
        <v>36.5</v>
      </c>
      <c r="D19" s="4">
        <f t="shared" si="0"/>
        <v>3.6499999999999998E-2</v>
      </c>
      <c r="E19" t="s">
        <v>65</v>
      </c>
      <c r="F19" t="s">
        <v>66</v>
      </c>
      <c r="G19" t="s">
        <v>67</v>
      </c>
      <c r="H19">
        <v>131.28</v>
      </c>
      <c r="I19">
        <v>0</v>
      </c>
      <c r="J19">
        <v>0</v>
      </c>
      <c r="K19">
        <v>5.08</v>
      </c>
      <c r="L19">
        <v>0</v>
      </c>
      <c r="M19">
        <v>48.88</v>
      </c>
      <c r="N19">
        <v>53.86</v>
      </c>
      <c r="O19">
        <v>10.36</v>
      </c>
      <c r="P19">
        <v>1.1100000000000001</v>
      </c>
      <c r="Q19">
        <v>5.79</v>
      </c>
      <c r="R19">
        <v>0.44</v>
      </c>
      <c r="S19">
        <v>3.41</v>
      </c>
      <c r="T19">
        <v>0.32</v>
      </c>
      <c r="U19">
        <v>0.82</v>
      </c>
      <c r="V19">
        <v>2</v>
      </c>
      <c r="W19">
        <v>7.01</v>
      </c>
      <c r="X19">
        <v>0</v>
      </c>
      <c r="Y19">
        <v>16.68</v>
      </c>
      <c r="Z19">
        <v>116.39</v>
      </c>
      <c r="AA19">
        <v>40.909999999999997</v>
      </c>
      <c r="AB19">
        <v>5.18</v>
      </c>
      <c r="AC19">
        <v>209.72</v>
      </c>
      <c r="AD19">
        <v>9.26</v>
      </c>
    </row>
    <row r="20" spans="1:30" x14ac:dyDescent="0.25">
      <c r="A20">
        <v>12</v>
      </c>
      <c r="B20" t="s">
        <v>37</v>
      </c>
      <c r="C20">
        <v>27.7</v>
      </c>
      <c r="D20" s="4">
        <f t="shared" si="0"/>
        <v>2.7699999999999999E-2</v>
      </c>
      <c r="E20" t="s">
        <v>68</v>
      </c>
      <c r="F20" t="s">
        <v>69</v>
      </c>
      <c r="G20" t="s">
        <v>70</v>
      </c>
      <c r="H20">
        <v>107.8</v>
      </c>
      <c r="I20">
        <v>0</v>
      </c>
      <c r="J20">
        <v>0</v>
      </c>
      <c r="K20">
        <v>4.72</v>
      </c>
      <c r="L20">
        <v>0</v>
      </c>
      <c r="M20">
        <v>40.409999999999997</v>
      </c>
      <c r="N20">
        <v>31.7</v>
      </c>
      <c r="O20">
        <v>10.36</v>
      </c>
      <c r="P20">
        <v>1.72</v>
      </c>
      <c r="Q20">
        <v>4.53</v>
      </c>
      <c r="R20">
        <v>0.44</v>
      </c>
      <c r="S20">
        <v>4.03</v>
      </c>
      <c r="T20">
        <v>0.41</v>
      </c>
      <c r="U20">
        <v>0.35</v>
      </c>
      <c r="V20">
        <v>1.19</v>
      </c>
      <c r="W20">
        <v>4.28</v>
      </c>
      <c r="X20">
        <v>0</v>
      </c>
      <c r="Y20">
        <v>9.56</v>
      </c>
      <c r="Z20">
        <v>87.05</v>
      </c>
      <c r="AA20">
        <v>19.12</v>
      </c>
      <c r="AB20">
        <v>3.06</v>
      </c>
      <c r="AC20">
        <v>162.85</v>
      </c>
      <c r="AD20">
        <v>10.91</v>
      </c>
    </row>
    <row r="21" spans="1:30" x14ac:dyDescent="0.25">
      <c r="A21">
        <v>13</v>
      </c>
      <c r="B21" t="s">
        <v>37</v>
      </c>
      <c r="C21">
        <v>39.9</v>
      </c>
      <c r="D21" s="4">
        <f t="shared" si="0"/>
        <v>3.9899999999999998E-2</v>
      </c>
      <c r="E21" t="s">
        <v>71</v>
      </c>
      <c r="F21" t="s">
        <v>72</v>
      </c>
      <c r="G21" t="s">
        <v>73</v>
      </c>
      <c r="H21">
        <v>55.6</v>
      </c>
      <c r="I21">
        <v>0</v>
      </c>
      <c r="J21">
        <v>0</v>
      </c>
      <c r="K21">
        <v>0</v>
      </c>
      <c r="L21">
        <v>0</v>
      </c>
      <c r="M21">
        <v>6.61</v>
      </c>
      <c r="N21">
        <v>21.85</v>
      </c>
      <c r="O21">
        <v>0</v>
      </c>
      <c r="P21">
        <v>0</v>
      </c>
      <c r="Q21">
        <v>2.77</v>
      </c>
      <c r="R21">
        <v>0</v>
      </c>
      <c r="S21">
        <v>2.12</v>
      </c>
      <c r="T21">
        <v>0</v>
      </c>
      <c r="U21">
        <v>0</v>
      </c>
      <c r="V21">
        <v>0</v>
      </c>
      <c r="W21">
        <v>3.87</v>
      </c>
      <c r="X21">
        <v>0</v>
      </c>
      <c r="Y21">
        <v>7.83</v>
      </c>
      <c r="Z21">
        <v>0</v>
      </c>
      <c r="AA21">
        <v>22.96</v>
      </c>
      <c r="AB21">
        <v>4.78</v>
      </c>
      <c r="AC21">
        <v>238.9</v>
      </c>
      <c r="AD21">
        <v>0.53</v>
      </c>
    </row>
    <row r="22" spans="1:30" x14ac:dyDescent="0.25">
      <c r="A22">
        <v>14</v>
      </c>
      <c r="B22" t="s">
        <v>37</v>
      </c>
      <c r="C22">
        <v>31.7</v>
      </c>
      <c r="D22" s="4">
        <f t="shared" si="0"/>
        <v>3.1699999999999999E-2</v>
      </c>
      <c r="E22" t="s">
        <v>74</v>
      </c>
      <c r="F22" t="s">
        <v>75</v>
      </c>
      <c r="G22" t="s">
        <v>76</v>
      </c>
      <c r="H22">
        <v>114.71</v>
      </c>
      <c r="I22">
        <v>0</v>
      </c>
      <c r="J22">
        <v>0</v>
      </c>
      <c r="K22">
        <v>4.3600000000000003</v>
      </c>
      <c r="L22">
        <v>0</v>
      </c>
      <c r="M22">
        <v>38.07</v>
      </c>
      <c r="N22">
        <v>37.67</v>
      </c>
      <c r="O22">
        <v>13.79</v>
      </c>
      <c r="P22">
        <v>2</v>
      </c>
      <c r="Q22">
        <v>5.44</v>
      </c>
      <c r="R22">
        <v>1.04</v>
      </c>
      <c r="S22">
        <v>4.6399999999999997</v>
      </c>
      <c r="T22">
        <v>0.6</v>
      </c>
      <c r="U22">
        <v>0.59</v>
      </c>
      <c r="V22">
        <v>1.6</v>
      </c>
      <c r="W22">
        <v>5.08</v>
      </c>
      <c r="X22">
        <v>0</v>
      </c>
      <c r="Y22">
        <v>18.53</v>
      </c>
      <c r="Z22">
        <v>129.19999999999999</v>
      </c>
      <c r="AA22">
        <v>25.35</v>
      </c>
      <c r="AB22">
        <v>4.09</v>
      </c>
      <c r="AC22">
        <v>237.88</v>
      </c>
      <c r="AD22">
        <v>10.91</v>
      </c>
    </row>
    <row r="23" spans="1:30" x14ac:dyDescent="0.25">
      <c r="A23">
        <v>15</v>
      </c>
      <c r="B23" t="s">
        <v>37</v>
      </c>
      <c r="C23">
        <v>35.4</v>
      </c>
      <c r="D23" s="4">
        <f t="shared" si="0"/>
        <v>3.5400000000000001E-2</v>
      </c>
      <c r="E23" t="s">
        <v>77</v>
      </c>
      <c r="F23" t="s">
        <v>78</v>
      </c>
      <c r="G23" t="s">
        <v>79</v>
      </c>
      <c r="H23">
        <v>62.68</v>
      </c>
      <c r="I23">
        <v>0</v>
      </c>
      <c r="J23">
        <v>0</v>
      </c>
      <c r="K23">
        <v>3.62</v>
      </c>
      <c r="L23">
        <v>0</v>
      </c>
      <c r="M23">
        <v>31.35</v>
      </c>
      <c r="N23">
        <v>40.630000000000003</v>
      </c>
      <c r="O23">
        <v>10.36</v>
      </c>
      <c r="P23">
        <v>1.25</v>
      </c>
      <c r="Q23">
        <v>2.77</v>
      </c>
      <c r="R23">
        <v>0.13</v>
      </c>
      <c r="S23">
        <v>4.03</v>
      </c>
      <c r="T23">
        <v>0.41</v>
      </c>
      <c r="U23">
        <v>0.1</v>
      </c>
      <c r="V23">
        <v>0.78</v>
      </c>
      <c r="W23">
        <v>5.77</v>
      </c>
      <c r="X23">
        <v>0</v>
      </c>
      <c r="Y23">
        <v>9.56</v>
      </c>
      <c r="Z23">
        <v>9.8699999999999992</v>
      </c>
      <c r="AA23">
        <v>0</v>
      </c>
      <c r="AB23">
        <v>2</v>
      </c>
      <c r="AC23">
        <v>121.29</v>
      </c>
      <c r="AD23">
        <v>9.26</v>
      </c>
    </row>
    <row r="24" spans="1:30" x14ac:dyDescent="0.25">
      <c r="A24">
        <v>16</v>
      </c>
      <c r="B24" t="s">
        <v>80</v>
      </c>
      <c r="C24">
        <v>31.9</v>
      </c>
      <c r="D24" s="4">
        <f t="shared" si="0"/>
        <v>3.1899999999999998E-2</v>
      </c>
      <c r="E24" t="s">
        <v>81</v>
      </c>
      <c r="F24" t="s">
        <v>82</v>
      </c>
      <c r="G24" t="s">
        <v>83</v>
      </c>
      <c r="H24">
        <v>159.16</v>
      </c>
      <c r="I24">
        <v>16.21</v>
      </c>
      <c r="J24">
        <v>9.5299999999999994</v>
      </c>
      <c r="K24">
        <v>38.619999999999997</v>
      </c>
      <c r="L24">
        <v>16.61</v>
      </c>
      <c r="M24">
        <v>39.630000000000003</v>
      </c>
      <c r="N24">
        <v>72.77</v>
      </c>
      <c r="O24">
        <v>106.26</v>
      </c>
      <c r="P24">
        <v>2.33</v>
      </c>
      <c r="Q24">
        <v>19.62</v>
      </c>
      <c r="R24">
        <v>3.86</v>
      </c>
      <c r="S24">
        <v>65.95</v>
      </c>
      <c r="T24">
        <v>0.6</v>
      </c>
      <c r="U24">
        <v>3.15</v>
      </c>
      <c r="V24">
        <v>8.65</v>
      </c>
      <c r="W24">
        <v>13.85</v>
      </c>
      <c r="X24">
        <v>70.069999999999993</v>
      </c>
      <c r="Y24">
        <v>28.69</v>
      </c>
      <c r="Z24">
        <v>87.05</v>
      </c>
      <c r="AA24">
        <v>46.38</v>
      </c>
      <c r="AB24">
        <v>3.8</v>
      </c>
      <c r="AC24">
        <v>143.18</v>
      </c>
      <c r="AD24">
        <v>49.93</v>
      </c>
    </row>
    <row r="25" spans="1:30" x14ac:dyDescent="0.25">
      <c r="A25">
        <v>17</v>
      </c>
      <c r="B25" t="s">
        <v>80</v>
      </c>
      <c r="C25">
        <v>31.7</v>
      </c>
      <c r="D25" s="4">
        <f t="shared" si="0"/>
        <v>3.1699999999999999E-2</v>
      </c>
      <c r="E25" t="s">
        <v>84</v>
      </c>
      <c r="F25" t="s">
        <v>85</v>
      </c>
      <c r="G25" t="s">
        <v>86</v>
      </c>
      <c r="H25">
        <v>100.39</v>
      </c>
      <c r="I25">
        <v>3.4</v>
      </c>
      <c r="J25">
        <v>0</v>
      </c>
      <c r="K25">
        <v>7.87</v>
      </c>
      <c r="L25">
        <v>0</v>
      </c>
      <c r="M25">
        <v>40.409999999999997</v>
      </c>
      <c r="N25">
        <v>71.319999999999993</v>
      </c>
      <c r="O25">
        <v>13.79</v>
      </c>
      <c r="P25">
        <v>2</v>
      </c>
      <c r="Q25">
        <v>6.6</v>
      </c>
      <c r="R25">
        <v>0.59</v>
      </c>
      <c r="S25">
        <v>6.14</v>
      </c>
      <c r="T25">
        <v>0.88</v>
      </c>
      <c r="U25">
        <v>1.05</v>
      </c>
      <c r="V25">
        <v>1.8</v>
      </c>
      <c r="W25">
        <v>8.14</v>
      </c>
      <c r="X25">
        <v>0</v>
      </c>
      <c r="Y25">
        <v>28.29</v>
      </c>
      <c r="Z25">
        <v>240.14</v>
      </c>
      <c r="AA25">
        <v>99.71</v>
      </c>
      <c r="AB25">
        <v>16.559999999999999</v>
      </c>
      <c r="AC25">
        <v>337.86</v>
      </c>
      <c r="AD25">
        <v>14.17</v>
      </c>
    </row>
    <row r="26" spans="1:30" x14ac:dyDescent="0.25">
      <c r="A26">
        <v>18</v>
      </c>
      <c r="B26" t="s">
        <v>80</v>
      </c>
      <c r="C26">
        <v>37.700000000000003</v>
      </c>
      <c r="D26" s="4">
        <f t="shared" si="0"/>
        <v>3.7700000000000004E-2</v>
      </c>
      <c r="E26" t="s">
        <v>87</v>
      </c>
      <c r="F26" t="s">
        <v>88</v>
      </c>
      <c r="G26" t="s">
        <v>89</v>
      </c>
      <c r="H26">
        <v>74.23</v>
      </c>
      <c r="I26">
        <v>18.82</v>
      </c>
      <c r="J26">
        <v>0</v>
      </c>
      <c r="K26">
        <v>10.59</v>
      </c>
      <c r="L26">
        <v>0</v>
      </c>
      <c r="M26">
        <v>79.75</v>
      </c>
      <c r="N26">
        <v>50.93</v>
      </c>
      <c r="O26">
        <v>13.79</v>
      </c>
      <c r="P26">
        <v>1.68</v>
      </c>
      <c r="Q26">
        <v>7.54</v>
      </c>
      <c r="R26">
        <v>1.62</v>
      </c>
      <c r="S26">
        <v>9.86</v>
      </c>
      <c r="T26">
        <v>0.79</v>
      </c>
      <c r="U26">
        <v>1.05</v>
      </c>
      <c r="V26">
        <v>2.81</v>
      </c>
      <c r="W26">
        <v>13.33</v>
      </c>
      <c r="X26">
        <v>4.45</v>
      </c>
      <c r="Y26">
        <v>62.3</v>
      </c>
      <c r="Z26">
        <v>660.81</v>
      </c>
      <c r="AA26">
        <v>126.09</v>
      </c>
      <c r="AB26">
        <v>38.22</v>
      </c>
      <c r="AC26">
        <v>312.33999999999997</v>
      </c>
      <c r="AD26">
        <v>12.55</v>
      </c>
    </row>
    <row r="27" spans="1:30" x14ac:dyDescent="0.25">
      <c r="A27">
        <v>19</v>
      </c>
      <c r="B27" t="s">
        <v>80</v>
      </c>
      <c r="C27">
        <v>47.2</v>
      </c>
      <c r="D27" s="4">
        <f t="shared" si="0"/>
        <v>4.7200000000000006E-2</v>
      </c>
      <c r="E27" t="s">
        <v>90</v>
      </c>
      <c r="F27" t="s">
        <v>91</v>
      </c>
      <c r="G27" t="s">
        <v>92</v>
      </c>
      <c r="H27">
        <v>154.38999999999999</v>
      </c>
      <c r="I27">
        <v>6.51</v>
      </c>
      <c r="J27">
        <v>0</v>
      </c>
      <c r="K27">
        <v>21.33</v>
      </c>
      <c r="L27">
        <v>0</v>
      </c>
      <c r="M27">
        <v>42.73</v>
      </c>
      <c r="N27">
        <v>49.47</v>
      </c>
      <c r="O27">
        <v>49.74</v>
      </c>
      <c r="P27">
        <v>2.38</v>
      </c>
      <c r="Q27">
        <v>14.51</v>
      </c>
      <c r="R27">
        <v>1.62</v>
      </c>
      <c r="S27">
        <v>27.62</v>
      </c>
      <c r="T27">
        <v>0.79</v>
      </c>
      <c r="U27">
        <v>1.27</v>
      </c>
      <c r="V27">
        <v>1.6</v>
      </c>
      <c r="W27">
        <v>5.86</v>
      </c>
      <c r="X27">
        <v>66.66</v>
      </c>
      <c r="Y27">
        <v>28.69</v>
      </c>
      <c r="Z27">
        <v>227.9</v>
      </c>
      <c r="AA27">
        <v>49.86</v>
      </c>
      <c r="AB27">
        <v>8.92</v>
      </c>
      <c r="AC27">
        <v>310.89999999999998</v>
      </c>
      <c r="AD27">
        <v>26.88</v>
      </c>
    </row>
    <row r="28" spans="1:30" x14ac:dyDescent="0.25">
      <c r="A28">
        <v>20</v>
      </c>
      <c r="B28" t="s">
        <v>80</v>
      </c>
      <c r="C28">
        <v>31</v>
      </c>
      <c r="D28" s="4">
        <f t="shared" si="0"/>
        <v>3.1E-2</v>
      </c>
      <c r="E28" t="s">
        <v>93</v>
      </c>
      <c r="F28" t="s">
        <v>94</v>
      </c>
      <c r="G28" t="s">
        <v>95</v>
      </c>
      <c r="H28">
        <v>125.53</v>
      </c>
      <c r="I28">
        <v>18.82</v>
      </c>
      <c r="J28">
        <v>0</v>
      </c>
      <c r="K28">
        <v>20.7</v>
      </c>
      <c r="L28">
        <v>4.03</v>
      </c>
      <c r="M28">
        <v>84.48</v>
      </c>
      <c r="N28">
        <v>55.32</v>
      </c>
      <c r="O28">
        <v>76.75</v>
      </c>
      <c r="P28">
        <v>1.63</v>
      </c>
      <c r="Q28">
        <v>13.16</v>
      </c>
      <c r="R28">
        <v>2.75</v>
      </c>
      <c r="S28">
        <v>26.87</v>
      </c>
      <c r="T28">
        <v>0.79</v>
      </c>
      <c r="U28">
        <v>1.49</v>
      </c>
      <c r="V28">
        <v>2.41</v>
      </c>
      <c r="W28">
        <v>16.84</v>
      </c>
      <c r="X28">
        <v>39.92</v>
      </c>
      <c r="Y28">
        <v>71.069999999999993</v>
      </c>
      <c r="Z28">
        <v>845.47</v>
      </c>
      <c r="AA28">
        <v>111.79</v>
      </c>
      <c r="AB28">
        <v>24.6</v>
      </c>
      <c r="AC28">
        <v>323.98</v>
      </c>
      <c r="AD28">
        <v>34.64</v>
      </c>
    </row>
    <row r="29" spans="1:30" x14ac:dyDescent="0.25">
      <c r="A29">
        <v>21</v>
      </c>
      <c r="B29" t="s">
        <v>80</v>
      </c>
      <c r="C29">
        <v>37</v>
      </c>
      <c r="D29" s="4">
        <f t="shared" si="0"/>
        <v>3.6999999999999998E-2</v>
      </c>
      <c r="E29" t="s">
        <v>96</v>
      </c>
      <c r="F29" t="s">
        <v>97</v>
      </c>
      <c r="G29" t="s">
        <v>98</v>
      </c>
      <c r="H29">
        <v>142.43</v>
      </c>
      <c r="I29">
        <v>9.41</v>
      </c>
      <c r="J29">
        <v>0</v>
      </c>
      <c r="K29">
        <v>7.36</v>
      </c>
      <c r="L29">
        <v>0</v>
      </c>
      <c r="M29">
        <v>88.47</v>
      </c>
      <c r="N29">
        <v>40.630000000000003</v>
      </c>
      <c r="O29">
        <v>13.79</v>
      </c>
      <c r="P29">
        <v>2.4700000000000002</v>
      </c>
      <c r="Q29">
        <v>7.54</v>
      </c>
      <c r="R29">
        <v>0.89</v>
      </c>
      <c r="S29">
        <v>4.03</v>
      </c>
      <c r="T29">
        <v>0.6</v>
      </c>
      <c r="U29">
        <v>0.59</v>
      </c>
      <c r="V29">
        <v>1.6</v>
      </c>
      <c r="W29">
        <v>6.73</v>
      </c>
      <c r="X29">
        <v>0</v>
      </c>
      <c r="Y29">
        <v>31.83</v>
      </c>
      <c r="Z29">
        <v>378.96</v>
      </c>
      <c r="AA29">
        <v>127.2</v>
      </c>
      <c r="AB29">
        <v>26.42</v>
      </c>
      <c r="AC29">
        <v>422.89</v>
      </c>
      <c r="AD29">
        <v>12.55</v>
      </c>
    </row>
    <row r="30" spans="1:30" x14ac:dyDescent="0.25">
      <c r="A30">
        <v>22</v>
      </c>
      <c r="B30" t="s">
        <v>80</v>
      </c>
      <c r="C30">
        <v>44.3</v>
      </c>
      <c r="D30" s="4">
        <f t="shared" si="0"/>
        <v>4.4299999999999999E-2</v>
      </c>
      <c r="E30" t="s">
        <v>99</v>
      </c>
      <c r="F30" t="s">
        <v>100</v>
      </c>
      <c r="G30" t="s">
        <v>101</v>
      </c>
      <c r="H30">
        <v>115.31</v>
      </c>
      <c r="I30">
        <v>22.65</v>
      </c>
      <c r="J30">
        <v>0</v>
      </c>
      <c r="K30">
        <v>32.85</v>
      </c>
      <c r="L30">
        <v>16.07</v>
      </c>
      <c r="M30">
        <v>167</v>
      </c>
      <c r="N30">
        <v>66.97</v>
      </c>
      <c r="O30">
        <v>58.02</v>
      </c>
      <c r="P30">
        <v>1.82</v>
      </c>
      <c r="Q30">
        <v>18.61</v>
      </c>
      <c r="R30">
        <v>3.59</v>
      </c>
      <c r="S30">
        <v>40.549999999999997</v>
      </c>
      <c r="T30">
        <v>1.07</v>
      </c>
      <c r="U30">
        <v>2.4300000000000002</v>
      </c>
      <c r="V30">
        <v>3.4</v>
      </c>
      <c r="W30">
        <v>19.440000000000001</v>
      </c>
      <c r="X30">
        <v>68.86</v>
      </c>
      <c r="Y30">
        <v>59.08</v>
      </c>
      <c r="Z30">
        <v>911.45</v>
      </c>
      <c r="AA30">
        <v>354.47</v>
      </c>
      <c r="AB30">
        <v>83.13</v>
      </c>
      <c r="AC30">
        <v>561.67999999999995</v>
      </c>
      <c r="AD30">
        <v>39.26</v>
      </c>
    </row>
    <row r="31" spans="1:30" x14ac:dyDescent="0.25">
      <c r="A31">
        <v>23</v>
      </c>
      <c r="B31" t="s">
        <v>80</v>
      </c>
      <c r="C31">
        <v>29.8</v>
      </c>
      <c r="D31" s="4">
        <f t="shared" si="0"/>
        <v>2.98E-2</v>
      </c>
      <c r="E31" t="s">
        <v>102</v>
      </c>
      <c r="F31" t="s">
        <v>103</v>
      </c>
      <c r="G31" t="s">
        <v>104</v>
      </c>
      <c r="H31">
        <v>130.09</v>
      </c>
      <c r="I31">
        <v>4.99</v>
      </c>
      <c r="J31">
        <v>0</v>
      </c>
      <c r="K31">
        <v>7.53</v>
      </c>
      <c r="L31">
        <v>0</v>
      </c>
      <c r="M31">
        <v>29.34</v>
      </c>
      <c r="N31">
        <v>55.32</v>
      </c>
      <c r="O31">
        <v>13.79</v>
      </c>
      <c r="P31">
        <v>1.72</v>
      </c>
      <c r="Q31">
        <v>7.54</v>
      </c>
      <c r="R31">
        <v>0.74</v>
      </c>
      <c r="S31">
        <v>9.3000000000000007</v>
      </c>
      <c r="T31">
        <v>0.6</v>
      </c>
      <c r="U31">
        <v>0.59</v>
      </c>
      <c r="V31">
        <v>1.6</v>
      </c>
      <c r="W31">
        <v>13.68</v>
      </c>
      <c r="X31">
        <v>0</v>
      </c>
      <c r="Y31">
        <v>40.03</v>
      </c>
      <c r="Z31">
        <v>367.01</v>
      </c>
      <c r="AA31">
        <v>92.13</v>
      </c>
      <c r="AB31">
        <v>15.88</v>
      </c>
      <c r="AC31">
        <v>326.10000000000002</v>
      </c>
      <c r="AD31">
        <v>10.91</v>
      </c>
    </row>
    <row r="32" spans="1:30" x14ac:dyDescent="0.25">
      <c r="A32">
        <v>24</v>
      </c>
      <c r="B32" t="s">
        <v>80</v>
      </c>
      <c r="C32">
        <v>25.2</v>
      </c>
      <c r="D32" s="4">
        <f t="shared" si="0"/>
        <v>2.52E-2</v>
      </c>
      <c r="E32" t="s">
        <v>105</v>
      </c>
      <c r="F32" t="s">
        <v>106</v>
      </c>
      <c r="G32" t="s">
        <v>107</v>
      </c>
      <c r="H32">
        <v>62.45</v>
      </c>
      <c r="I32">
        <v>32.5</v>
      </c>
      <c r="J32">
        <v>0</v>
      </c>
      <c r="K32">
        <v>6.49</v>
      </c>
      <c r="L32">
        <v>0.73</v>
      </c>
      <c r="M32">
        <v>101.05</v>
      </c>
      <c r="N32">
        <v>39.89</v>
      </c>
      <c r="O32">
        <v>10.36</v>
      </c>
      <c r="P32">
        <v>1.1599999999999999</v>
      </c>
      <c r="Q32">
        <v>8.1999999999999993</v>
      </c>
      <c r="R32">
        <v>1.33</v>
      </c>
      <c r="S32">
        <v>13.69</v>
      </c>
      <c r="T32">
        <v>0.22</v>
      </c>
      <c r="U32">
        <v>0</v>
      </c>
      <c r="V32">
        <v>2.41</v>
      </c>
      <c r="W32">
        <v>23.23</v>
      </c>
      <c r="X32">
        <v>2.58</v>
      </c>
      <c r="Y32">
        <v>52.51</v>
      </c>
      <c r="Z32">
        <v>725.97</v>
      </c>
      <c r="AA32">
        <v>147.03</v>
      </c>
      <c r="AB32">
        <v>30.25</v>
      </c>
      <c r="AC32">
        <v>264.13</v>
      </c>
      <c r="AD32">
        <v>10.91</v>
      </c>
    </row>
    <row r="33" spans="1:30" x14ac:dyDescent="0.25">
      <c r="A33">
        <v>25</v>
      </c>
      <c r="B33" t="s">
        <v>80</v>
      </c>
      <c r="C33">
        <v>36.700000000000003</v>
      </c>
      <c r="D33" s="4">
        <f t="shared" si="0"/>
        <v>3.6700000000000003E-2</v>
      </c>
      <c r="E33" t="s">
        <v>108</v>
      </c>
      <c r="F33" t="s">
        <v>109</v>
      </c>
      <c r="G33" t="s">
        <v>110</v>
      </c>
      <c r="H33">
        <v>134.82</v>
      </c>
      <c r="I33">
        <v>1.7</v>
      </c>
      <c r="J33">
        <v>0</v>
      </c>
      <c r="K33">
        <v>11.92</v>
      </c>
      <c r="L33">
        <v>0.73</v>
      </c>
      <c r="M33">
        <v>57.58</v>
      </c>
      <c r="N33">
        <v>51.66</v>
      </c>
      <c r="O33">
        <v>18.7</v>
      </c>
      <c r="P33">
        <v>2.1</v>
      </c>
      <c r="Q33">
        <v>12.1</v>
      </c>
      <c r="R33">
        <v>1.18</v>
      </c>
      <c r="S33">
        <v>12.61</v>
      </c>
      <c r="T33">
        <v>0.6</v>
      </c>
      <c r="U33">
        <v>1.27</v>
      </c>
      <c r="V33">
        <v>1.6</v>
      </c>
      <c r="W33">
        <v>7.58</v>
      </c>
      <c r="X33">
        <v>19.260000000000002</v>
      </c>
      <c r="Y33">
        <v>33.74</v>
      </c>
      <c r="Z33">
        <v>390.67</v>
      </c>
      <c r="AA33">
        <v>80.180000000000007</v>
      </c>
      <c r="AB33">
        <v>17.16</v>
      </c>
      <c r="AC33">
        <v>164.57</v>
      </c>
      <c r="AD33">
        <v>17.39</v>
      </c>
    </row>
    <row r="34" spans="1:30" x14ac:dyDescent="0.25">
      <c r="A34">
        <v>26</v>
      </c>
      <c r="B34" t="s">
        <v>80</v>
      </c>
      <c r="C34">
        <v>31.1</v>
      </c>
      <c r="D34" s="4">
        <f t="shared" si="0"/>
        <v>3.1100000000000003E-2</v>
      </c>
      <c r="E34" t="s">
        <v>111</v>
      </c>
      <c r="F34" t="s">
        <v>112</v>
      </c>
      <c r="G34" t="s">
        <v>113</v>
      </c>
      <c r="H34">
        <v>126.92</v>
      </c>
      <c r="I34">
        <v>22.65</v>
      </c>
      <c r="J34">
        <v>0</v>
      </c>
      <c r="K34">
        <v>24.51</v>
      </c>
      <c r="L34">
        <v>6.75</v>
      </c>
      <c r="M34">
        <v>66.16</v>
      </c>
      <c r="N34">
        <v>56.78</v>
      </c>
      <c r="O34">
        <v>51.13</v>
      </c>
      <c r="P34">
        <v>2.33</v>
      </c>
      <c r="Q34">
        <v>18.010000000000002</v>
      </c>
      <c r="R34">
        <v>3.31</v>
      </c>
      <c r="S34">
        <v>41.27</v>
      </c>
      <c r="T34">
        <v>0.6</v>
      </c>
      <c r="U34">
        <v>1.05</v>
      </c>
      <c r="V34">
        <v>2.81</v>
      </c>
      <c r="W34">
        <v>13.59</v>
      </c>
      <c r="X34">
        <v>51.17</v>
      </c>
      <c r="Y34">
        <v>33.36</v>
      </c>
      <c r="Z34">
        <v>396.44</v>
      </c>
      <c r="AA34">
        <v>164.72</v>
      </c>
      <c r="AB34">
        <v>28.6</v>
      </c>
      <c r="AC34">
        <v>185.36</v>
      </c>
      <c r="AD34">
        <v>29.99</v>
      </c>
    </row>
    <row r="35" spans="1:30" x14ac:dyDescent="0.25">
      <c r="A35">
        <v>27</v>
      </c>
      <c r="B35" t="s">
        <v>80</v>
      </c>
      <c r="C35">
        <v>30.6</v>
      </c>
      <c r="D35" s="4">
        <f t="shared" si="0"/>
        <v>3.0600000000000002E-2</v>
      </c>
      <c r="E35" t="s">
        <v>114</v>
      </c>
      <c r="F35" t="s">
        <v>115</v>
      </c>
      <c r="G35" t="s">
        <v>116</v>
      </c>
      <c r="H35">
        <v>55.6</v>
      </c>
      <c r="I35">
        <v>3.4</v>
      </c>
      <c r="J35">
        <v>0</v>
      </c>
      <c r="K35">
        <v>6.84</v>
      </c>
      <c r="L35">
        <v>0</v>
      </c>
      <c r="M35">
        <v>12.58</v>
      </c>
      <c r="N35">
        <v>53.86</v>
      </c>
      <c r="O35">
        <v>10.36</v>
      </c>
      <c r="P35">
        <v>1.72</v>
      </c>
      <c r="Q35">
        <v>6.47</v>
      </c>
      <c r="R35">
        <v>0.74</v>
      </c>
      <c r="S35">
        <v>13.96</v>
      </c>
      <c r="T35">
        <v>0.51</v>
      </c>
      <c r="U35">
        <v>0.82</v>
      </c>
      <c r="V35">
        <v>1.6</v>
      </c>
      <c r="W35">
        <v>7.67</v>
      </c>
      <c r="X35">
        <v>0</v>
      </c>
      <c r="Y35">
        <v>13.78</v>
      </c>
      <c r="Z35">
        <v>87.05</v>
      </c>
      <c r="AA35">
        <v>43.69</v>
      </c>
      <c r="AB35">
        <v>7.24</v>
      </c>
      <c r="AC35">
        <v>157.63999999999999</v>
      </c>
      <c r="AD35">
        <v>12.55</v>
      </c>
    </row>
    <row r="36" spans="1:30" x14ac:dyDescent="0.25">
      <c r="A36">
        <v>28</v>
      </c>
      <c r="B36" t="s">
        <v>80</v>
      </c>
      <c r="C36">
        <v>28.5</v>
      </c>
      <c r="D36" s="4">
        <f t="shared" si="0"/>
        <v>2.8500000000000001E-2</v>
      </c>
      <c r="E36" t="s">
        <v>117</v>
      </c>
      <c r="F36" t="s">
        <v>118</v>
      </c>
      <c r="G36" t="s">
        <v>119</v>
      </c>
      <c r="H36">
        <v>99.35</v>
      </c>
      <c r="I36">
        <v>1.7</v>
      </c>
      <c r="J36">
        <v>0</v>
      </c>
      <c r="K36">
        <v>10.25</v>
      </c>
      <c r="L36">
        <v>0</v>
      </c>
      <c r="M36">
        <v>74.27</v>
      </c>
      <c r="N36">
        <v>48.73</v>
      </c>
      <c r="O36">
        <v>17.09</v>
      </c>
      <c r="P36">
        <v>1.63</v>
      </c>
      <c r="Q36">
        <v>8.98</v>
      </c>
      <c r="R36">
        <v>0.74</v>
      </c>
      <c r="S36">
        <v>9.86</v>
      </c>
      <c r="T36">
        <v>0.51</v>
      </c>
      <c r="U36">
        <v>0.59</v>
      </c>
      <c r="V36">
        <v>0.78</v>
      </c>
      <c r="W36">
        <v>5.28</v>
      </c>
      <c r="X36">
        <v>1.25</v>
      </c>
      <c r="Y36">
        <v>22.07</v>
      </c>
      <c r="Z36">
        <v>259.64999999999998</v>
      </c>
      <c r="AA36">
        <v>53.23</v>
      </c>
      <c r="AB36">
        <v>15.75</v>
      </c>
      <c r="AC36">
        <v>251.1</v>
      </c>
      <c r="AD36">
        <v>10.91</v>
      </c>
    </row>
    <row r="37" spans="1:30" x14ac:dyDescent="0.25">
      <c r="A37">
        <v>29</v>
      </c>
      <c r="B37" t="s">
        <v>80</v>
      </c>
      <c r="C37">
        <v>38</v>
      </c>
      <c r="D37" s="4">
        <f t="shared" si="0"/>
        <v>3.7999999999999999E-2</v>
      </c>
      <c r="E37" t="s">
        <v>120</v>
      </c>
      <c r="F37" t="s">
        <v>121</v>
      </c>
      <c r="G37" t="s">
        <v>122</v>
      </c>
      <c r="H37">
        <v>120.54</v>
      </c>
      <c r="I37">
        <v>38.47</v>
      </c>
      <c r="J37">
        <v>0</v>
      </c>
      <c r="K37">
        <v>7.87</v>
      </c>
      <c r="L37">
        <v>0</v>
      </c>
      <c r="M37">
        <v>140.24</v>
      </c>
      <c r="N37">
        <v>52.39</v>
      </c>
      <c r="O37">
        <v>20.3</v>
      </c>
      <c r="P37">
        <v>2.57</v>
      </c>
      <c r="Q37">
        <v>9.11</v>
      </c>
      <c r="R37">
        <v>1.62</v>
      </c>
      <c r="S37">
        <v>5.25</v>
      </c>
      <c r="T37">
        <v>0.79</v>
      </c>
      <c r="U37">
        <v>0.94</v>
      </c>
      <c r="V37">
        <v>1.6</v>
      </c>
      <c r="W37">
        <v>26.47</v>
      </c>
      <c r="X37">
        <v>0</v>
      </c>
      <c r="Y37">
        <v>89.29</v>
      </c>
      <c r="Z37">
        <v>1135.48</v>
      </c>
      <c r="AA37">
        <v>175.88</v>
      </c>
      <c r="AB37">
        <v>46.22</v>
      </c>
      <c r="AC37">
        <v>286.3</v>
      </c>
      <c r="AD37">
        <v>14.17</v>
      </c>
    </row>
    <row r="38" spans="1:30" x14ac:dyDescent="0.25">
      <c r="A38">
        <v>30</v>
      </c>
      <c r="B38" t="s">
        <v>80</v>
      </c>
      <c r="C38">
        <v>43.5</v>
      </c>
      <c r="D38" s="4">
        <f t="shared" si="0"/>
        <v>4.3499999999999997E-2</v>
      </c>
      <c r="E38" t="s">
        <v>123</v>
      </c>
      <c r="F38" t="s">
        <v>124</v>
      </c>
      <c r="G38" t="s">
        <v>125</v>
      </c>
      <c r="H38">
        <v>149.4</v>
      </c>
      <c r="I38">
        <v>2.57</v>
      </c>
      <c r="J38">
        <v>0</v>
      </c>
      <c r="K38">
        <v>9.58</v>
      </c>
      <c r="L38">
        <v>0</v>
      </c>
      <c r="M38">
        <v>48.88</v>
      </c>
      <c r="N38">
        <v>45.79</v>
      </c>
      <c r="O38">
        <v>13.79</v>
      </c>
      <c r="P38">
        <v>1.82</v>
      </c>
      <c r="Q38">
        <v>9.3699999999999992</v>
      </c>
      <c r="R38">
        <v>0.74</v>
      </c>
      <c r="S38">
        <v>5.84</v>
      </c>
      <c r="T38">
        <v>0.6</v>
      </c>
      <c r="U38">
        <v>0.35</v>
      </c>
      <c r="V38">
        <v>1.6</v>
      </c>
      <c r="W38">
        <v>6.73</v>
      </c>
      <c r="X38">
        <v>0</v>
      </c>
      <c r="Y38">
        <v>27.89</v>
      </c>
      <c r="Z38">
        <v>270.89</v>
      </c>
      <c r="AA38">
        <v>40.909999999999997</v>
      </c>
      <c r="AB38">
        <v>9.5399999999999991</v>
      </c>
      <c r="AC38">
        <v>161.41</v>
      </c>
      <c r="AD38">
        <v>13.36</v>
      </c>
    </row>
    <row r="39" spans="1:30" x14ac:dyDescent="0.25">
      <c r="A39">
        <v>31</v>
      </c>
      <c r="B39" t="s">
        <v>126</v>
      </c>
      <c r="C39">
        <v>42.2</v>
      </c>
      <c r="D39" s="4">
        <f t="shared" si="0"/>
        <v>4.2200000000000001E-2</v>
      </c>
      <c r="E39" t="s">
        <v>127</v>
      </c>
      <c r="F39" t="s">
        <v>128</v>
      </c>
      <c r="G39" t="s">
        <v>129</v>
      </c>
      <c r="H39">
        <v>329.71</v>
      </c>
      <c r="I39">
        <v>12.19</v>
      </c>
      <c r="J39">
        <v>0</v>
      </c>
      <c r="K39">
        <v>28.15</v>
      </c>
      <c r="L39">
        <v>0.73</v>
      </c>
      <c r="M39">
        <v>112.09</v>
      </c>
      <c r="N39">
        <v>49.47</v>
      </c>
      <c r="O39">
        <v>38.380000000000003</v>
      </c>
      <c r="P39">
        <v>2.29</v>
      </c>
      <c r="Q39">
        <v>15.43</v>
      </c>
      <c r="R39">
        <v>2.19</v>
      </c>
      <c r="S39">
        <v>24.61</v>
      </c>
      <c r="T39">
        <v>0.6</v>
      </c>
      <c r="U39">
        <v>1.05</v>
      </c>
      <c r="V39">
        <v>2</v>
      </c>
      <c r="W39">
        <v>13.16</v>
      </c>
      <c r="X39">
        <v>55.61</v>
      </c>
      <c r="Y39">
        <v>43.59</v>
      </c>
      <c r="Z39">
        <v>512.33000000000004</v>
      </c>
      <c r="AA39">
        <v>141.80000000000001</v>
      </c>
      <c r="AB39">
        <v>34.799999999999997</v>
      </c>
      <c r="AC39">
        <v>599.75</v>
      </c>
      <c r="AD39">
        <v>26.88</v>
      </c>
    </row>
    <row r="40" spans="1:30" x14ac:dyDescent="0.25">
      <c r="A40">
        <v>32</v>
      </c>
      <c r="B40" t="s">
        <v>126</v>
      </c>
      <c r="C40">
        <v>37.9</v>
      </c>
      <c r="D40" s="4">
        <f t="shared" si="0"/>
        <v>3.7899999999999996E-2</v>
      </c>
      <c r="E40" t="s">
        <v>130</v>
      </c>
      <c r="F40" t="s">
        <v>131</v>
      </c>
      <c r="G40" t="s">
        <v>132</v>
      </c>
      <c r="H40">
        <v>248.65</v>
      </c>
      <c r="I40">
        <v>7.97</v>
      </c>
      <c r="J40">
        <v>0</v>
      </c>
      <c r="K40">
        <v>24.51</v>
      </c>
      <c r="L40">
        <v>0</v>
      </c>
      <c r="M40">
        <v>37.28</v>
      </c>
      <c r="N40">
        <v>58.96</v>
      </c>
      <c r="O40">
        <v>58.02</v>
      </c>
      <c r="P40">
        <v>2.38</v>
      </c>
      <c r="Q40">
        <v>12.79</v>
      </c>
      <c r="R40">
        <v>2.33</v>
      </c>
      <c r="S40">
        <v>29.36</v>
      </c>
      <c r="T40">
        <v>0.79</v>
      </c>
      <c r="U40">
        <v>1.49</v>
      </c>
      <c r="V40">
        <v>2.41</v>
      </c>
      <c r="W40">
        <v>8.0500000000000007</v>
      </c>
      <c r="X40">
        <v>48.51</v>
      </c>
      <c r="Y40">
        <v>23.78</v>
      </c>
      <c r="Z40">
        <v>173.44</v>
      </c>
      <c r="AA40">
        <v>44.59</v>
      </c>
      <c r="AB40">
        <v>6</v>
      </c>
      <c r="AC40">
        <v>458</v>
      </c>
      <c r="AD40">
        <v>26.88</v>
      </c>
    </row>
    <row r="41" spans="1:30" x14ac:dyDescent="0.25">
      <c r="A41">
        <v>33</v>
      </c>
      <c r="B41" t="s">
        <v>126</v>
      </c>
      <c r="C41">
        <v>33.4</v>
      </c>
      <c r="D41" s="4">
        <f t="shared" si="0"/>
        <v>3.3399999999999999E-2</v>
      </c>
      <c r="E41" t="s">
        <v>133</v>
      </c>
      <c r="F41" t="s">
        <v>134</v>
      </c>
      <c r="G41" t="s">
        <v>135</v>
      </c>
      <c r="H41">
        <v>243.55</v>
      </c>
      <c r="I41">
        <v>4.99</v>
      </c>
      <c r="J41">
        <v>0</v>
      </c>
      <c r="K41">
        <v>7.18</v>
      </c>
      <c r="L41">
        <v>0</v>
      </c>
      <c r="M41">
        <v>96.75</v>
      </c>
      <c r="N41">
        <v>53.86</v>
      </c>
      <c r="O41">
        <v>10.36</v>
      </c>
      <c r="P41">
        <v>1.53</v>
      </c>
      <c r="Q41">
        <v>7.54</v>
      </c>
      <c r="R41">
        <v>0.74</v>
      </c>
      <c r="S41">
        <v>6.14</v>
      </c>
      <c r="T41">
        <v>0.6</v>
      </c>
      <c r="U41">
        <v>0.82</v>
      </c>
      <c r="V41">
        <v>1.19</v>
      </c>
      <c r="W41">
        <v>8.32</v>
      </c>
      <c r="X41">
        <v>0</v>
      </c>
      <c r="Y41">
        <v>36.369999999999997</v>
      </c>
      <c r="Z41">
        <v>223.72</v>
      </c>
      <c r="AA41">
        <v>62.03</v>
      </c>
      <c r="AB41">
        <v>15.41</v>
      </c>
      <c r="AC41">
        <v>624.65</v>
      </c>
      <c r="AD41">
        <v>14.17</v>
      </c>
    </row>
    <row r="42" spans="1:30" x14ac:dyDescent="0.25">
      <c r="A42">
        <v>34</v>
      </c>
      <c r="B42" t="s">
        <v>126</v>
      </c>
      <c r="C42">
        <v>28.1</v>
      </c>
      <c r="D42" s="4">
        <f t="shared" si="0"/>
        <v>2.81E-2</v>
      </c>
      <c r="E42" t="s">
        <v>136</v>
      </c>
      <c r="F42" t="s">
        <v>137</v>
      </c>
      <c r="G42" t="s">
        <v>138</v>
      </c>
      <c r="H42">
        <v>130.68</v>
      </c>
      <c r="I42">
        <v>4.99</v>
      </c>
      <c r="J42">
        <v>0</v>
      </c>
      <c r="K42">
        <v>6.14</v>
      </c>
      <c r="L42">
        <v>0</v>
      </c>
      <c r="M42">
        <v>56.45</v>
      </c>
      <c r="N42">
        <v>46.53</v>
      </c>
      <c r="O42">
        <v>10.36</v>
      </c>
      <c r="P42">
        <v>2.85</v>
      </c>
      <c r="Q42">
        <v>7.94</v>
      </c>
      <c r="R42">
        <v>1.04</v>
      </c>
      <c r="S42">
        <v>4.6399999999999997</v>
      </c>
      <c r="T42">
        <v>0.51</v>
      </c>
      <c r="U42">
        <v>0.35</v>
      </c>
      <c r="V42">
        <v>2.41</v>
      </c>
      <c r="W42">
        <v>11.93</v>
      </c>
      <c r="X42">
        <v>0</v>
      </c>
      <c r="Y42">
        <v>42.89</v>
      </c>
      <c r="Z42">
        <v>407.82</v>
      </c>
      <c r="AA42">
        <v>61.25</v>
      </c>
      <c r="AB42">
        <v>12.63</v>
      </c>
      <c r="AC42">
        <v>152.97</v>
      </c>
      <c r="AD42">
        <v>9.26</v>
      </c>
    </row>
    <row r="43" spans="1:30" x14ac:dyDescent="0.25">
      <c r="A43">
        <v>35</v>
      </c>
      <c r="B43" t="s">
        <v>126</v>
      </c>
      <c r="C43">
        <v>26.9</v>
      </c>
      <c r="D43" s="4">
        <f t="shared" si="0"/>
        <v>2.69E-2</v>
      </c>
      <c r="E43" t="s">
        <v>139</v>
      </c>
      <c r="F43" t="s">
        <v>140</v>
      </c>
      <c r="G43" t="s">
        <v>141</v>
      </c>
      <c r="H43">
        <v>128.71</v>
      </c>
      <c r="I43">
        <v>16.21</v>
      </c>
      <c r="J43">
        <v>0</v>
      </c>
      <c r="K43">
        <v>7.36</v>
      </c>
      <c r="L43">
        <v>0</v>
      </c>
      <c r="M43">
        <v>64.3</v>
      </c>
      <c r="N43">
        <v>43.58</v>
      </c>
      <c r="O43">
        <v>20.3</v>
      </c>
      <c r="P43">
        <v>2.85</v>
      </c>
      <c r="Q43">
        <v>12.29</v>
      </c>
      <c r="R43">
        <v>2.19</v>
      </c>
      <c r="S43">
        <v>8.16</v>
      </c>
      <c r="T43">
        <v>0.41</v>
      </c>
      <c r="U43">
        <v>1.05</v>
      </c>
      <c r="V43">
        <v>1.6</v>
      </c>
      <c r="W43">
        <v>14.89</v>
      </c>
      <c r="X43">
        <v>0</v>
      </c>
      <c r="Y43">
        <v>85.5</v>
      </c>
      <c r="Z43">
        <v>502.51</v>
      </c>
      <c r="AA43">
        <v>68.819999999999993</v>
      </c>
      <c r="AB43">
        <v>15.41</v>
      </c>
      <c r="AC43">
        <v>85.61</v>
      </c>
      <c r="AD43">
        <v>12.55</v>
      </c>
    </row>
    <row r="44" spans="1:30" x14ac:dyDescent="0.25">
      <c r="A44">
        <v>36</v>
      </c>
      <c r="B44" t="s">
        <v>126</v>
      </c>
      <c r="C44">
        <v>43.4</v>
      </c>
      <c r="D44" s="4">
        <f t="shared" si="0"/>
        <v>4.3400000000000001E-2</v>
      </c>
      <c r="E44" t="s">
        <v>142</v>
      </c>
      <c r="F44" t="s">
        <v>143</v>
      </c>
      <c r="G44" t="s">
        <v>144</v>
      </c>
      <c r="H44">
        <v>187.66</v>
      </c>
      <c r="I44">
        <v>4.99</v>
      </c>
      <c r="J44">
        <v>0</v>
      </c>
      <c r="K44">
        <v>9.24</v>
      </c>
      <c r="L44">
        <v>0</v>
      </c>
      <c r="M44">
        <v>76.47</v>
      </c>
      <c r="N44">
        <v>52.39</v>
      </c>
      <c r="O44">
        <v>13.79</v>
      </c>
      <c r="P44">
        <v>1.63</v>
      </c>
      <c r="Q44">
        <v>6.4</v>
      </c>
      <c r="R44">
        <v>1.04</v>
      </c>
      <c r="S44">
        <v>4.34</v>
      </c>
      <c r="T44">
        <v>0.41</v>
      </c>
      <c r="U44">
        <v>1.38</v>
      </c>
      <c r="V44">
        <v>2</v>
      </c>
      <c r="W44">
        <v>5.96</v>
      </c>
      <c r="X44">
        <v>0</v>
      </c>
      <c r="Y44">
        <v>32.590000000000003</v>
      </c>
      <c r="Z44">
        <v>173.44</v>
      </c>
      <c r="AA44">
        <v>105.83</v>
      </c>
      <c r="AB44">
        <v>18.77</v>
      </c>
      <c r="AC44">
        <v>549.64</v>
      </c>
      <c r="AD44">
        <v>12.55</v>
      </c>
    </row>
    <row r="45" spans="1:30" x14ac:dyDescent="0.25">
      <c r="A45">
        <v>37</v>
      </c>
      <c r="B45" t="s">
        <v>126</v>
      </c>
      <c r="C45">
        <v>29.1</v>
      </c>
      <c r="D45" s="4">
        <f t="shared" si="0"/>
        <v>2.9100000000000001E-2</v>
      </c>
      <c r="E45" t="s">
        <v>145</v>
      </c>
      <c r="F45" t="s">
        <v>146</v>
      </c>
      <c r="G45" t="s">
        <v>147</v>
      </c>
      <c r="H45">
        <v>115.11</v>
      </c>
      <c r="I45">
        <v>4.99</v>
      </c>
      <c r="J45">
        <v>0</v>
      </c>
      <c r="K45">
        <v>5.79</v>
      </c>
      <c r="L45">
        <v>0</v>
      </c>
      <c r="M45">
        <v>84.85</v>
      </c>
      <c r="N45">
        <v>45.06</v>
      </c>
      <c r="O45">
        <v>13.79</v>
      </c>
      <c r="P45">
        <v>2.52</v>
      </c>
      <c r="Q45">
        <v>9.3699999999999992</v>
      </c>
      <c r="R45">
        <v>0.89</v>
      </c>
      <c r="S45">
        <v>3.41</v>
      </c>
      <c r="T45">
        <v>0.6</v>
      </c>
      <c r="U45">
        <v>0.82</v>
      </c>
      <c r="V45">
        <v>1.6</v>
      </c>
      <c r="W45">
        <v>9.24</v>
      </c>
      <c r="X45">
        <v>0</v>
      </c>
      <c r="Y45">
        <v>31.83</v>
      </c>
      <c r="Z45">
        <v>215.2</v>
      </c>
      <c r="AA45">
        <v>37.08</v>
      </c>
      <c r="AB45">
        <v>10.16</v>
      </c>
      <c r="AC45">
        <v>140.47</v>
      </c>
      <c r="AD45">
        <v>9.26</v>
      </c>
    </row>
    <row r="46" spans="1:30" x14ac:dyDescent="0.25">
      <c r="A46">
        <v>38</v>
      </c>
      <c r="B46" t="s">
        <v>126</v>
      </c>
      <c r="C46">
        <v>52.7</v>
      </c>
      <c r="D46" s="4">
        <f t="shared" si="0"/>
        <v>5.2700000000000004E-2</v>
      </c>
      <c r="E46" t="s">
        <v>148</v>
      </c>
      <c r="F46" t="s">
        <v>149</v>
      </c>
      <c r="G46" t="s">
        <v>150</v>
      </c>
      <c r="H46">
        <v>158.21</v>
      </c>
      <c r="I46">
        <v>9.41</v>
      </c>
      <c r="J46">
        <v>0</v>
      </c>
      <c r="K46">
        <v>7.36</v>
      </c>
      <c r="L46">
        <v>0</v>
      </c>
      <c r="M46">
        <v>124.46</v>
      </c>
      <c r="N46">
        <v>49.47</v>
      </c>
      <c r="O46">
        <v>10.36</v>
      </c>
      <c r="P46">
        <v>1.44</v>
      </c>
      <c r="Q46">
        <v>6.33</v>
      </c>
      <c r="R46">
        <v>1.04</v>
      </c>
      <c r="S46">
        <v>5.25</v>
      </c>
      <c r="T46">
        <v>0.97</v>
      </c>
      <c r="U46">
        <v>0.59</v>
      </c>
      <c r="V46">
        <v>2</v>
      </c>
      <c r="W46">
        <v>9.06</v>
      </c>
      <c r="X46">
        <v>0</v>
      </c>
      <c r="Y46">
        <v>80.459999999999994</v>
      </c>
      <c r="Z46">
        <v>669.16</v>
      </c>
      <c r="AA46">
        <v>155.22999999999999</v>
      </c>
      <c r="AB46">
        <v>43.06</v>
      </c>
      <c r="AC46">
        <v>1031.1400000000001</v>
      </c>
      <c r="AD46">
        <v>12.55</v>
      </c>
    </row>
    <row r="47" spans="1:30" x14ac:dyDescent="0.25">
      <c r="A47">
        <v>39</v>
      </c>
      <c r="B47" t="s">
        <v>126</v>
      </c>
      <c r="C47">
        <v>37.4</v>
      </c>
      <c r="D47" s="4">
        <f t="shared" si="0"/>
        <v>3.7399999999999996E-2</v>
      </c>
      <c r="E47" t="s">
        <v>151</v>
      </c>
      <c r="F47" t="s">
        <v>152</v>
      </c>
      <c r="G47" t="s">
        <v>153</v>
      </c>
      <c r="H47">
        <v>123.94</v>
      </c>
      <c r="I47">
        <v>1.7</v>
      </c>
      <c r="J47">
        <v>0</v>
      </c>
      <c r="K47">
        <v>12.75</v>
      </c>
      <c r="L47">
        <v>0</v>
      </c>
      <c r="M47">
        <v>20.32</v>
      </c>
      <c r="N47">
        <v>42.85</v>
      </c>
      <c r="O47">
        <v>20.3</v>
      </c>
      <c r="P47">
        <v>2.19</v>
      </c>
      <c r="Q47">
        <v>10.01</v>
      </c>
      <c r="R47">
        <v>1.33</v>
      </c>
      <c r="S47">
        <v>10.41</v>
      </c>
      <c r="T47">
        <v>0.6</v>
      </c>
      <c r="U47">
        <v>1.05</v>
      </c>
      <c r="V47">
        <v>2</v>
      </c>
      <c r="W47">
        <v>5.28</v>
      </c>
      <c r="X47">
        <v>0</v>
      </c>
      <c r="Y47">
        <v>20.32</v>
      </c>
      <c r="Z47">
        <v>129.19999999999999</v>
      </c>
      <c r="AA47">
        <v>38.049999999999997</v>
      </c>
      <c r="AB47">
        <v>5.89</v>
      </c>
      <c r="AC47">
        <v>293.10000000000002</v>
      </c>
      <c r="AD47">
        <v>17.39</v>
      </c>
    </row>
    <row r="48" spans="1:30" x14ac:dyDescent="0.25">
      <c r="A48">
        <v>40</v>
      </c>
      <c r="B48" t="s">
        <v>126</v>
      </c>
      <c r="C48">
        <v>27.8</v>
      </c>
      <c r="D48" s="4">
        <f t="shared" si="0"/>
        <v>2.7800000000000002E-2</v>
      </c>
      <c r="E48" t="s">
        <v>154</v>
      </c>
      <c r="F48" t="s">
        <v>155</v>
      </c>
      <c r="G48" t="s">
        <v>156</v>
      </c>
      <c r="H48">
        <v>142.82</v>
      </c>
      <c r="I48">
        <v>133.41</v>
      </c>
      <c r="J48">
        <v>0</v>
      </c>
      <c r="K48">
        <v>8.9</v>
      </c>
      <c r="L48">
        <v>12.19</v>
      </c>
      <c r="M48">
        <v>222.59</v>
      </c>
      <c r="N48">
        <v>81.459999999999994</v>
      </c>
      <c r="O48">
        <v>13.79</v>
      </c>
      <c r="P48">
        <v>2.19</v>
      </c>
      <c r="Q48">
        <v>23.89</v>
      </c>
      <c r="R48">
        <v>3.03</v>
      </c>
      <c r="S48">
        <v>4.6399999999999997</v>
      </c>
      <c r="T48">
        <v>1.34</v>
      </c>
      <c r="U48">
        <v>1.27</v>
      </c>
      <c r="V48">
        <v>3.4</v>
      </c>
      <c r="W48">
        <v>34.17</v>
      </c>
      <c r="X48">
        <v>0</v>
      </c>
      <c r="Y48">
        <v>267.5</v>
      </c>
      <c r="Z48">
        <v>2306.7600000000002</v>
      </c>
      <c r="AA48">
        <v>265.06</v>
      </c>
      <c r="AB48">
        <v>112.23</v>
      </c>
      <c r="AC48">
        <v>729.91</v>
      </c>
      <c r="AD48">
        <v>18.989999999999998</v>
      </c>
    </row>
    <row r="49" spans="1:30" x14ac:dyDescent="0.25">
      <c r="A49">
        <v>41</v>
      </c>
      <c r="B49" t="s">
        <v>126</v>
      </c>
      <c r="C49">
        <v>35</v>
      </c>
      <c r="D49" s="4">
        <f t="shared" si="0"/>
        <v>3.5000000000000003E-2</v>
      </c>
      <c r="E49" t="s">
        <v>157</v>
      </c>
      <c r="F49" t="s">
        <v>158</v>
      </c>
      <c r="G49" t="s">
        <v>159</v>
      </c>
      <c r="H49">
        <v>281.98</v>
      </c>
      <c r="I49">
        <v>17.52</v>
      </c>
      <c r="J49">
        <v>12.84</v>
      </c>
      <c r="K49">
        <v>9.58</v>
      </c>
      <c r="L49">
        <v>0</v>
      </c>
      <c r="M49">
        <v>115.28</v>
      </c>
      <c r="N49">
        <v>67.69</v>
      </c>
      <c r="O49">
        <v>10.36</v>
      </c>
      <c r="P49">
        <v>2.19</v>
      </c>
      <c r="Q49">
        <v>8.7200000000000006</v>
      </c>
      <c r="R49">
        <v>1.04</v>
      </c>
      <c r="S49">
        <v>5.25</v>
      </c>
      <c r="T49">
        <v>0.79</v>
      </c>
      <c r="U49">
        <v>0.94</v>
      </c>
      <c r="V49">
        <v>2</v>
      </c>
      <c r="W49">
        <v>11.22</v>
      </c>
      <c r="X49">
        <v>4.45</v>
      </c>
      <c r="Y49">
        <v>29.48</v>
      </c>
      <c r="Z49">
        <v>274.57</v>
      </c>
      <c r="AA49">
        <v>81.55</v>
      </c>
      <c r="AB49">
        <v>15.88</v>
      </c>
      <c r="AC49">
        <v>549.42999999999995</v>
      </c>
      <c r="AD49">
        <v>12.55</v>
      </c>
    </row>
    <row r="50" spans="1:30" x14ac:dyDescent="0.25">
      <c r="A50">
        <v>42</v>
      </c>
      <c r="B50" t="s">
        <v>126</v>
      </c>
      <c r="C50">
        <v>32.799999999999997</v>
      </c>
      <c r="D50" s="4">
        <f t="shared" si="0"/>
        <v>3.2799999999999996E-2</v>
      </c>
      <c r="E50" t="s">
        <v>160</v>
      </c>
      <c r="F50" t="s">
        <v>161</v>
      </c>
      <c r="G50" t="s">
        <v>162</v>
      </c>
      <c r="H50">
        <v>232.4</v>
      </c>
      <c r="I50">
        <v>7.97</v>
      </c>
      <c r="J50">
        <v>0</v>
      </c>
      <c r="K50">
        <v>9.07</v>
      </c>
      <c r="L50">
        <v>4.03</v>
      </c>
      <c r="M50">
        <v>59.45</v>
      </c>
      <c r="N50">
        <v>85.07</v>
      </c>
      <c r="O50">
        <v>18.7</v>
      </c>
      <c r="P50">
        <v>3.32</v>
      </c>
      <c r="Q50">
        <v>7.28</v>
      </c>
      <c r="R50">
        <v>1.33</v>
      </c>
      <c r="S50">
        <v>5.84</v>
      </c>
      <c r="T50">
        <v>1.1599999999999999</v>
      </c>
      <c r="U50">
        <v>1.27</v>
      </c>
      <c r="V50">
        <v>2.81</v>
      </c>
      <c r="W50">
        <v>12.46</v>
      </c>
      <c r="X50">
        <v>10.08</v>
      </c>
      <c r="Y50">
        <v>37.840000000000003</v>
      </c>
      <c r="Z50">
        <v>270.89</v>
      </c>
      <c r="AA50">
        <v>57.31</v>
      </c>
      <c r="AB50">
        <v>8.43</v>
      </c>
      <c r="AC50">
        <v>389.52</v>
      </c>
      <c r="AD50">
        <v>14.17</v>
      </c>
    </row>
    <row r="51" spans="1:30" x14ac:dyDescent="0.25">
      <c r="A51">
        <v>43</v>
      </c>
      <c r="B51" t="s">
        <v>126</v>
      </c>
      <c r="C51">
        <v>34.299999999999997</v>
      </c>
      <c r="D51" s="4">
        <f t="shared" si="0"/>
        <v>3.4299999999999997E-2</v>
      </c>
      <c r="E51" t="s">
        <v>163</v>
      </c>
      <c r="F51" t="s">
        <v>164</v>
      </c>
      <c r="G51" t="s">
        <v>165</v>
      </c>
      <c r="H51">
        <v>329.38</v>
      </c>
      <c r="I51">
        <v>15.55</v>
      </c>
      <c r="J51">
        <v>0</v>
      </c>
      <c r="K51">
        <v>9.75</v>
      </c>
      <c r="L51">
        <v>8.0299999999999994</v>
      </c>
      <c r="M51">
        <v>202.09</v>
      </c>
      <c r="N51">
        <v>87.24</v>
      </c>
      <c r="O51">
        <v>12.09</v>
      </c>
      <c r="P51">
        <v>3.18</v>
      </c>
      <c r="Q51">
        <v>8.92</v>
      </c>
      <c r="R51">
        <v>1.47</v>
      </c>
      <c r="S51">
        <v>6.43</v>
      </c>
      <c r="T51">
        <v>0.79</v>
      </c>
      <c r="U51">
        <v>2.12</v>
      </c>
      <c r="V51">
        <v>3.4</v>
      </c>
      <c r="W51">
        <v>16.420000000000002</v>
      </c>
      <c r="X51">
        <v>10.6</v>
      </c>
      <c r="Y51">
        <v>30.66</v>
      </c>
      <c r="Z51">
        <v>464.55</v>
      </c>
      <c r="AA51">
        <v>102.79</v>
      </c>
      <c r="AB51">
        <v>27.97</v>
      </c>
      <c r="AC51">
        <v>676.34</v>
      </c>
      <c r="AD51">
        <v>11.73</v>
      </c>
    </row>
    <row r="52" spans="1:30" x14ac:dyDescent="0.25">
      <c r="A52">
        <v>44</v>
      </c>
      <c r="B52" t="s">
        <v>126</v>
      </c>
      <c r="C52">
        <v>9.5</v>
      </c>
      <c r="D52" s="4">
        <f t="shared" si="0"/>
        <v>9.4999999999999998E-3</v>
      </c>
      <c r="E52" t="s">
        <v>166</v>
      </c>
      <c r="F52" t="s">
        <v>167</v>
      </c>
      <c r="G52" t="s">
        <v>168</v>
      </c>
      <c r="H52">
        <v>103.28</v>
      </c>
      <c r="I52">
        <v>7.97</v>
      </c>
      <c r="J52">
        <v>0</v>
      </c>
      <c r="K52">
        <v>7.53</v>
      </c>
      <c r="L52">
        <v>4.74</v>
      </c>
      <c r="M52">
        <v>92.43</v>
      </c>
      <c r="N52">
        <v>70.59</v>
      </c>
      <c r="O52">
        <v>13.79</v>
      </c>
      <c r="P52">
        <v>3.32</v>
      </c>
      <c r="Q52">
        <v>10.78</v>
      </c>
      <c r="R52">
        <v>1.33</v>
      </c>
      <c r="S52">
        <v>5.25</v>
      </c>
      <c r="T52">
        <v>0.79</v>
      </c>
      <c r="U52">
        <v>1.38</v>
      </c>
      <c r="V52">
        <v>2</v>
      </c>
      <c r="W52">
        <v>11.93</v>
      </c>
      <c r="X52">
        <v>4.45</v>
      </c>
      <c r="Y52">
        <v>30.27</v>
      </c>
      <c r="Z52">
        <v>270.89</v>
      </c>
      <c r="AA52">
        <v>84.25</v>
      </c>
      <c r="AB52">
        <v>19.84</v>
      </c>
      <c r="AC52">
        <v>445.16</v>
      </c>
      <c r="AD52">
        <v>15.79</v>
      </c>
    </row>
    <row r="53" spans="1:30" x14ac:dyDescent="0.25">
      <c r="A53">
        <v>45</v>
      </c>
      <c r="B53" t="s">
        <v>126</v>
      </c>
      <c r="C53">
        <v>37.299999999999997</v>
      </c>
      <c r="D53" s="4">
        <f t="shared" si="0"/>
        <v>3.73E-2</v>
      </c>
      <c r="E53" t="s">
        <v>169</v>
      </c>
      <c r="F53" t="s">
        <v>170</v>
      </c>
      <c r="G53" t="s">
        <v>171</v>
      </c>
      <c r="H53">
        <v>116.12</v>
      </c>
      <c r="I53">
        <v>12.19</v>
      </c>
      <c r="J53">
        <v>0</v>
      </c>
      <c r="K53">
        <v>8.9</v>
      </c>
      <c r="L53">
        <v>11.04</v>
      </c>
      <c r="M53">
        <v>69.86</v>
      </c>
      <c r="N53">
        <v>85.07</v>
      </c>
      <c r="O53">
        <v>20.3</v>
      </c>
      <c r="P53">
        <v>2.9</v>
      </c>
      <c r="Q53">
        <v>11.28</v>
      </c>
      <c r="R53">
        <v>1.04</v>
      </c>
      <c r="S53">
        <v>5.54</v>
      </c>
      <c r="T53">
        <v>1.34</v>
      </c>
      <c r="U53">
        <v>2.12</v>
      </c>
      <c r="V53">
        <v>3.6</v>
      </c>
      <c r="W53">
        <v>12.81</v>
      </c>
      <c r="X53">
        <v>0</v>
      </c>
      <c r="Y53">
        <v>47.08</v>
      </c>
      <c r="Z53">
        <v>309.68</v>
      </c>
      <c r="AA53">
        <v>92.13</v>
      </c>
      <c r="AB53">
        <v>13.28</v>
      </c>
      <c r="AC53">
        <v>476.7</v>
      </c>
      <c r="AD53">
        <v>17.39</v>
      </c>
    </row>
    <row r="54" spans="1:30" x14ac:dyDescent="0.25">
      <c r="A54">
        <v>46</v>
      </c>
      <c r="B54" t="s">
        <v>172</v>
      </c>
      <c r="C54">
        <v>27.8</v>
      </c>
      <c r="D54" s="4">
        <f t="shared" si="0"/>
        <v>2.7800000000000002E-2</v>
      </c>
      <c r="E54" t="s">
        <v>173</v>
      </c>
      <c r="F54" t="s">
        <v>174</v>
      </c>
      <c r="G54" t="s">
        <v>175</v>
      </c>
      <c r="H54">
        <v>119.74</v>
      </c>
      <c r="I54">
        <v>11.5</v>
      </c>
      <c r="J54">
        <v>0</v>
      </c>
      <c r="K54">
        <v>7.87</v>
      </c>
      <c r="L54">
        <v>8.64</v>
      </c>
      <c r="M54">
        <v>91.71</v>
      </c>
      <c r="N54">
        <v>79.290000000000006</v>
      </c>
      <c r="O54">
        <v>6.76</v>
      </c>
      <c r="P54">
        <v>1.72</v>
      </c>
      <c r="Q54">
        <v>8.98</v>
      </c>
      <c r="R54">
        <v>1.33</v>
      </c>
      <c r="S54">
        <v>3.09</v>
      </c>
      <c r="T54">
        <v>1.71</v>
      </c>
      <c r="U54">
        <v>1.49</v>
      </c>
      <c r="V54">
        <v>3.4</v>
      </c>
      <c r="W54">
        <v>22</v>
      </c>
      <c r="X54">
        <v>0</v>
      </c>
      <c r="Y54">
        <v>44.65</v>
      </c>
      <c r="Z54">
        <v>313.04000000000002</v>
      </c>
      <c r="AA54">
        <v>139.68</v>
      </c>
      <c r="AB54">
        <v>23.57</v>
      </c>
      <c r="AC54">
        <v>689.86</v>
      </c>
      <c r="AD54">
        <v>15.79</v>
      </c>
    </row>
    <row r="55" spans="1:30" x14ac:dyDescent="0.25">
      <c r="A55">
        <v>47</v>
      </c>
      <c r="B55" t="s">
        <v>172</v>
      </c>
      <c r="C55">
        <v>45.9</v>
      </c>
      <c r="D55" s="4">
        <f t="shared" si="0"/>
        <v>4.5899999999999996E-2</v>
      </c>
      <c r="E55" t="s">
        <v>176</v>
      </c>
      <c r="F55" t="s">
        <v>177</v>
      </c>
      <c r="G55" t="s">
        <v>178</v>
      </c>
      <c r="H55">
        <v>332.38</v>
      </c>
      <c r="I55">
        <v>9.41</v>
      </c>
      <c r="J55">
        <v>9.5299999999999994</v>
      </c>
      <c r="K55">
        <v>12.25</v>
      </c>
      <c r="L55">
        <v>13.88</v>
      </c>
      <c r="M55">
        <v>110.31</v>
      </c>
      <c r="N55">
        <v>100.25</v>
      </c>
      <c r="O55">
        <v>17.09</v>
      </c>
      <c r="P55">
        <v>3.13</v>
      </c>
      <c r="Q55">
        <v>8.1999999999999993</v>
      </c>
      <c r="R55">
        <v>2.19</v>
      </c>
      <c r="S55">
        <v>5.25</v>
      </c>
      <c r="T55">
        <v>1.34</v>
      </c>
      <c r="U55">
        <v>2.33</v>
      </c>
      <c r="V55">
        <v>2.41</v>
      </c>
      <c r="W55">
        <v>17.350000000000001</v>
      </c>
      <c r="X55">
        <v>9.5500000000000007</v>
      </c>
      <c r="Y55">
        <v>35.619999999999997</v>
      </c>
      <c r="Z55">
        <v>309.68</v>
      </c>
      <c r="AA55">
        <v>137.55000000000001</v>
      </c>
      <c r="AB55">
        <v>22.77</v>
      </c>
      <c r="AC55">
        <v>973.84</v>
      </c>
      <c r="AD55">
        <v>18.989999999999998</v>
      </c>
    </row>
    <row r="56" spans="1:30" x14ac:dyDescent="0.25">
      <c r="A56">
        <v>48</v>
      </c>
      <c r="B56" t="s">
        <v>172</v>
      </c>
      <c r="C56">
        <v>20</v>
      </c>
      <c r="D56" s="4">
        <f t="shared" si="0"/>
        <v>0.02</v>
      </c>
      <c r="E56" t="s">
        <v>179</v>
      </c>
      <c r="F56" t="s">
        <v>180</v>
      </c>
      <c r="G56" t="s">
        <v>181</v>
      </c>
      <c r="H56">
        <v>95.81</v>
      </c>
      <c r="I56">
        <v>3.4</v>
      </c>
      <c r="J56">
        <v>0</v>
      </c>
      <c r="K56">
        <v>5.43</v>
      </c>
      <c r="L56">
        <v>0</v>
      </c>
      <c r="M56">
        <v>32.54</v>
      </c>
      <c r="N56">
        <v>55.32</v>
      </c>
      <c r="O56">
        <v>15.45</v>
      </c>
      <c r="P56">
        <v>2.94</v>
      </c>
      <c r="Q56">
        <v>5.23</v>
      </c>
      <c r="R56">
        <v>0.44</v>
      </c>
      <c r="S56">
        <v>3.72</v>
      </c>
      <c r="T56">
        <v>0.97</v>
      </c>
      <c r="U56">
        <v>1.05</v>
      </c>
      <c r="V56">
        <v>3.2</v>
      </c>
      <c r="W56">
        <v>8.23</v>
      </c>
      <c r="X56">
        <v>0</v>
      </c>
      <c r="Y56">
        <v>23.78</v>
      </c>
      <c r="Z56">
        <v>9.8699999999999992</v>
      </c>
      <c r="AA56">
        <v>39.020000000000003</v>
      </c>
      <c r="AB56">
        <v>5.75</v>
      </c>
      <c r="AC56">
        <v>184.81</v>
      </c>
      <c r="AD56">
        <v>12.55</v>
      </c>
    </row>
    <row r="57" spans="1:30" x14ac:dyDescent="0.25">
      <c r="A57">
        <v>49</v>
      </c>
      <c r="B57" t="s">
        <v>172</v>
      </c>
      <c r="C57">
        <v>43.5</v>
      </c>
      <c r="D57" s="4">
        <f t="shared" si="0"/>
        <v>4.3499999999999997E-2</v>
      </c>
      <c r="E57" t="s">
        <v>182</v>
      </c>
      <c r="F57" t="s">
        <v>183</v>
      </c>
      <c r="G57" t="s">
        <v>184</v>
      </c>
      <c r="H57">
        <v>112.68</v>
      </c>
      <c r="I57">
        <v>10.81</v>
      </c>
      <c r="J57">
        <v>0</v>
      </c>
      <c r="K57">
        <v>7.53</v>
      </c>
      <c r="L57">
        <v>0</v>
      </c>
      <c r="M57">
        <v>72.8</v>
      </c>
      <c r="N57">
        <v>48</v>
      </c>
      <c r="O57">
        <v>10.36</v>
      </c>
      <c r="P57">
        <v>2.0499999999999998</v>
      </c>
      <c r="Q57">
        <v>5.16</v>
      </c>
      <c r="R57">
        <v>0.74</v>
      </c>
      <c r="S57">
        <v>2.77</v>
      </c>
      <c r="T57">
        <v>0.97</v>
      </c>
      <c r="U57">
        <v>1.05</v>
      </c>
      <c r="V57">
        <v>1.19</v>
      </c>
      <c r="W57">
        <v>10.6</v>
      </c>
      <c r="X57">
        <v>0</v>
      </c>
      <c r="Y57">
        <v>38.94</v>
      </c>
      <c r="Z57">
        <v>236.11</v>
      </c>
      <c r="AA57">
        <v>52.39</v>
      </c>
      <c r="AB57">
        <v>9.82</v>
      </c>
      <c r="AC57">
        <v>250.09</v>
      </c>
      <c r="AD57">
        <v>7.59</v>
      </c>
    </row>
    <row r="58" spans="1:30" x14ac:dyDescent="0.25">
      <c r="A58">
        <v>50</v>
      </c>
      <c r="B58" t="s">
        <v>172</v>
      </c>
      <c r="C58">
        <v>34.9</v>
      </c>
      <c r="D58" s="4">
        <f t="shared" si="0"/>
        <v>3.49E-2</v>
      </c>
      <c r="E58" t="s">
        <v>185</v>
      </c>
      <c r="F58" t="s">
        <v>186</v>
      </c>
      <c r="G58" t="s">
        <v>187</v>
      </c>
      <c r="H58">
        <v>139.51</v>
      </c>
      <c r="I58">
        <v>4.99</v>
      </c>
      <c r="J58">
        <v>0</v>
      </c>
      <c r="K58">
        <v>3.44</v>
      </c>
      <c r="L58">
        <v>0</v>
      </c>
      <c r="M58">
        <v>73.17</v>
      </c>
      <c r="N58">
        <v>45.06</v>
      </c>
      <c r="O58">
        <v>6.76</v>
      </c>
      <c r="P58">
        <v>1.35</v>
      </c>
      <c r="Q58">
        <v>2.92</v>
      </c>
      <c r="R58">
        <v>0.74</v>
      </c>
      <c r="S58">
        <v>0.73</v>
      </c>
      <c r="T58">
        <v>0.79</v>
      </c>
      <c r="U58">
        <v>0.47</v>
      </c>
      <c r="V58">
        <v>1.8</v>
      </c>
      <c r="W58">
        <v>9.06</v>
      </c>
      <c r="X58">
        <v>0</v>
      </c>
      <c r="Y58">
        <v>17.61</v>
      </c>
      <c r="Z58">
        <v>141.16999999999999</v>
      </c>
      <c r="AA58">
        <v>55.69</v>
      </c>
      <c r="AB58">
        <v>7.7</v>
      </c>
      <c r="AC58">
        <v>310.89999999999998</v>
      </c>
      <c r="AD58">
        <v>9.26</v>
      </c>
    </row>
    <row r="59" spans="1:30" x14ac:dyDescent="0.25">
      <c r="A59">
        <v>51</v>
      </c>
      <c r="B59" t="s">
        <v>172</v>
      </c>
      <c r="C59">
        <v>29.3</v>
      </c>
      <c r="D59" s="4">
        <f t="shared" si="0"/>
        <v>2.93E-2</v>
      </c>
      <c r="E59" t="s">
        <v>188</v>
      </c>
      <c r="F59" t="s">
        <v>189</v>
      </c>
      <c r="G59" t="s">
        <v>190</v>
      </c>
      <c r="H59">
        <v>136.97</v>
      </c>
      <c r="I59">
        <v>20.100000000000001</v>
      </c>
      <c r="J59">
        <v>0</v>
      </c>
      <c r="K59">
        <v>6.49</v>
      </c>
      <c r="L59">
        <v>0</v>
      </c>
      <c r="M59">
        <v>109.6</v>
      </c>
      <c r="N59">
        <v>54.59</v>
      </c>
      <c r="O59">
        <v>13.79</v>
      </c>
      <c r="P59">
        <v>1.77</v>
      </c>
      <c r="Q59">
        <v>8.4600000000000009</v>
      </c>
      <c r="R59">
        <v>2.19</v>
      </c>
      <c r="S59">
        <v>2.12</v>
      </c>
      <c r="T59">
        <v>0.79</v>
      </c>
      <c r="U59">
        <v>0.82</v>
      </c>
      <c r="V59">
        <v>2.21</v>
      </c>
      <c r="W59">
        <v>11.93</v>
      </c>
      <c r="X59">
        <v>0</v>
      </c>
      <c r="Y59">
        <v>82.54</v>
      </c>
      <c r="Z59">
        <v>427.26</v>
      </c>
      <c r="AA59">
        <v>190.44</v>
      </c>
      <c r="AB59">
        <v>33.94</v>
      </c>
      <c r="AC59">
        <v>300.35000000000002</v>
      </c>
      <c r="AD59">
        <v>9.26</v>
      </c>
    </row>
    <row r="60" spans="1:30" x14ac:dyDescent="0.25">
      <c r="A60">
        <v>52</v>
      </c>
      <c r="B60" t="s">
        <v>172</v>
      </c>
      <c r="C60">
        <v>39.4</v>
      </c>
      <c r="D60" s="4">
        <f t="shared" si="0"/>
        <v>3.9399999999999998E-2</v>
      </c>
      <c r="E60" t="s">
        <v>191</v>
      </c>
      <c r="F60" t="s">
        <v>192</v>
      </c>
      <c r="G60" t="s">
        <v>193</v>
      </c>
      <c r="H60">
        <v>166.94</v>
      </c>
      <c r="I60">
        <v>1.7</v>
      </c>
      <c r="J60">
        <v>0</v>
      </c>
      <c r="K60">
        <v>4.3600000000000003</v>
      </c>
      <c r="L60">
        <v>0</v>
      </c>
      <c r="M60">
        <v>73.540000000000006</v>
      </c>
      <c r="N60">
        <v>58.24</v>
      </c>
      <c r="O60">
        <v>10.36</v>
      </c>
      <c r="P60">
        <v>1.44</v>
      </c>
      <c r="Q60">
        <v>4.0999999999999996</v>
      </c>
      <c r="R60">
        <v>0.44</v>
      </c>
      <c r="S60">
        <v>3.41</v>
      </c>
      <c r="T60">
        <v>0.32</v>
      </c>
      <c r="U60">
        <v>0.35</v>
      </c>
      <c r="V60">
        <v>0.99</v>
      </c>
      <c r="W60">
        <v>7.01</v>
      </c>
      <c r="X60">
        <v>0</v>
      </c>
      <c r="Y60">
        <v>14.27</v>
      </c>
      <c r="Z60">
        <v>129.19999999999999</v>
      </c>
      <c r="AA60">
        <v>71.010000000000005</v>
      </c>
      <c r="AB60">
        <v>9.82</v>
      </c>
      <c r="AC60">
        <v>420.87</v>
      </c>
      <c r="AD60">
        <v>10.91</v>
      </c>
    </row>
    <row r="61" spans="1:30" x14ac:dyDescent="0.25">
      <c r="A61">
        <v>53</v>
      </c>
      <c r="B61" t="s">
        <v>172</v>
      </c>
      <c r="C61">
        <v>41.3</v>
      </c>
      <c r="D61" s="4">
        <f t="shared" si="0"/>
        <v>4.1299999999999996E-2</v>
      </c>
      <c r="E61" t="s">
        <v>194</v>
      </c>
      <c r="F61" t="s">
        <v>195</v>
      </c>
      <c r="G61" t="s">
        <v>196</v>
      </c>
      <c r="H61">
        <v>245.66</v>
      </c>
      <c r="I61">
        <v>7.97</v>
      </c>
      <c r="J61">
        <v>0</v>
      </c>
      <c r="K61">
        <v>11.59</v>
      </c>
      <c r="L61">
        <v>2.5099999999999998</v>
      </c>
      <c r="M61">
        <v>33.340000000000003</v>
      </c>
      <c r="N61">
        <v>59.69</v>
      </c>
      <c r="O61">
        <v>21.87</v>
      </c>
      <c r="P61">
        <v>2.19</v>
      </c>
      <c r="Q61">
        <v>10.33</v>
      </c>
      <c r="R61">
        <v>1.62</v>
      </c>
      <c r="S61">
        <v>12.06</v>
      </c>
      <c r="T61">
        <v>1.07</v>
      </c>
      <c r="U61">
        <v>1.27</v>
      </c>
      <c r="V61">
        <v>2.21</v>
      </c>
      <c r="W61">
        <v>6.82</v>
      </c>
      <c r="X61">
        <v>26.73</v>
      </c>
      <c r="Y61">
        <v>27.08</v>
      </c>
      <c r="Z61">
        <v>219.49</v>
      </c>
      <c r="AA61">
        <v>73.17</v>
      </c>
      <c r="AB61">
        <v>9.19</v>
      </c>
      <c r="AC61">
        <v>760.22</v>
      </c>
      <c r="AD61">
        <v>17.39</v>
      </c>
    </row>
    <row r="62" spans="1:30" x14ac:dyDescent="0.25">
      <c r="A62">
        <v>54</v>
      </c>
      <c r="B62" t="s">
        <v>172</v>
      </c>
      <c r="C62">
        <v>46.8</v>
      </c>
      <c r="D62" s="4">
        <f t="shared" si="0"/>
        <v>4.6799999999999994E-2</v>
      </c>
      <c r="E62" t="s">
        <v>197</v>
      </c>
      <c r="F62" t="s">
        <v>198</v>
      </c>
      <c r="G62" t="s">
        <v>199</v>
      </c>
      <c r="H62">
        <v>108.61</v>
      </c>
      <c r="I62">
        <v>0</v>
      </c>
      <c r="J62">
        <v>0</v>
      </c>
      <c r="K62">
        <v>0</v>
      </c>
      <c r="L62">
        <v>0</v>
      </c>
      <c r="M62">
        <v>94.59</v>
      </c>
      <c r="N62">
        <v>49.47</v>
      </c>
      <c r="O62">
        <v>10.36</v>
      </c>
      <c r="P62">
        <v>1.02</v>
      </c>
      <c r="Q62">
        <v>3.22</v>
      </c>
      <c r="R62">
        <v>0.44</v>
      </c>
      <c r="S62">
        <v>2.4500000000000002</v>
      </c>
      <c r="T62">
        <v>0.02</v>
      </c>
      <c r="U62">
        <v>0</v>
      </c>
      <c r="V62">
        <v>0.36</v>
      </c>
      <c r="W62">
        <v>3.66</v>
      </c>
      <c r="X62">
        <v>0</v>
      </c>
      <c r="Y62">
        <v>20.32</v>
      </c>
      <c r="Z62">
        <v>129.19999999999999</v>
      </c>
      <c r="AA62">
        <v>44.59</v>
      </c>
      <c r="AB62">
        <v>6.46</v>
      </c>
      <c r="AC62">
        <v>495.29</v>
      </c>
      <c r="AD62">
        <v>7.59</v>
      </c>
    </row>
    <row r="63" spans="1:30" x14ac:dyDescent="0.25">
      <c r="A63">
        <v>55</v>
      </c>
      <c r="B63" t="s">
        <v>172</v>
      </c>
      <c r="C63">
        <v>35.700000000000003</v>
      </c>
      <c r="D63" s="4">
        <f t="shared" si="0"/>
        <v>3.5700000000000003E-2</v>
      </c>
      <c r="E63" t="s">
        <v>200</v>
      </c>
      <c r="F63" t="s">
        <v>201</v>
      </c>
      <c r="G63" t="s">
        <v>202</v>
      </c>
      <c r="H63">
        <v>106.16</v>
      </c>
      <c r="I63">
        <v>1.7</v>
      </c>
      <c r="J63">
        <v>0</v>
      </c>
      <c r="K63">
        <v>5.79</v>
      </c>
      <c r="L63">
        <v>0</v>
      </c>
      <c r="M63">
        <v>158.34</v>
      </c>
      <c r="N63">
        <v>53.86</v>
      </c>
      <c r="O63">
        <v>10.36</v>
      </c>
      <c r="P63">
        <v>1.35</v>
      </c>
      <c r="Q63">
        <v>5.72</v>
      </c>
      <c r="R63">
        <v>0.44</v>
      </c>
      <c r="S63">
        <v>1.78</v>
      </c>
      <c r="T63">
        <v>0.22</v>
      </c>
      <c r="U63">
        <v>0.35</v>
      </c>
      <c r="V63">
        <v>2.41</v>
      </c>
      <c r="W63">
        <v>6.44</v>
      </c>
      <c r="X63">
        <v>0</v>
      </c>
      <c r="Y63">
        <v>32.590000000000003</v>
      </c>
      <c r="Z63">
        <v>163.18</v>
      </c>
      <c r="AA63">
        <v>37.08</v>
      </c>
      <c r="AB63">
        <v>5.61</v>
      </c>
      <c r="AC63">
        <v>238.9</v>
      </c>
      <c r="AD63">
        <v>9.26</v>
      </c>
    </row>
    <row r="64" spans="1:30" x14ac:dyDescent="0.25">
      <c r="A64">
        <v>56</v>
      </c>
      <c r="B64" t="s">
        <v>172</v>
      </c>
      <c r="C64">
        <v>27.4</v>
      </c>
      <c r="D64" s="4">
        <f t="shared" si="0"/>
        <v>2.7399999999999997E-2</v>
      </c>
      <c r="E64" t="s">
        <v>203</v>
      </c>
      <c r="F64" t="s">
        <v>204</v>
      </c>
      <c r="G64" t="s">
        <v>205</v>
      </c>
      <c r="H64">
        <v>75.540000000000006</v>
      </c>
      <c r="I64">
        <v>0</v>
      </c>
      <c r="J64">
        <v>0</v>
      </c>
      <c r="K64">
        <v>2.88</v>
      </c>
      <c r="L64">
        <v>0</v>
      </c>
      <c r="M64">
        <v>63.93</v>
      </c>
      <c r="N64">
        <v>48</v>
      </c>
      <c r="O64">
        <v>10.36</v>
      </c>
      <c r="P64">
        <v>1.53</v>
      </c>
      <c r="Q64">
        <v>2.15</v>
      </c>
      <c r="R64">
        <v>0.13</v>
      </c>
      <c r="S64">
        <v>1.44</v>
      </c>
      <c r="T64">
        <v>0.6</v>
      </c>
      <c r="U64">
        <v>0</v>
      </c>
      <c r="V64">
        <v>0.78</v>
      </c>
      <c r="W64">
        <v>4.88</v>
      </c>
      <c r="X64">
        <v>0</v>
      </c>
      <c r="Y64">
        <v>7.22</v>
      </c>
      <c r="Z64">
        <v>0</v>
      </c>
      <c r="AA64">
        <v>33.04</v>
      </c>
      <c r="AB64">
        <v>5.89</v>
      </c>
      <c r="AC64">
        <v>338.1</v>
      </c>
      <c r="AD64">
        <v>7.59</v>
      </c>
    </row>
    <row r="65" spans="1:30" x14ac:dyDescent="0.25">
      <c r="A65">
        <v>57</v>
      </c>
      <c r="B65" t="s">
        <v>172</v>
      </c>
      <c r="C65">
        <v>38.5</v>
      </c>
      <c r="D65" s="4">
        <f t="shared" si="0"/>
        <v>3.85E-2</v>
      </c>
      <c r="E65" t="s">
        <v>206</v>
      </c>
      <c r="F65" t="s">
        <v>207</v>
      </c>
      <c r="G65" t="s">
        <v>208</v>
      </c>
      <c r="H65">
        <v>184.15</v>
      </c>
      <c r="I65">
        <v>36.1</v>
      </c>
      <c r="J65">
        <v>0</v>
      </c>
      <c r="K65">
        <v>8.2200000000000006</v>
      </c>
      <c r="L65">
        <v>9.26</v>
      </c>
      <c r="M65">
        <v>724.99</v>
      </c>
      <c r="N65">
        <v>69.87</v>
      </c>
      <c r="O65">
        <v>23.43</v>
      </c>
      <c r="P65">
        <v>1.44</v>
      </c>
      <c r="Q65">
        <v>12.72</v>
      </c>
      <c r="R65">
        <v>5.64</v>
      </c>
      <c r="S65">
        <v>5.84</v>
      </c>
      <c r="T65">
        <v>1.89</v>
      </c>
      <c r="U65">
        <v>2.33</v>
      </c>
      <c r="V65">
        <v>3.8</v>
      </c>
      <c r="W65">
        <v>39.24</v>
      </c>
      <c r="X65">
        <v>11.1</v>
      </c>
      <c r="Y65">
        <v>104.4</v>
      </c>
      <c r="Z65">
        <v>1915.28</v>
      </c>
      <c r="AA65">
        <v>736.7</v>
      </c>
      <c r="AB65">
        <v>143.15</v>
      </c>
      <c r="AC65">
        <v>2322.66</v>
      </c>
      <c r="AD65">
        <v>10.91</v>
      </c>
    </row>
    <row r="66" spans="1:30" x14ac:dyDescent="0.25">
      <c r="A66">
        <v>58</v>
      </c>
      <c r="B66" t="s">
        <v>172</v>
      </c>
      <c r="C66">
        <v>37.6</v>
      </c>
      <c r="D66" s="4">
        <f t="shared" si="0"/>
        <v>3.7600000000000001E-2</v>
      </c>
      <c r="E66" t="s">
        <v>209</v>
      </c>
      <c r="F66" t="s">
        <v>210</v>
      </c>
      <c r="G66" t="s">
        <v>211</v>
      </c>
      <c r="H66">
        <v>287.81</v>
      </c>
      <c r="I66">
        <v>133.41</v>
      </c>
      <c r="J66">
        <v>15.48</v>
      </c>
      <c r="K66">
        <v>12.58</v>
      </c>
      <c r="L66">
        <v>12.76</v>
      </c>
      <c r="M66">
        <v>696.8</v>
      </c>
      <c r="N66">
        <v>81.459999999999994</v>
      </c>
      <c r="O66">
        <v>20.3</v>
      </c>
      <c r="P66">
        <v>1.82</v>
      </c>
      <c r="Q66">
        <v>29.28</v>
      </c>
      <c r="R66">
        <v>6.04</v>
      </c>
      <c r="S66">
        <v>5.25</v>
      </c>
      <c r="T66">
        <v>1.25</v>
      </c>
      <c r="U66">
        <v>2.12</v>
      </c>
      <c r="V66">
        <v>6.72</v>
      </c>
      <c r="W66">
        <v>80.48</v>
      </c>
      <c r="X66">
        <v>11.1</v>
      </c>
      <c r="Y66">
        <v>547.36</v>
      </c>
      <c r="Z66">
        <v>2122.34</v>
      </c>
      <c r="AA66">
        <v>628.79</v>
      </c>
      <c r="AB66">
        <v>113.06</v>
      </c>
      <c r="AC66">
        <v>1144.98</v>
      </c>
      <c r="AD66">
        <v>15.79</v>
      </c>
    </row>
    <row r="67" spans="1:30" x14ac:dyDescent="0.25">
      <c r="A67">
        <v>59</v>
      </c>
      <c r="B67" t="s">
        <v>172</v>
      </c>
      <c r="C67">
        <v>30.6</v>
      </c>
      <c r="D67" s="4">
        <f t="shared" si="0"/>
        <v>3.0600000000000002E-2</v>
      </c>
      <c r="E67" t="s">
        <v>212</v>
      </c>
      <c r="F67" t="s">
        <v>213</v>
      </c>
      <c r="G67" t="s">
        <v>214</v>
      </c>
      <c r="H67">
        <v>186</v>
      </c>
      <c r="I67">
        <v>0</v>
      </c>
      <c r="J67">
        <v>0</v>
      </c>
      <c r="K67">
        <v>4.17</v>
      </c>
      <c r="L67">
        <v>0</v>
      </c>
      <c r="M67">
        <v>103.9</v>
      </c>
      <c r="N67">
        <v>48</v>
      </c>
      <c r="O67">
        <v>13.79</v>
      </c>
      <c r="P67">
        <v>2.29</v>
      </c>
      <c r="Q67">
        <v>3.37</v>
      </c>
      <c r="R67">
        <v>0.74</v>
      </c>
      <c r="S67">
        <v>4.6399999999999997</v>
      </c>
      <c r="T67">
        <v>0.79</v>
      </c>
      <c r="U67">
        <v>0.59</v>
      </c>
      <c r="V67">
        <v>1.6</v>
      </c>
      <c r="W67">
        <v>5.67</v>
      </c>
      <c r="X67">
        <v>0</v>
      </c>
      <c r="Y67">
        <v>23.35</v>
      </c>
      <c r="Z67">
        <v>152.46</v>
      </c>
      <c r="AA67">
        <v>41.85</v>
      </c>
      <c r="AB67">
        <v>6.53</v>
      </c>
      <c r="AC67">
        <v>577.75</v>
      </c>
      <c r="AD67">
        <v>9.26</v>
      </c>
    </row>
    <row r="68" spans="1:30" x14ac:dyDescent="0.25">
      <c r="A68">
        <v>60</v>
      </c>
      <c r="B68" t="s">
        <v>172</v>
      </c>
      <c r="C68">
        <v>29.6</v>
      </c>
      <c r="D68" s="4">
        <f t="shared" si="0"/>
        <v>2.9600000000000001E-2</v>
      </c>
      <c r="E68" t="s">
        <v>215</v>
      </c>
      <c r="F68" t="s">
        <v>216</v>
      </c>
      <c r="G68" t="s">
        <v>217</v>
      </c>
      <c r="H68">
        <v>125.33</v>
      </c>
      <c r="I68">
        <v>4.99</v>
      </c>
      <c r="J68">
        <v>0</v>
      </c>
      <c r="K68">
        <v>6.49</v>
      </c>
      <c r="L68">
        <v>8.0299999999999994</v>
      </c>
      <c r="M68">
        <v>340.5</v>
      </c>
      <c r="N68">
        <v>61.15</v>
      </c>
      <c r="O68">
        <v>13.79</v>
      </c>
      <c r="P68">
        <v>2</v>
      </c>
      <c r="Q68">
        <v>5.0199999999999996</v>
      </c>
      <c r="R68">
        <v>1.33</v>
      </c>
      <c r="S68">
        <v>4.03</v>
      </c>
      <c r="T68">
        <v>0.51</v>
      </c>
      <c r="U68">
        <v>0.82</v>
      </c>
      <c r="V68">
        <v>2</v>
      </c>
      <c r="W68">
        <v>8.69</v>
      </c>
      <c r="X68">
        <v>0</v>
      </c>
      <c r="Y68">
        <v>61.02</v>
      </c>
      <c r="Z68">
        <v>309.68</v>
      </c>
      <c r="AA68">
        <v>211.17</v>
      </c>
      <c r="AB68">
        <v>71.8</v>
      </c>
      <c r="AC68">
        <v>679.3</v>
      </c>
      <c r="AD68">
        <v>7.59</v>
      </c>
    </row>
    <row r="69" spans="1:30" x14ac:dyDescent="0.25">
      <c r="A69">
        <v>61</v>
      </c>
      <c r="B69" t="s">
        <v>218</v>
      </c>
      <c r="C69">
        <v>45</v>
      </c>
      <c r="D69" s="4">
        <f t="shared" si="0"/>
        <v>4.4999999999999998E-2</v>
      </c>
      <c r="E69" t="s">
        <v>219</v>
      </c>
      <c r="F69" t="s">
        <v>220</v>
      </c>
      <c r="G69" t="s">
        <v>221</v>
      </c>
      <c r="H69">
        <v>542.63</v>
      </c>
      <c r="I69">
        <v>82.43</v>
      </c>
      <c r="J69">
        <v>9.5299999999999994</v>
      </c>
      <c r="K69">
        <v>9.58</v>
      </c>
      <c r="L69">
        <v>6.75</v>
      </c>
      <c r="M69">
        <v>359.74</v>
      </c>
      <c r="N69">
        <v>53.13</v>
      </c>
      <c r="O69">
        <v>20.3</v>
      </c>
      <c r="P69">
        <v>1.44</v>
      </c>
      <c r="Q69">
        <v>17.420000000000002</v>
      </c>
      <c r="R69">
        <v>6.99</v>
      </c>
      <c r="S69">
        <v>4.95</v>
      </c>
      <c r="T69">
        <v>0.97</v>
      </c>
      <c r="U69">
        <v>5.14</v>
      </c>
      <c r="V69">
        <v>23.7</v>
      </c>
      <c r="W69">
        <v>41.71</v>
      </c>
      <c r="X69">
        <v>8.44</v>
      </c>
      <c r="Y69">
        <v>227.02</v>
      </c>
      <c r="Z69">
        <v>589.4</v>
      </c>
      <c r="AA69">
        <v>507.82</v>
      </c>
      <c r="AB69">
        <v>66.010000000000005</v>
      </c>
      <c r="AC69">
        <v>2526.15</v>
      </c>
      <c r="AD69">
        <v>11.73</v>
      </c>
    </row>
    <row r="70" spans="1:30" x14ac:dyDescent="0.25">
      <c r="A70">
        <v>62</v>
      </c>
      <c r="B70" t="s">
        <v>218</v>
      </c>
      <c r="C70">
        <v>45.8</v>
      </c>
      <c r="D70" s="4">
        <f t="shared" si="0"/>
        <v>4.58E-2</v>
      </c>
      <c r="E70" t="s">
        <v>222</v>
      </c>
      <c r="F70" t="s">
        <v>223</v>
      </c>
      <c r="G70" t="s">
        <v>224</v>
      </c>
      <c r="H70">
        <v>171.08</v>
      </c>
      <c r="I70">
        <v>75.87</v>
      </c>
      <c r="J70">
        <v>0</v>
      </c>
      <c r="K70">
        <v>8.56</v>
      </c>
      <c r="L70">
        <v>9.26</v>
      </c>
      <c r="M70">
        <v>230.09</v>
      </c>
      <c r="N70">
        <v>65.510000000000005</v>
      </c>
      <c r="O70">
        <v>17.09</v>
      </c>
      <c r="P70">
        <v>1.06</v>
      </c>
      <c r="Q70">
        <v>8.5299999999999994</v>
      </c>
      <c r="R70">
        <v>5.23</v>
      </c>
      <c r="S70">
        <v>4.34</v>
      </c>
      <c r="T70">
        <v>0.97</v>
      </c>
      <c r="U70">
        <v>1.49</v>
      </c>
      <c r="V70">
        <v>4.3899999999999997</v>
      </c>
      <c r="W70">
        <v>14.2</v>
      </c>
      <c r="X70">
        <v>0</v>
      </c>
      <c r="Y70">
        <v>89.58</v>
      </c>
      <c r="Z70">
        <v>852.73</v>
      </c>
      <c r="AA70">
        <v>677.79</v>
      </c>
      <c r="AB70">
        <v>127.7</v>
      </c>
      <c r="AC70">
        <v>2119.4499999999998</v>
      </c>
      <c r="AD70">
        <v>12.55</v>
      </c>
    </row>
    <row r="71" spans="1:30" x14ac:dyDescent="0.25">
      <c r="A71">
        <v>63</v>
      </c>
      <c r="B71" t="s">
        <v>218</v>
      </c>
      <c r="C71">
        <v>40</v>
      </c>
      <c r="D71" s="4">
        <f t="shared" si="0"/>
        <v>0.04</v>
      </c>
      <c r="E71" t="s">
        <v>225</v>
      </c>
      <c r="F71" t="s">
        <v>226</v>
      </c>
      <c r="G71" t="s">
        <v>227</v>
      </c>
      <c r="H71">
        <v>309.05</v>
      </c>
      <c r="I71">
        <v>60.89</v>
      </c>
      <c r="J71">
        <v>12.84</v>
      </c>
      <c r="K71">
        <v>12.58</v>
      </c>
      <c r="L71">
        <v>14.98</v>
      </c>
      <c r="M71">
        <v>272.20999999999998</v>
      </c>
      <c r="N71">
        <v>73.489999999999995</v>
      </c>
      <c r="O71">
        <v>20.3</v>
      </c>
      <c r="P71">
        <v>1.25</v>
      </c>
      <c r="Q71">
        <v>15.3</v>
      </c>
      <c r="R71">
        <v>11.63</v>
      </c>
      <c r="S71">
        <v>6.72</v>
      </c>
      <c r="T71">
        <v>1.62</v>
      </c>
      <c r="U71">
        <v>1.7</v>
      </c>
      <c r="V71">
        <v>2.41</v>
      </c>
      <c r="W71">
        <v>33.46</v>
      </c>
      <c r="X71">
        <v>13.92</v>
      </c>
      <c r="Y71">
        <v>219.77</v>
      </c>
      <c r="Z71">
        <v>1427.93</v>
      </c>
      <c r="AA71">
        <v>1615.29</v>
      </c>
      <c r="AB71">
        <v>305.38</v>
      </c>
      <c r="AC71">
        <v>4110.1899999999996</v>
      </c>
      <c r="AD71">
        <v>15.79</v>
      </c>
    </row>
    <row r="72" spans="1:30" x14ac:dyDescent="0.25">
      <c r="A72">
        <v>64</v>
      </c>
      <c r="B72" t="s">
        <v>218</v>
      </c>
      <c r="C72">
        <v>30.1</v>
      </c>
      <c r="D72" s="4">
        <f t="shared" si="0"/>
        <v>3.0100000000000002E-2</v>
      </c>
      <c r="E72" t="s">
        <v>228</v>
      </c>
      <c r="F72" t="s">
        <v>229</v>
      </c>
      <c r="G72" t="s">
        <v>230</v>
      </c>
      <c r="H72">
        <v>135.80000000000001</v>
      </c>
      <c r="I72">
        <v>58.08</v>
      </c>
      <c r="J72">
        <v>0</v>
      </c>
      <c r="K72">
        <v>9.91</v>
      </c>
      <c r="L72">
        <v>23.3</v>
      </c>
      <c r="M72">
        <v>125.87</v>
      </c>
      <c r="N72">
        <v>72.77</v>
      </c>
      <c r="O72">
        <v>13.79</v>
      </c>
      <c r="P72">
        <v>1.82</v>
      </c>
      <c r="Q72">
        <v>10.52</v>
      </c>
      <c r="R72">
        <v>4.41</v>
      </c>
      <c r="S72">
        <v>7.01</v>
      </c>
      <c r="T72">
        <v>1.25</v>
      </c>
      <c r="U72">
        <v>1.7</v>
      </c>
      <c r="V72">
        <v>2</v>
      </c>
      <c r="W72">
        <v>23.72</v>
      </c>
      <c r="X72">
        <v>8.44</v>
      </c>
      <c r="Y72">
        <v>58.43</v>
      </c>
      <c r="Z72">
        <v>1708.01</v>
      </c>
      <c r="AA72">
        <v>2449.89</v>
      </c>
      <c r="AB72">
        <v>584.70000000000005</v>
      </c>
      <c r="AC72">
        <v>1066.0899999999999</v>
      </c>
      <c r="AD72">
        <v>14.17</v>
      </c>
    </row>
    <row r="73" spans="1:30" x14ac:dyDescent="0.25">
      <c r="A73">
        <v>65</v>
      </c>
      <c r="B73" t="s">
        <v>218</v>
      </c>
      <c r="C73">
        <v>32.5</v>
      </c>
      <c r="D73" s="4">
        <f t="shared" si="0"/>
        <v>3.2500000000000001E-2</v>
      </c>
      <c r="E73" t="s">
        <v>231</v>
      </c>
      <c r="F73" t="s">
        <v>232</v>
      </c>
      <c r="G73" t="s">
        <v>233</v>
      </c>
      <c r="H73">
        <v>133.84</v>
      </c>
      <c r="I73">
        <v>1.7</v>
      </c>
      <c r="J73">
        <v>0</v>
      </c>
      <c r="K73">
        <v>5.79</v>
      </c>
      <c r="L73">
        <v>0</v>
      </c>
      <c r="M73">
        <v>48.11</v>
      </c>
      <c r="N73">
        <v>52.39</v>
      </c>
      <c r="O73">
        <v>10.36</v>
      </c>
      <c r="P73">
        <v>1.96</v>
      </c>
      <c r="Q73">
        <v>4.24</v>
      </c>
      <c r="R73">
        <v>1.33</v>
      </c>
      <c r="S73">
        <v>2.12</v>
      </c>
      <c r="T73">
        <v>0.97</v>
      </c>
      <c r="U73">
        <v>0</v>
      </c>
      <c r="V73">
        <v>2</v>
      </c>
      <c r="W73">
        <v>4.78</v>
      </c>
      <c r="X73">
        <v>0</v>
      </c>
      <c r="Y73">
        <v>34.5</v>
      </c>
      <c r="Z73">
        <v>32.979999999999997</v>
      </c>
      <c r="AA73">
        <v>35.090000000000003</v>
      </c>
      <c r="AB73">
        <v>6.04</v>
      </c>
      <c r="AC73">
        <v>365.73</v>
      </c>
      <c r="AD73">
        <v>9.26</v>
      </c>
    </row>
    <row r="74" spans="1:30" x14ac:dyDescent="0.25">
      <c r="A74">
        <v>66</v>
      </c>
      <c r="B74" t="s">
        <v>218</v>
      </c>
      <c r="C74">
        <v>28.9</v>
      </c>
      <c r="D74" s="4">
        <f t="shared" si="0"/>
        <v>2.8899999999999999E-2</v>
      </c>
      <c r="E74" t="s">
        <v>234</v>
      </c>
      <c r="F74" t="s">
        <v>235</v>
      </c>
      <c r="G74" t="s">
        <v>236</v>
      </c>
      <c r="H74">
        <v>404.14</v>
      </c>
      <c r="I74">
        <v>99.68</v>
      </c>
      <c r="J74">
        <v>0</v>
      </c>
      <c r="K74">
        <v>12.58</v>
      </c>
      <c r="L74">
        <v>29.12</v>
      </c>
      <c r="M74">
        <v>903.1</v>
      </c>
      <c r="N74">
        <v>77.11</v>
      </c>
      <c r="O74">
        <v>26.51</v>
      </c>
      <c r="P74">
        <v>1.96</v>
      </c>
      <c r="Q74">
        <v>19.91</v>
      </c>
      <c r="R74">
        <v>11.37</v>
      </c>
      <c r="S74">
        <v>9.3000000000000007</v>
      </c>
      <c r="T74">
        <v>2.08</v>
      </c>
      <c r="U74">
        <v>2.54</v>
      </c>
      <c r="V74">
        <v>12.08</v>
      </c>
      <c r="W74">
        <v>34.090000000000003</v>
      </c>
      <c r="X74">
        <v>15.23</v>
      </c>
      <c r="Y74">
        <v>139.03</v>
      </c>
      <c r="Z74">
        <v>1198.7</v>
      </c>
      <c r="AA74">
        <v>773.45</v>
      </c>
      <c r="AB74">
        <v>153.71</v>
      </c>
      <c r="AC74">
        <v>4876.54</v>
      </c>
      <c r="AD74">
        <v>18.989999999999998</v>
      </c>
    </row>
    <row r="75" spans="1:30" x14ac:dyDescent="0.25">
      <c r="A75">
        <v>67</v>
      </c>
      <c r="B75" t="s">
        <v>218</v>
      </c>
      <c r="C75">
        <v>33.9</v>
      </c>
      <c r="D75" s="4">
        <f t="shared" ref="D75:D88" si="1">C75/1000</f>
        <v>3.39E-2</v>
      </c>
      <c r="E75" t="s">
        <v>237</v>
      </c>
      <c r="F75" t="s">
        <v>238</v>
      </c>
      <c r="G75" t="s">
        <v>239</v>
      </c>
      <c r="H75">
        <v>117.93</v>
      </c>
      <c r="I75">
        <v>1.7</v>
      </c>
      <c r="J75">
        <v>0</v>
      </c>
      <c r="K75">
        <v>5.79</v>
      </c>
      <c r="L75">
        <v>2.5099999999999998</v>
      </c>
      <c r="M75">
        <v>125.51</v>
      </c>
      <c r="N75">
        <v>59.69</v>
      </c>
      <c r="O75">
        <v>13.79</v>
      </c>
      <c r="P75">
        <v>1.72</v>
      </c>
      <c r="Q75">
        <v>1.91</v>
      </c>
      <c r="R75">
        <v>0.74</v>
      </c>
      <c r="S75">
        <v>4.03</v>
      </c>
      <c r="T75">
        <v>0.6</v>
      </c>
      <c r="U75">
        <v>0.59</v>
      </c>
      <c r="V75">
        <v>1.19</v>
      </c>
      <c r="W75">
        <v>9.15</v>
      </c>
      <c r="X75">
        <v>0</v>
      </c>
      <c r="Y75">
        <v>15.73</v>
      </c>
      <c r="Z75">
        <v>87.05</v>
      </c>
      <c r="AA75">
        <v>65.84</v>
      </c>
      <c r="AB75">
        <v>8.74</v>
      </c>
      <c r="AC75">
        <v>579.04</v>
      </c>
      <c r="AD75">
        <v>12.55</v>
      </c>
    </row>
    <row r="76" spans="1:30" x14ac:dyDescent="0.25">
      <c r="A76">
        <v>68</v>
      </c>
      <c r="B76" t="s">
        <v>218</v>
      </c>
      <c r="C76">
        <v>34.200000000000003</v>
      </c>
      <c r="D76" s="4">
        <f t="shared" si="1"/>
        <v>3.4200000000000001E-2</v>
      </c>
      <c r="E76" t="s">
        <v>240</v>
      </c>
      <c r="F76" t="s">
        <v>241</v>
      </c>
      <c r="G76" t="s">
        <v>242</v>
      </c>
      <c r="H76">
        <v>131.66999999999999</v>
      </c>
      <c r="I76">
        <v>1.7</v>
      </c>
      <c r="J76">
        <v>0</v>
      </c>
      <c r="K76">
        <v>6.84</v>
      </c>
      <c r="L76">
        <v>0</v>
      </c>
      <c r="M76">
        <v>103.9</v>
      </c>
      <c r="N76">
        <v>50.93</v>
      </c>
      <c r="O76">
        <v>10.36</v>
      </c>
      <c r="P76">
        <v>0.87</v>
      </c>
      <c r="Q76">
        <v>3.3</v>
      </c>
      <c r="R76">
        <v>1.62</v>
      </c>
      <c r="S76">
        <v>3.41</v>
      </c>
      <c r="T76">
        <v>0.79</v>
      </c>
      <c r="U76">
        <v>0.1</v>
      </c>
      <c r="V76">
        <v>1.6</v>
      </c>
      <c r="W76">
        <v>5.28</v>
      </c>
      <c r="X76">
        <v>0</v>
      </c>
      <c r="Y76">
        <v>25.03</v>
      </c>
      <c r="Z76">
        <v>69.33</v>
      </c>
      <c r="AA76">
        <v>64.33</v>
      </c>
      <c r="AB76">
        <v>8.43</v>
      </c>
      <c r="AC76">
        <v>1202.04</v>
      </c>
      <c r="AD76">
        <v>7.59</v>
      </c>
    </row>
    <row r="77" spans="1:30" x14ac:dyDescent="0.25">
      <c r="A77">
        <v>69</v>
      </c>
      <c r="B77" t="s">
        <v>218</v>
      </c>
      <c r="C77">
        <v>45</v>
      </c>
      <c r="D77" s="4">
        <f t="shared" si="1"/>
        <v>4.4999999999999998E-2</v>
      </c>
      <c r="E77" t="s">
        <v>243</v>
      </c>
      <c r="F77" t="s">
        <v>244</v>
      </c>
      <c r="G77" t="s">
        <v>245</v>
      </c>
      <c r="H77">
        <v>249.18</v>
      </c>
      <c r="I77">
        <v>42</v>
      </c>
      <c r="J77">
        <v>0</v>
      </c>
      <c r="K77">
        <v>6.49</v>
      </c>
      <c r="L77">
        <v>4.03</v>
      </c>
      <c r="M77">
        <v>185.61</v>
      </c>
      <c r="N77">
        <v>51.66</v>
      </c>
      <c r="O77">
        <v>13.79</v>
      </c>
      <c r="P77">
        <v>1.44</v>
      </c>
      <c r="Q77">
        <v>9.11</v>
      </c>
      <c r="R77">
        <v>4.96</v>
      </c>
      <c r="S77">
        <v>2.77</v>
      </c>
      <c r="T77">
        <v>1.1599999999999999</v>
      </c>
      <c r="U77">
        <v>0.82</v>
      </c>
      <c r="V77">
        <v>3.2</v>
      </c>
      <c r="W77">
        <v>19.940000000000001</v>
      </c>
      <c r="X77">
        <v>2.58</v>
      </c>
      <c r="Y77">
        <v>99.9</v>
      </c>
      <c r="Z77">
        <v>555.17999999999995</v>
      </c>
      <c r="AA77">
        <v>374.61</v>
      </c>
      <c r="AB77">
        <v>58.85</v>
      </c>
      <c r="AC77">
        <v>2285.7800000000002</v>
      </c>
      <c r="AD77">
        <v>12.55</v>
      </c>
    </row>
    <row r="78" spans="1:30" x14ac:dyDescent="0.25">
      <c r="A78">
        <v>70</v>
      </c>
      <c r="B78" t="s">
        <v>218</v>
      </c>
      <c r="C78">
        <v>29.6</v>
      </c>
      <c r="D78" s="4">
        <f t="shared" si="1"/>
        <v>2.9600000000000001E-2</v>
      </c>
      <c r="E78" t="s">
        <v>246</v>
      </c>
      <c r="F78" t="s">
        <v>247</v>
      </c>
      <c r="G78" t="s">
        <v>248</v>
      </c>
      <c r="H78">
        <v>221.51</v>
      </c>
      <c r="I78">
        <v>85.69</v>
      </c>
      <c r="J78">
        <v>9.5299999999999994</v>
      </c>
      <c r="K78">
        <v>10.42</v>
      </c>
      <c r="L78">
        <v>13.88</v>
      </c>
      <c r="M78">
        <v>460.99</v>
      </c>
      <c r="N78">
        <v>76.39</v>
      </c>
      <c r="O78">
        <v>20.3</v>
      </c>
      <c r="P78">
        <v>1.58</v>
      </c>
      <c r="Q78">
        <v>10.78</v>
      </c>
      <c r="R78">
        <v>10.050000000000001</v>
      </c>
      <c r="S78">
        <v>5.84</v>
      </c>
      <c r="T78">
        <v>1.71</v>
      </c>
      <c r="U78">
        <v>2.95</v>
      </c>
      <c r="V78">
        <v>4.78</v>
      </c>
      <c r="W78">
        <v>41.4</v>
      </c>
      <c r="X78">
        <v>15.23</v>
      </c>
      <c r="Y78">
        <v>124.96</v>
      </c>
      <c r="Z78">
        <v>858.16</v>
      </c>
      <c r="AA78">
        <v>1377.22</v>
      </c>
      <c r="AB78">
        <v>199.16</v>
      </c>
      <c r="AC78">
        <v>6479.44</v>
      </c>
      <c r="AD78">
        <v>18.190000000000001</v>
      </c>
    </row>
    <row r="79" spans="1:30" x14ac:dyDescent="0.25">
      <c r="A79">
        <v>71</v>
      </c>
      <c r="B79" t="s">
        <v>218</v>
      </c>
      <c r="C79">
        <v>26.9</v>
      </c>
      <c r="D79" s="4">
        <f t="shared" si="1"/>
        <v>2.69E-2</v>
      </c>
      <c r="E79" t="s">
        <v>249</v>
      </c>
      <c r="F79" t="s">
        <v>250</v>
      </c>
      <c r="G79" t="s">
        <v>251</v>
      </c>
      <c r="H79">
        <v>72.260000000000005</v>
      </c>
      <c r="I79">
        <v>0</v>
      </c>
      <c r="J79">
        <v>0</v>
      </c>
      <c r="K79">
        <v>3.81</v>
      </c>
      <c r="L79">
        <v>0</v>
      </c>
      <c r="M79">
        <v>63.19</v>
      </c>
      <c r="N79">
        <v>39.15</v>
      </c>
      <c r="O79">
        <v>13.79</v>
      </c>
      <c r="P79">
        <v>2.1</v>
      </c>
      <c r="Q79">
        <v>3.52</v>
      </c>
      <c r="R79">
        <v>1.33</v>
      </c>
      <c r="S79">
        <v>2.12</v>
      </c>
      <c r="T79">
        <v>0.41</v>
      </c>
      <c r="U79">
        <v>0</v>
      </c>
      <c r="V79">
        <v>1.19</v>
      </c>
      <c r="W79">
        <v>3.45</v>
      </c>
      <c r="X79">
        <v>0</v>
      </c>
      <c r="Y79">
        <v>37.11</v>
      </c>
      <c r="Z79">
        <v>354.81</v>
      </c>
      <c r="AA79">
        <v>104.62</v>
      </c>
      <c r="AB79">
        <v>21.71</v>
      </c>
      <c r="AC79">
        <v>1027.31</v>
      </c>
      <c r="AD79">
        <v>6.75</v>
      </c>
    </row>
    <row r="80" spans="1:30" x14ac:dyDescent="0.25">
      <c r="A80">
        <v>72</v>
      </c>
      <c r="B80" t="s">
        <v>218</v>
      </c>
      <c r="C80">
        <v>30.6</v>
      </c>
      <c r="D80" s="4">
        <f t="shared" si="1"/>
        <v>3.0600000000000002E-2</v>
      </c>
      <c r="E80" t="s">
        <v>252</v>
      </c>
      <c r="F80" t="s">
        <v>253</v>
      </c>
      <c r="G80" t="s">
        <v>254</v>
      </c>
      <c r="H80">
        <v>149.01</v>
      </c>
      <c r="I80">
        <v>4.99</v>
      </c>
      <c r="J80">
        <v>0</v>
      </c>
      <c r="K80">
        <v>4.3600000000000003</v>
      </c>
      <c r="L80">
        <v>0</v>
      </c>
      <c r="M80">
        <v>90.99</v>
      </c>
      <c r="N80">
        <v>48</v>
      </c>
      <c r="O80">
        <v>17.09</v>
      </c>
      <c r="P80">
        <v>1.25</v>
      </c>
      <c r="Q80">
        <v>3.52</v>
      </c>
      <c r="R80">
        <v>1.62</v>
      </c>
      <c r="S80">
        <v>3.41</v>
      </c>
      <c r="T80">
        <v>0.79</v>
      </c>
      <c r="U80">
        <v>0.1</v>
      </c>
      <c r="V80">
        <v>2</v>
      </c>
      <c r="W80">
        <v>4.68</v>
      </c>
      <c r="X80">
        <v>0</v>
      </c>
      <c r="Y80">
        <v>32.21</v>
      </c>
      <c r="Z80">
        <v>129.19999999999999</v>
      </c>
      <c r="AA80">
        <v>65.09</v>
      </c>
      <c r="AB80">
        <v>8.7799999999999994</v>
      </c>
      <c r="AC80">
        <v>678.87</v>
      </c>
      <c r="AD80">
        <v>10.09</v>
      </c>
    </row>
    <row r="81" spans="1:30" x14ac:dyDescent="0.25">
      <c r="A81">
        <v>73</v>
      </c>
      <c r="B81" t="s">
        <v>218</v>
      </c>
      <c r="C81">
        <v>31.8</v>
      </c>
      <c r="D81" s="4">
        <f t="shared" si="1"/>
        <v>3.1800000000000002E-2</v>
      </c>
      <c r="E81" t="s">
        <v>255</v>
      </c>
      <c r="F81" t="s">
        <v>256</v>
      </c>
      <c r="G81" t="s">
        <v>257</v>
      </c>
      <c r="H81">
        <v>179.31</v>
      </c>
      <c r="I81">
        <v>0</v>
      </c>
      <c r="J81">
        <v>0</v>
      </c>
      <c r="K81">
        <v>7.01</v>
      </c>
      <c r="L81">
        <v>0</v>
      </c>
      <c r="M81">
        <v>36.5</v>
      </c>
      <c r="N81">
        <v>42.11</v>
      </c>
      <c r="O81">
        <v>6.76</v>
      </c>
      <c r="P81">
        <v>1.35</v>
      </c>
      <c r="Q81">
        <v>3.88</v>
      </c>
      <c r="R81">
        <v>1.04</v>
      </c>
      <c r="S81">
        <v>1.78</v>
      </c>
      <c r="T81">
        <v>0.41</v>
      </c>
      <c r="U81">
        <v>0.35</v>
      </c>
      <c r="V81">
        <v>0.78</v>
      </c>
      <c r="W81">
        <v>5.47</v>
      </c>
      <c r="X81">
        <v>0</v>
      </c>
      <c r="Y81">
        <v>27.89</v>
      </c>
      <c r="Z81">
        <v>87.05</v>
      </c>
      <c r="AA81">
        <v>24.17</v>
      </c>
      <c r="AB81">
        <v>5.1100000000000003</v>
      </c>
      <c r="AC81">
        <v>398.14</v>
      </c>
      <c r="AD81">
        <v>9.26</v>
      </c>
    </row>
    <row r="82" spans="1:30" x14ac:dyDescent="0.25">
      <c r="A82">
        <v>74</v>
      </c>
      <c r="B82" t="s">
        <v>218</v>
      </c>
      <c r="C82">
        <v>45.8</v>
      </c>
      <c r="D82" s="4">
        <f t="shared" si="1"/>
        <v>4.58E-2</v>
      </c>
      <c r="E82" t="s">
        <v>258</v>
      </c>
      <c r="F82" t="s">
        <v>259</v>
      </c>
      <c r="G82" t="s">
        <v>260</v>
      </c>
      <c r="H82">
        <v>227.77</v>
      </c>
      <c r="I82">
        <v>125.58</v>
      </c>
      <c r="J82">
        <v>17.75</v>
      </c>
      <c r="K82">
        <v>12.42</v>
      </c>
      <c r="L82">
        <v>28.17</v>
      </c>
      <c r="M82">
        <v>828.76</v>
      </c>
      <c r="N82">
        <v>72.77</v>
      </c>
      <c r="O82">
        <v>23.43</v>
      </c>
      <c r="P82">
        <v>1.1599999999999999</v>
      </c>
      <c r="Q82">
        <v>21.8</v>
      </c>
      <c r="R82">
        <v>9.52</v>
      </c>
      <c r="S82">
        <v>10.41</v>
      </c>
      <c r="T82">
        <v>2.44</v>
      </c>
      <c r="U82">
        <v>2.74</v>
      </c>
      <c r="V82">
        <v>7.69</v>
      </c>
      <c r="W82">
        <v>36.590000000000003</v>
      </c>
      <c r="X82">
        <v>16.899999999999999</v>
      </c>
      <c r="Y82">
        <v>186.2</v>
      </c>
      <c r="Z82">
        <v>1916.54</v>
      </c>
      <c r="AA82">
        <v>2249.6999999999998</v>
      </c>
      <c r="AB82">
        <v>385.36</v>
      </c>
      <c r="AC82">
        <v>7414.64</v>
      </c>
      <c r="AD82">
        <v>20.58</v>
      </c>
    </row>
    <row r="83" spans="1:30" x14ac:dyDescent="0.25">
      <c r="A83">
        <v>75</v>
      </c>
      <c r="B83" t="s">
        <v>218</v>
      </c>
      <c r="C83">
        <v>36.6</v>
      </c>
      <c r="D83" s="4">
        <f t="shared" si="1"/>
        <v>3.6600000000000001E-2</v>
      </c>
      <c r="E83" t="s">
        <v>261</v>
      </c>
      <c r="F83" t="s">
        <v>262</v>
      </c>
      <c r="G83" t="s">
        <v>263</v>
      </c>
      <c r="H83">
        <v>124.14</v>
      </c>
      <c r="I83">
        <v>82.97</v>
      </c>
      <c r="J83">
        <v>0</v>
      </c>
      <c r="K83">
        <v>10.92</v>
      </c>
      <c r="L83">
        <v>24.29</v>
      </c>
      <c r="M83">
        <v>1215.6099999999999</v>
      </c>
      <c r="N83">
        <v>71.319999999999993</v>
      </c>
      <c r="O83">
        <v>17.09</v>
      </c>
      <c r="P83">
        <v>1.82</v>
      </c>
      <c r="Q83">
        <v>9.5</v>
      </c>
      <c r="R83">
        <v>10.31</v>
      </c>
      <c r="S83">
        <v>7.01</v>
      </c>
      <c r="T83">
        <v>1.07</v>
      </c>
      <c r="U83">
        <v>1.7</v>
      </c>
      <c r="V83">
        <v>5.75</v>
      </c>
      <c r="W83">
        <v>15.66</v>
      </c>
      <c r="X83">
        <v>2.58</v>
      </c>
      <c r="Y83">
        <v>117.92</v>
      </c>
      <c r="Z83">
        <v>930.58</v>
      </c>
      <c r="AA83">
        <v>1652.75</v>
      </c>
      <c r="AB83">
        <v>154.18</v>
      </c>
      <c r="AC83">
        <v>4169.45</v>
      </c>
      <c r="AD83">
        <v>17.39</v>
      </c>
    </row>
    <row r="84" spans="1:30" ht="17.100000000000001" customHeight="1" x14ac:dyDescent="0.25">
      <c r="A84">
        <v>76</v>
      </c>
      <c r="B84" t="s">
        <v>264</v>
      </c>
      <c r="C84">
        <v>18.7</v>
      </c>
      <c r="D84" s="4">
        <f t="shared" si="1"/>
        <v>1.8699999999999998E-2</v>
      </c>
      <c r="E84" t="s">
        <v>265</v>
      </c>
      <c r="F84" t="s">
        <v>266</v>
      </c>
      <c r="G84" t="s">
        <v>267</v>
      </c>
      <c r="H84">
        <v>77.94</v>
      </c>
      <c r="I84">
        <v>0</v>
      </c>
      <c r="J84">
        <v>0</v>
      </c>
      <c r="K84">
        <v>9.91</v>
      </c>
      <c r="L84">
        <v>0</v>
      </c>
      <c r="M84">
        <v>16.07</v>
      </c>
      <c r="N84">
        <v>46.53</v>
      </c>
      <c r="O84">
        <v>20.3</v>
      </c>
      <c r="P84">
        <v>2.38</v>
      </c>
      <c r="Q84">
        <v>13.41</v>
      </c>
      <c r="R84">
        <v>1.04</v>
      </c>
      <c r="S84">
        <v>29.61</v>
      </c>
      <c r="T84">
        <v>0.79</v>
      </c>
      <c r="U84">
        <v>0</v>
      </c>
      <c r="V84">
        <v>1.8</v>
      </c>
      <c r="W84">
        <v>2.6</v>
      </c>
      <c r="X84">
        <v>22.95</v>
      </c>
      <c r="Y84">
        <v>14.76</v>
      </c>
      <c r="Z84">
        <v>47.39</v>
      </c>
      <c r="AA84">
        <v>17.760000000000002</v>
      </c>
      <c r="AB84">
        <v>3.06</v>
      </c>
      <c r="AC84">
        <v>181.49</v>
      </c>
      <c r="AD84">
        <v>15.79</v>
      </c>
    </row>
    <row r="85" spans="1:30" x14ac:dyDescent="0.25">
      <c r="A85">
        <v>77</v>
      </c>
      <c r="B85" t="s">
        <v>264</v>
      </c>
      <c r="C85">
        <v>45.9</v>
      </c>
      <c r="D85" s="4">
        <f t="shared" si="1"/>
        <v>4.5899999999999996E-2</v>
      </c>
      <c r="E85" t="s">
        <v>268</v>
      </c>
      <c r="F85" t="s">
        <v>269</v>
      </c>
      <c r="G85" t="s">
        <v>270</v>
      </c>
      <c r="H85">
        <v>304.14999999999998</v>
      </c>
      <c r="I85">
        <v>3.4</v>
      </c>
      <c r="J85">
        <v>0</v>
      </c>
      <c r="K85">
        <v>20.7</v>
      </c>
      <c r="L85">
        <v>0</v>
      </c>
      <c r="M85">
        <v>103.19</v>
      </c>
      <c r="N85">
        <v>49.47</v>
      </c>
      <c r="O85">
        <v>23.43</v>
      </c>
      <c r="P85">
        <v>1.44</v>
      </c>
      <c r="Q85">
        <v>11.54</v>
      </c>
      <c r="R85">
        <v>1.9</v>
      </c>
      <c r="S85">
        <v>22.07</v>
      </c>
      <c r="T85">
        <v>0.97</v>
      </c>
      <c r="U85">
        <v>0.71</v>
      </c>
      <c r="V85">
        <v>1.6</v>
      </c>
      <c r="W85">
        <v>3.66</v>
      </c>
      <c r="X85">
        <v>37.31</v>
      </c>
      <c r="Y85">
        <v>32.21</v>
      </c>
      <c r="Z85">
        <v>201.95</v>
      </c>
      <c r="AA85">
        <v>56.5</v>
      </c>
      <c r="AB85">
        <v>6.96</v>
      </c>
      <c r="AC85">
        <v>914.68</v>
      </c>
      <c r="AD85">
        <v>17.39</v>
      </c>
    </row>
    <row r="86" spans="1:30" x14ac:dyDescent="0.25">
      <c r="A86">
        <v>78</v>
      </c>
      <c r="B86" t="s">
        <v>264</v>
      </c>
      <c r="C86">
        <v>28.9</v>
      </c>
      <c r="D86" s="4">
        <f t="shared" si="1"/>
        <v>2.8899999999999999E-2</v>
      </c>
      <c r="E86" t="s">
        <v>271</v>
      </c>
      <c r="F86" t="s">
        <v>272</v>
      </c>
      <c r="G86" t="s">
        <v>273</v>
      </c>
      <c r="H86">
        <v>102.87</v>
      </c>
      <c r="I86">
        <v>1.7</v>
      </c>
      <c r="J86">
        <v>0</v>
      </c>
      <c r="K86">
        <v>8.2200000000000006</v>
      </c>
      <c r="L86">
        <v>0</v>
      </c>
      <c r="M86">
        <v>93.15</v>
      </c>
      <c r="N86">
        <v>39.15</v>
      </c>
      <c r="O86">
        <v>13.79</v>
      </c>
      <c r="P86">
        <v>1.44</v>
      </c>
      <c r="Q86">
        <v>7.54</v>
      </c>
      <c r="R86">
        <v>0.44</v>
      </c>
      <c r="S86">
        <v>8.16</v>
      </c>
      <c r="T86">
        <v>0.69</v>
      </c>
      <c r="U86">
        <v>0.59</v>
      </c>
      <c r="V86">
        <v>1.19</v>
      </c>
      <c r="W86">
        <v>4.88</v>
      </c>
      <c r="X86">
        <v>13.92</v>
      </c>
      <c r="Y86">
        <v>15.73</v>
      </c>
      <c r="Z86">
        <v>0</v>
      </c>
      <c r="AA86">
        <v>53.23</v>
      </c>
      <c r="AB86">
        <v>9.75</v>
      </c>
      <c r="AC86">
        <v>782.93</v>
      </c>
      <c r="AD86">
        <v>10.91</v>
      </c>
    </row>
    <row r="87" spans="1:30" x14ac:dyDescent="0.25">
      <c r="A87">
        <v>79</v>
      </c>
      <c r="B87" t="s">
        <v>264</v>
      </c>
      <c r="C87">
        <v>24.5</v>
      </c>
      <c r="D87" s="4">
        <f t="shared" si="1"/>
        <v>2.4500000000000001E-2</v>
      </c>
      <c r="E87" t="s">
        <v>274</v>
      </c>
      <c r="F87" t="s">
        <v>275</v>
      </c>
      <c r="G87" t="s">
        <v>276</v>
      </c>
      <c r="H87">
        <v>167.5</v>
      </c>
      <c r="I87">
        <v>3.4</v>
      </c>
      <c r="J87">
        <v>0</v>
      </c>
      <c r="K87">
        <v>17.48</v>
      </c>
      <c r="L87">
        <v>0</v>
      </c>
      <c r="M87">
        <v>58.71</v>
      </c>
      <c r="N87">
        <v>43.58</v>
      </c>
      <c r="O87">
        <v>32.520000000000003</v>
      </c>
      <c r="P87">
        <v>2.57</v>
      </c>
      <c r="Q87">
        <v>13.41</v>
      </c>
      <c r="R87">
        <v>1.62</v>
      </c>
      <c r="S87">
        <v>30.1</v>
      </c>
      <c r="T87">
        <v>0.97</v>
      </c>
      <c r="U87">
        <v>0.59</v>
      </c>
      <c r="V87">
        <v>1.6</v>
      </c>
      <c r="W87">
        <v>4.4800000000000004</v>
      </c>
      <c r="X87">
        <v>44.42</v>
      </c>
      <c r="Y87">
        <v>14.27</v>
      </c>
      <c r="Z87">
        <v>69.33</v>
      </c>
      <c r="AA87">
        <v>43.69</v>
      </c>
      <c r="AB87">
        <v>5.39</v>
      </c>
      <c r="AC87">
        <v>560.17999999999995</v>
      </c>
      <c r="AD87">
        <v>22.16</v>
      </c>
    </row>
    <row r="88" spans="1:30" x14ac:dyDescent="0.25">
      <c r="A88">
        <v>80</v>
      </c>
      <c r="B88" t="s">
        <v>264</v>
      </c>
      <c r="C88">
        <v>34.6</v>
      </c>
      <c r="D88" s="4">
        <f t="shared" si="1"/>
        <v>3.4599999999999999E-2</v>
      </c>
      <c r="E88" t="s">
        <v>277</v>
      </c>
      <c r="F88" t="s">
        <v>278</v>
      </c>
      <c r="G88" t="s">
        <v>279</v>
      </c>
      <c r="H88">
        <v>145.34</v>
      </c>
      <c r="I88">
        <v>7.97</v>
      </c>
      <c r="J88">
        <v>0</v>
      </c>
      <c r="K88">
        <v>21.33</v>
      </c>
      <c r="L88">
        <v>11.62</v>
      </c>
      <c r="M88">
        <v>690.62</v>
      </c>
      <c r="N88">
        <v>46.53</v>
      </c>
      <c r="O88">
        <v>32.520000000000003</v>
      </c>
      <c r="P88">
        <v>1.72</v>
      </c>
      <c r="Q88">
        <v>14.76</v>
      </c>
      <c r="R88">
        <v>2.33</v>
      </c>
      <c r="S88">
        <v>21.56</v>
      </c>
      <c r="T88">
        <v>0.6</v>
      </c>
      <c r="U88">
        <v>0.1</v>
      </c>
      <c r="V88">
        <v>1.19</v>
      </c>
      <c r="W88">
        <v>5.77</v>
      </c>
      <c r="X88">
        <v>64.19</v>
      </c>
      <c r="Y88">
        <v>33.36</v>
      </c>
      <c r="Z88">
        <v>197.4</v>
      </c>
      <c r="AA88">
        <v>93.41</v>
      </c>
      <c r="AB88">
        <v>19.64</v>
      </c>
      <c r="AC88">
        <v>631.66</v>
      </c>
      <c r="AD88">
        <v>27.66</v>
      </c>
    </row>
    <row r="89" spans="1:30" x14ac:dyDescent="0.25">
      <c r="A89" t="s">
        <v>280</v>
      </c>
      <c r="E89" t="s">
        <v>281</v>
      </c>
      <c r="F89" t="s">
        <v>282</v>
      </c>
      <c r="G89" t="s">
        <v>283</v>
      </c>
    </row>
    <row r="90" spans="1:30" x14ac:dyDescent="0.25">
      <c r="A90" t="s">
        <v>280</v>
      </c>
      <c r="E90" t="s">
        <v>284</v>
      </c>
      <c r="F90" t="s">
        <v>285</v>
      </c>
      <c r="G90" t="s">
        <v>286</v>
      </c>
      <c r="H90">
        <v>8839.77</v>
      </c>
      <c r="I90">
        <v>18762.25</v>
      </c>
      <c r="J90">
        <v>20960.91</v>
      </c>
      <c r="K90">
        <v>6067.06</v>
      </c>
      <c r="L90">
        <v>18204.66</v>
      </c>
      <c r="M90">
        <v>65672.5</v>
      </c>
      <c r="N90">
        <v>20743.36</v>
      </c>
      <c r="O90">
        <v>51435.54</v>
      </c>
      <c r="P90">
        <v>2407.4</v>
      </c>
      <c r="Q90">
        <v>2459.85</v>
      </c>
      <c r="R90">
        <v>8941.9699999999993</v>
      </c>
      <c r="S90">
        <v>6199.85</v>
      </c>
      <c r="T90">
        <v>2266.7399999999998</v>
      </c>
      <c r="U90">
        <v>2993.32</v>
      </c>
      <c r="V90">
        <v>4232.43</v>
      </c>
      <c r="W90">
        <v>3726.07</v>
      </c>
      <c r="X90">
        <v>11468.02</v>
      </c>
      <c r="Y90">
        <v>8837.4</v>
      </c>
      <c r="Z90">
        <v>71857.72</v>
      </c>
      <c r="AA90">
        <v>12733.22</v>
      </c>
      <c r="AB90">
        <v>1992.22</v>
      </c>
      <c r="AC90">
        <v>14200.46</v>
      </c>
      <c r="AD90">
        <v>15873.78</v>
      </c>
    </row>
    <row r="91" spans="1:30" x14ac:dyDescent="0.25">
      <c r="A91" t="s">
        <v>287</v>
      </c>
      <c r="E91" t="s">
        <v>288</v>
      </c>
      <c r="F91" t="s">
        <v>289</v>
      </c>
      <c r="G91" t="s">
        <v>290</v>
      </c>
      <c r="H91">
        <v>2210.09</v>
      </c>
      <c r="I91">
        <v>4659.45</v>
      </c>
      <c r="J91">
        <v>4943.59</v>
      </c>
      <c r="K91">
        <v>1264.27</v>
      </c>
      <c r="L91">
        <v>4343.26</v>
      </c>
      <c r="M91">
        <v>13638.08</v>
      </c>
      <c r="N91">
        <v>4292.3599999999997</v>
      </c>
      <c r="O91">
        <v>12617.12</v>
      </c>
      <c r="P91">
        <v>571.29999999999995</v>
      </c>
      <c r="Q91">
        <v>595.57000000000005</v>
      </c>
      <c r="R91">
        <v>2180.9699999999998</v>
      </c>
      <c r="S91">
        <v>1529.79</v>
      </c>
      <c r="T91">
        <v>482.82</v>
      </c>
      <c r="U91">
        <v>630.64</v>
      </c>
      <c r="V91">
        <v>989.79</v>
      </c>
      <c r="W91">
        <v>875.31</v>
      </c>
      <c r="X91">
        <v>3065.88</v>
      </c>
      <c r="Y91">
        <v>2131.63</v>
      </c>
      <c r="Z91">
        <v>18752.97</v>
      </c>
      <c r="AA91">
        <v>3175.73</v>
      </c>
      <c r="AB91">
        <v>537.65</v>
      </c>
      <c r="AC91">
        <v>3156.06</v>
      </c>
      <c r="AD91">
        <v>3309.65</v>
      </c>
    </row>
    <row r="92" spans="1:30" x14ac:dyDescent="0.25">
      <c r="A92" t="s">
        <v>287</v>
      </c>
      <c r="E92" t="s">
        <v>291</v>
      </c>
      <c r="F92" t="s">
        <v>292</v>
      </c>
      <c r="G92" t="s">
        <v>293</v>
      </c>
      <c r="H92">
        <v>552.21</v>
      </c>
      <c r="I92">
        <v>1196.17</v>
      </c>
      <c r="J92">
        <v>1392.85</v>
      </c>
      <c r="K92">
        <v>352.44</v>
      </c>
      <c r="L92">
        <v>1116.5999999999999</v>
      </c>
      <c r="M92">
        <v>3934.18</v>
      </c>
      <c r="N92">
        <v>1278.06</v>
      </c>
      <c r="O92">
        <v>3323.88</v>
      </c>
      <c r="P92">
        <v>149.99</v>
      </c>
      <c r="Q92">
        <v>153.61000000000001</v>
      </c>
      <c r="R92">
        <v>570.27</v>
      </c>
      <c r="S92">
        <v>394.94</v>
      </c>
      <c r="T92">
        <v>144.05000000000001</v>
      </c>
      <c r="U92">
        <v>183.82</v>
      </c>
      <c r="V92">
        <v>283.56</v>
      </c>
      <c r="W92">
        <v>229.82</v>
      </c>
      <c r="X92">
        <v>805.52</v>
      </c>
      <c r="Y92">
        <v>546.33000000000004</v>
      </c>
      <c r="Z92">
        <v>4756.05</v>
      </c>
      <c r="AA92">
        <v>796.62</v>
      </c>
      <c r="AB92">
        <v>132.15</v>
      </c>
      <c r="AC92">
        <v>836.13</v>
      </c>
      <c r="AD92">
        <v>982.57</v>
      </c>
    </row>
    <row r="93" spans="1:30" x14ac:dyDescent="0.25">
      <c r="A93" t="s">
        <v>287</v>
      </c>
      <c r="E93" t="s">
        <v>294</v>
      </c>
      <c r="F93" t="s">
        <v>295</v>
      </c>
      <c r="G93" t="s">
        <v>296</v>
      </c>
      <c r="H93">
        <v>138.34</v>
      </c>
      <c r="I93">
        <v>291.92</v>
      </c>
      <c r="J93">
        <v>325.2</v>
      </c>
      <c r="K93">
        <v>86.8</v>
      </c>
      <c r="L93">
        <v>275.88</v>
      </c>
      <c r="M93">
        <v>897.49</v>
      </c>
      <c r="N93">
        <v>300.13</v>
      </c>
      <c r="O93">
        <v>783.38</v>
      </c>
      <c r="P93">
        <v>36.880000000000003</v>
      </c>
      <c r="Q93">
        <v>38.32</v>
      </c>
      <c r="R93">
        <v>138.08000000000001</v>
      </c>
      <c r="S93">
        <v>95.53</v>
      </c>
      <c r="T93">
        <v>33.21</v>
      </c>
      <c r="U93">
        <v>44.44</v>
      </c>
      <c r="V93">
        <v>66.400000000000006</v>
      </c>
      <c r="W93">
        <v>56.82</v>
      </c>
      <c r="X93">
        <v>185.71</v>
      </c>
      <c r="Y93">
        <v>134.16</v>
      </c>
      <c r="Z93">
        <v>1151.05</v>
      </c>
      <c r="AA93">
        <v>197.31</v>
      </c>
      <c r="AB93">
        <v>32.130000000000003</v>
      </c>
      <c r="AC93">
        <v>201.83</v>
      </c>
      <c r="AD93">
        <v>242.43</v>
      </c>
    </row>
    <row r="94" spans="1:30" x14ac:dyDescent="0.25">
      <c r="A94" t="s">
        <v>287</v>
      </c>
      <c r="E94" t="s">
        <v>297</v>
      </c>
      <c r="F94" t="s">
        <v>298</v>
      </c>
      <c r="G94" t="s">
        <v>299</v>
      </c>
      <c r="H94">
        <v>34.450000000000003</v>
      </c>
      <c r="I94">
        <v>70.36</v>
      </c>
      <c r="J94">
        <v>86.09</v>
      </c>
      <c r="K94">
        <v>20.86</v>
      </c>
      <c r="L94">
        <v>68.47</v>
      </c>
      <c r="M94">
        <v>231.11</v>
      </c>
      <c r="N94">
        <v>69.14</v>
      </c>
      <c r="O94">
        <v>194.07</v>
      </c>
      <c r="P94">
        <v>9.19</v>
      </c>
      <c r="Q94">
        <v>8.98</v>
      </c>
      <c r="R94">
        <v>33.1</v>
      </c>
      <c r="S94">
        <v>22.96</v>
      </c>
      <c r="T94">
        <v>7.87</v>
      </c>
      <c r="U94">
        <v>9.93</v>
      </c>
      <c r="V94">
        <v>14.54</v>
      </c>
      <c r="W94">
        <v>13.51</v>
      </c>
      <c r="X94">
        <v>49.84</v>
      </c>
      <c r="Y94">
        <v>33.93</v>
      </c>
      <c r="Z94">
        <v>301.16000000000003</v>
      </c>
      <c r="AA94">
        <v>50.71</v>
      </c>
      <c r="AB94">
        <v>7.96</v>
      </c>
      <c r="AC94">
        <v>51.43</v>
      </c>
      <c r="AD94">
        <v>53.72</v>
      </c>
    </row>
    <row r="95" spans="1:30" x14ac:dyDescent="0.25">
      <c r="A95" t="s">
        <v>287</v>
      </c>
      <c r="E95" t="s">
        <v>300</v>
      </c>
      <c r="F95" t="s">
        <v>301</v>
      </c>
      <c r="G95" t="s">
        <v>302</v>
      </c>
      <c r="H95">
        <v>8.65</v>
      </c>
      <c r="I95">
        <v>21.38</v>
      </c>
      <c r="J95">
        <v>19.78</v>
      </c>
      <c r="K95">
        <v>5.25</v>
      </c>
      <c r="L95">
        <v>17.399999999999999</v>
      </c>
      <c r="M95">
        <v>58.14</v>
      </c>
      <c r="N95">
        <v>20.7</v>
      </c>
      <c r="O95">
        <v>55.28</v>
      </c>
      <c r="P95">
        <v>2.19</v>
      </c>
      <c r="Q95">
        <v>2.77</v>
      </c>
      <c r="R95">
        <v>9.4499999999999993</v>
      </c>
      <c r="S95">
        <v>7.3</v>
      </c>
      <c r="T95">
        <v>2.17</v>
      </c>
      <c r="U95">
        <v>3.05</v>
      </c>
      <c r="V95">
        <v>4.58</v>
      </c>
      <c r="W95">
        <v>3.97</v>
      </c>
      <c r="X95">
        <v>11.59</v>
      </c>
      <c r="Y95">
        <v>8.42</v>
      </c>
      <c r="Z95">
        <v>69.33</v>
      </c>
      <c r="AA95">
        <v>11.71</v>
      </c>
      <c r="AB95">
        <v>2.31</v>
      </c>
      <c r="AC95">
        <v>12.7</v>
      </c>
      <c r="AD95">
        <v>13.77</v>
      </c>
    </row>
    <row r="96" spans="1:30" x14ac:dyDescent="0.25">
      <c r="A96" t="s">
        <v>287</v>
      </c>
      <c r="E96" t="s">
        <v>303</v>
      </c>
      <c r="F96" t="s">
        <v>304</v>
      </c>
      <c r="G96" t="s">
        <v>305</v>
      </c>
      <c r="I96">
        <v>3.4</v>
      </c>
      <c r="K96">
        <v>1.41</v>
      </c>
      <c r="M96">
        <v>14.34</v>
      </c>
      <c r="N96">
        <v>4.43</v>
      </c>
      <c r="O96">
        <v>11.23</v>
      </c>
      <c r="P96">
        <v>0.61</v>
      </c>
      <c r="Q96">
        <v>0.43</v>
      </c>
      <c r="R96">
        <v>2.0499999999999998</v>
      </c>
      <c r="S96">
        <v>1.0900000000000001</v>
      </c>
      <c r="T96">
        <v>0.51</v>
      </c>
      <c r="U96">
        <v>0.59</v>
      </c>
      <c r="V96">
        <v>0.99</v>
      </c>
      <c r="W96">
        <v>0.71</v>
      </c>
      <c r="AB96">
        <v>0.44</v>
      </c>
      <c r="AD96">
        <v>4.17</v>
      </c>
    </row>
    <row r="97" spans="3:30" x14ac:dyDescent="0.25">
      <c r="E97" t="s">
        <v>306</v>
      </c>
      <c r="F97" t="s">
        <v>307</v>
      </c>
      <c r="G97" t="s">
        <v>308</v>
      </c>
      <c r="I97">
        <v>75271.48</v>
      </c>
      <c r="J97" t="s">
        <v>309</v>
      </c>
      <c r="K97">
        <v>20632.919999999998</v>
      </c>
      <c r="L97">
        <v>67622.880000000005</v>
      </c>
      <c r="M97">
        <v>221421.44</v>
      </c>
      <c r="N97">
        <v>74274.070000000007</v>
      </c>
      <c r="O97">
        <v>205544.34</v>
      </c>
      <c r="P97">
        <v>9210.68</v>
      </c>
      <c r="Q97">
        <v>9631.44</v>
      </c>
      <c r="R97">
        <v>35573.81</v>
      </c>
      <c r="S97">
        <v>24681.88</v>
      </c>
      <c r="T97">
        <v>8306.52</v>
      </c>
      <c r="U97">
        <v>10750.31</v>
      </c>
      <c r="V97">
        <v>16550.599999999999</v>
      </c>
      <c r="W97">
        <v>14187.1</v>
      </c>
      <c r="X97">
        <v>54609.99</v>
      </c>
      <c r="Y97">
        <v>33825.72</v>
      </c>
      <c r="Z97">
        <v>334974.42</v>
      </c>
      <c r="AB97">
        <v>8980.11</v>
      </c>
      <c r="AC97">
        <v>47151.040000000001</v>
      </c>
      <c r="AD97">
        <v>57585.58</v>
      </c>
    </row>
    <row r="99" spans="3:30" x14ac:dyDescent="0.25">
      <c r="E99" t="s">
        <v>310</v>
      </c>
    </row>
    <row r="100" spans="3:30" x14ac:dyDescent="0.25">
      <c r="E100" t="s">
        <v>311</v>
      </c>
    </row>
    <row r="101" spans="3:30" x14ac:dyDescent="0.25">
      <c r="E101" t="s">
        <v>312</v>
      </c>
    </row>
    <row r="102" spans="3:30" x14ac:dyDescent="0.25">
      <c r="E102" t="s">
        <v>313</v>
      </c>
    </row>
    <row r="106" spans="3:30" x14ac:dyDescent="0.25">
      <c r="C106" t="s">
        <v>314</v>
      </c>
    </row>
    <row r="108" spans="3:30" x14ac:dyDescent="0.25">
      <c r="E108" s="1"/>
      <c r="F108" s="1"/>
      <c r="G108" s="1"/>
      <c r="H108" s="1" t="s">
        <v>6</v>
      </c>
      <c r="I108" s="1" t="s">
        <v>7</v>
      </c>
      <c r="J108" s="1" t="s">
        <v>8</v>
      </c>
      <c r="K108" s="1" t="s">
        <v>9</v>
      </c>
      <c r="L108" s="1" t="s">
        <v>10</v>
      </c>
      <c r="M108" s="1" t="s">
        <v>11</v>
      </c>
      <c r="N108" s="1" t="s">
        <v>12</v>
      </c>
      <c r="O108" s="1" t="s">
        <v>13</v>
      </c>
      <c r="P108" s="1" t="s">
        <v>14</v>
      </c>
      <c r="Q108" s="1" t="s">
        <v>15</v>
      </c>
      <c r="R108" s="1" t="s">
        <v>16</v>
      </c>
      <c r="S108" s="1" t="s">
        <v>17</v>
      </c>
      <c r="T108" s="1" t="s">
        <v>18</v>
      </c>
      <c r="U108" s="1" t="s">
        <v>19</v>
      </c>
      <c r="V108" s="1" t="s">
        <v>20</v>
      </c>
      <c r="W108" s="1" t="s">
        <v>21</v>
      </c>
      <c r="X108" s="1" t="s">
        <v>22</v>
      </c>
      <c r="Y108" s="1" t="s">
        <v>23</v>
      </c>
      <c r="Z108" s="1" t="s">
        <v>24</v>
      </c>
      <c r="AA108" s="1" t="s">
        <v>25</v>
      </c>
      <c r="AB108" s="1" t="s">
        <v>26</v>
      </c>
      <c r="AC108" s="1" t="s">
        <v>27</v>
      </c>
      <c r="AD108" s="1" t="s">
        <v>28</v>
      </c>
    </row>
    <row r="109" spans="3:30" x14ac:dyDescent="0.25">
      <c r="F109" t="s">
        <v>29</v>
      </c>
      <c r="G109" t="s">
        <v>30</v>
      </c>
      <c r="H109" s="1" t="s">
        <v>36</v>
      </c>
      <c r="I109" s="1" t="s">
        <v>36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  <c r="AA109" s="1" t="s">
        <v>36</v>
      </c>
      <c r="AB109" s="1" t="s">
        <v>36</v>
      </c>
      <c r="AC109" s="1" t="s">
        <v>36</v>
      </c>
      <c r="AD109" s="1" t="s">
        <v>36</v>
      </c>
    </row>
    <row r="110" spans="3:30" s="5" customFormat="1" x14ac:dyDescent="0.25">
      <c r="F110" s="5">
        <v>1</v>
      </c>
      <c r="G110" s="5" t="s">
        <v>37</v>
      </c>
      <c r="H110" s="5">
        <f>H10/$D10</f>
        <v>2897.313432835821</v>
      </c>
      <c r="I110" s="5">
        <f t="shared" ref="I110:AD122" si="2">I10/$D10</f>
        <v>0</v>
      </c>
      <c r="J110" s="5">
        <f t="shared" si="2"/>
        <v>0</v>
      </c>
      <c r="K110" s="5">
        <f t="shared" si="2"/>
        <v>234.92537313432834</v>
      </c>
      <c r="L110" s="5">
        <f t="shared" si="2"/>
        <v>21.791044776119403</v>
      </c>
      <c r="M110" s="5">
        <f t="shared" si="2"/>
        <v>631.64179104477614</v>
      </c>
      <c r="N110" s="5">
        <f t="shared" si="2"/>
        <v>1629.5522388059701</v>
      </c>
      <c r="O110" s="5">
        <f t="shared" si="2"/>
        <v>309.25373134328356</v>
      </c>
      <c r="P110" s="5">
        <f t="shared" si="2"/>
        <v>30.447761194029848</v>
      </c>
      <c r="Q110" s="5">
        <f t="shared" si="2"/>
        <v>279.70149253731341</v>
      </c>
      <c r="R110" s="5">
        <f t="shared" si="2"/>
        <v>13.134328358208954</v>
      </c>
      <c r="S110" s="5">
        <f t="shared" si="2"/>
        <v>310.74626865671638</v>
      </c>
      <c r="T110" s="5">
        <f t="shared" si="2"/>
        <v>23.582089552238806</v>
      </c>
      <c r="U110" s="5">
        <f t="shared" si="2"/>
        <v>17.611940298507459</v>
      </c>
      <c r="V110" s="5">
        <f t="shared" si="2"/>
        <v>59.701492537313428</v>
      </c>
      <c r="W110" s="5">
        <f t="shared" si="2"/>
        <v>361.49253731343282</v>
      </c>
      <c r="X110" s="5">
        <f t="shared" si="2"/>
        <v>216.41791044776119</v>
      </c>
      <c r="Y110" s="5">
        <f t="shared" si="2"/>
        <v>285.37313432835822</v>
      </c>
      <c r="Z110" s="5">
        <f t="shared" si="2"/>
        <v>3271.3432835820895</v>
      </c>
      <c r="AA110" s="5">
        <f t="shared" si="2"/>
        <v>858.80597014925365</v>
      </c>
      <c r="AB110" s="5">
        <f t="shared" si="2"/>
        <v>160.89552238805967</v>
      </c>
      <c r="AC110" s="5">
        <f t="shared" si="2"/>
        <v>2040.5970149253731</v>
      </c>
      <c r="AD110" s="5">
        <f t="shared" si="2"/>
        <v>276.41791044776119</v>
      </c>
    </row>
    <row r="111" spans="3:30" s="5" customFormat="1" x14ac:dyDescent="0.25">
      <c r="F111" s="5">
        <v>2</v>
      </c>
      <c r="G111" s="5" t="s">
        <v>37</v>
      </c>
      <c r="H111" s="5">
        <f t="shared" ref="H111:W154" si="3">H11/$D11</f>
        <v>3728.0839895013119</v>
      </c>
      <c r="I111" s="5">
        <f t="shared" si="3"/>
        <v>44.619422572178472</v>
      </c>
      <c r="J111" s="5">
        <f t="shared" si="3"/>
        <v>0</v>
      </c>
      <c r="K111" s="5">
        <f t="shared" si="3"/>
        <v>215.74803149606299</v>
      </c>
      <c r="L111" s="5">
        <f t="shared" si="3"/>
        <v>65.879265091863502</v>
      </c>
      <c r="M111" s="5">
        <f t="shared" si="3"/>
        <v>927.03412073490813</v>
      </c>
      <c r="N111" s="5">
        <f t="shared" si="3"/>
        <v>1643.0446194225722</v>
      </c>
      <c r="O111" s="5">
        <f t="shared" si="3"/>
        <v>361.94225721784773</v>
      </c>
      <c r="P111" s="5">
        <f t="shared" si="3"/>
        <v>50.131233595800524</v>
      </c>
      <c r="Q111" s="5">
        <f t="shared" si="3"/>
        <v>215.22309711286087</v>
      </c>
      <c r="R111" s="5">
        <f t="shared" si="3"/>
        <v>34.908136482939632</v>
      </c>
      <c r="S111" s="5">
        <f t="shared" si="3"/>
        <v>287.92650918635172</v>
      </c>
      <c r="T111" s="5">
        <f t="shared" si="3"/>
        <v>20.73490813648294</v>
      </c>
      <c r="U111" s="5">
        <f t="shared" si="3"/>
        <v>21.522309711286088</v>
      </c>
      <c r="V111" s="5">
        <f t="shared" si="3"/>
        <v>41.99475065616798</v>
      </c>
      <c r="W111" s="5">
        <f t="shared" si="3"/>
        <v>223.35958005249341</v>
      </c>
      <c r="X111" s="5">
        <f t="shared" si="2"/>
        <v>0</v>
      </c>
      <c r="Y111" s="5">
        <f t="shared" si="2"/>
        <v>486.35170603674544</v>
      </c>
      <c r="Z111" s="5">
        <f t="shared" si="2"/>
        <v>4418.8976377952758</v>
      </c>
      <c r="AA111" s="5">
        <f t="shared" si="2"/>
        <v>973.22834645669286</v>
      </c>
      <c r="AB111" s="5">
        <f t="shared" si="2"/>
        <v>149.08136482939631</v>
      </c>
      <c r="AC111" s="5">
        <f t="shared" si="2"/>
        <v>7883.202099737533</v>
      </c>
      <c r="AD111" s="5">
        <f t="shared" si="2"/>
        <v>329.39632545931761</v>
      </c>
    </row>
    <row r="112" spans="3:30" s="5" customFormat="1" x14ac:dyDescent="0.25">
      <c r="F112" s="5">
        <v>3</v>
      </c>
      <c r="G112" s="5" t="s">
        <v>37</v>
      </c>
      <c r="H112" s="5">
        <f t="shared" si="3"/>
        <v>2432.6984126984125</v>
      </c>
      <c r="I112" s="5">
        <f t="shared" si="2"/>
        <v>53.968253968253968</v>
      </c>
      <c r="J112" s="5">
        <f t="shared" si="2"/>
        <v>0</v>
      </c>
      <c r="K112" s="5">
        <f t="shared" si="2"/>
        <v>282.53968253968253</v>
      </c>
      <c r="L112" s="5">
        <f t="shared" si="2"/>
        <v>150.47619047619048</v>
      </c>
      <c r="M112" s="5">
        <f t="shared" si="2"/>
        <v>1070.7936507936506</v>
      </c>
      <c r="N112" s="5">
        <f t="shared" si="2"/>
        <v>1941.2698412698412</v>
      </c>
      <c r="O112" s="5">
        <f t="shared" si="2"/>
        <v>743.80952380952374</v>
      </c>
      <c r="P112" s="5">
        <f t="shared" si="2"/>
        <v>90.476190476190482</v>
      </c>
      <c r="Q112" s="5">
        <f t="shared" si="2"/>
        <v>289.20634920634916</v>
      </c>
      <c r="R112" s="5">
        <f t="shared" si="2"/>
        <v>13.968253968253968</v>
      </c>
      <c r="S112" s="5">
        <f t="shared" si="2"/>
        <v>365.71428571428572</v>
      </c>
      <c r="T112" s="5">
        <f t="shared" si="2"/>
        <v>25.079365079365079</v>
      </c>
      <c r="U112" s="5">
        <f t="shared" si="2"/>
        <v>40.317460317460316</v>
      </c>
      <c r="V112" s="5">
        <f t="shared" si="2"/>
        <v>50.793650793650798</v>
      </c>
      <c r="W112" s="5">
        <f t="shared" si="2"/>
        <v>364.76190476190476</v>
      </c>
      <c r="X112" s="5">
        <f t="shared" si="2"/>
        <v>0</v>
      </c>
      <c r="Y112" s="5">
        <f t="shared" si="2"/>
        <v>529.52380952380952</v>
      </c>
      <c r="Z112" s="5">
        <f t="shared" si="2"/>
        <v>4101.5873015873012</v>
      </c>
      <c r="AA112" s="5">
        <f t="shared" si="2"/>
        <v>841.90476190476193</v>
      </c>
      <c r="AB112" s="5">
        <f t="shared" si="2"/>
        <v>134.60317460317461</v>
      </c>
      <c r="AC112" s="5">
        <f t="shared" si="2"/>
        <v>4070.1587301587306</v>
      </c>
      <c r="AD112" s="5">
        <f t="shared" si="2"/>
        <v>501.26984126984127</v>
      </c>
    </row>
    <row r="113" spans="6:30" s="5" customFormat="1" x14ac:dyDescent="0.25">
      <c r="F113" s="5">
        <v>4</v>
      </c>
      <c r="G113" s="5" t="s">
        <v>37</v>
      </c>
      <c r="H113" s="5">
        <f t="shared" si="3"/>
        <v>2717.6646706586826</v>
      </c>
      <c r="I113" s="5">
        <f t="shared" si="2"/>
        <v>50.898203592814369</v>
      </c>
      <c r="J113" s="5">
        <f t="shared" si="2"/>
        <v>0</v>
      </c>
      <c r="K113" s="5">
        <f t="shared" si="2"/>
        <v>194.31137724550899</v>
      </c>
      <c r="L113" s="5">
        <f t="shared" si="2"/>
        <v>120.65868263473055</v>
      </c>
      <c r="M113" s="5">
        <f t="shared" si="2"/>
        <v>1757.7844311377246</v>
      </c>
      <c r="N113" s="5">
        <f t="shared" si="2"/>
        <v>1917.9640718562875</v>
      </c>
      <c r="O113" s="5">
        <f t="shared" si="2"/>
        <v>412.87425149700596</v>
      </c>
      <c r="P113" s="5">
        <f t="shared" si="2"/>
        <v>68.562874251497007</v>
      </c>
      <c r="Q113" s="5">
        <f t="shared" si="2"/>
        <v>116.16766467065868</v>
      </c>
      <c r="R113" s="5">
        <f t="shared" si="2"/>
        <v>22.155688622754493</v>
      </c>
      <c r="S113" s="5">
        <f t="shared" si="2"/>
        <v>157.18562874251498</v>
      </c>
      <c r="T113" s="5">
        <f t="shared" si="2"/>
        <v>17.964071856287426</v>
      </c>
      <c r="U113" s="5">
        <f t="shared" si="2"/>
        <v>44.610778443113773</v>
      </c>
      <c r="V113" s="5">
        <f t="shared" si="2"/>
        <v>35.628742514970057</v>
      </c>
      <c r="W113" s="5">
        <f t="shared" si="2"/>
        <v>330.53892215568862</v>
      </c>
      <c r="X113" s="5">
        <f t="shared" si="2"/>
        <v>0</v>
      </c>
      <c r="Y113" s="5">
        <f t="shared" si="2"/>
        <v>382.33532934131739</v>
      </c>
      <c r="Z113" s="5">
        <f t="shared" si="2"/>
        <v>3868.2634730538921</v>
      </c>
      <c r="AA113" s="5">
        <f t="shared" si="2"/>
        <v>1335.0299401197606</v>
      </c>
      <c r="AB113" s="5">
        <f t="shared" si="2"/>
        <v>218.86227544910179</v>
      </c>
      <c r="AC113" s="5">
        <f t="shared" si="2"/>
        <v>6751.19760479042</v>
      </c>
      <c r="AD113" s="5">
        <f t="shared" si="2"/>
        <v>277.24550898203591</v>
      </c>
    </row>
    <row r="114" spans="6:30" s="5" customFormat="1" x14ac:dyDescent="0.25">
      <c r="F114" s="5">
        <v>6</v>
      </c>
      <c r="G114" s="5" t="s">
        <v>37</v>
      </c>
      <c r="H114" s="5">
        <f t="shared" si="3"/>
        <v>2690.9626719056973</v>
      </c>
      <c r="I114" s="5">
        <f t="shared" si="2"/>
        <v>33.398821218074652</v>
      </c>
      <c r="J114" s="5">
        <f t="shared" si="2"/>
        <v>0</v>
      </c>
      <c r="K114" s="5">
        <f t="shared" si="2"/>
        <v>273.08447937131632</v>
      </c>
      <c r="L114" s="5">
        <f t="shared" si="2"/>
        <v>0</v>
      </c>
      <c r="M114" s="5">
        <f t="shared" si="2"/>
        <v>1241.4538310412572</v>
      </c>
      <c r="N114" s="5">
        <f t="shared" si="2"/>
        <v>1115.5206286836935</v>
      </c>
      <c r="O114" s="5">
        <f t="shared" si="2"/>
        <v>580.35363457760309</v>
      </c>
      <c r="P114" s="5">
        <f t="shared" si="2"/>
        <v>26.522593320235757</v>
      </c>
      <c r="Q114" s="5">
        <f t="shared" si="2"/>
        <v>248.72298624754421</v>
      </c>
      <c r="R114" s="5">
        <f t="shared" si="2"/>
        <v>43.025540275049117</v>
      </c>
      <c r="S114" s="5">
        <f t="shared" si="2"/>
        <v>372.88801571709234</v>
      </c>
      <c r="T114" s="5">
        <f t="shared" si="2"/>
        <v>11.787819253438114</v>
      </c>
      <c r="U114" s="5">
        <f t="shared" si="2"/>
        <v>20.628683693516699</v>
      </c>
      <c r="V114" s="5">
        <f t="shared" si="2"/>
        <v>23.379174852652259</v>
      </c>
      <c r="W114" s="5">
        <f t="shared" si="2"/>
        <v>126.52259332023576</v>
      </c>
      <c r="X114" s="5">
        <f t="shared" si="2"/>
        <v>408.05500982318267</v>
      </c>
      <c r="Y114" s="5">
        <f t="shared" si="2"/>
        <v>450.49115913555988</v>
      </c>
      <c r="Z114" s="5">
        <f t="shared" si="2"/>
        <v>3600.7858546168959</v>
      </c>
      <c r="AA114" s="5">
        <f t="shared" si="2"/>
        <v>649.11591355599217</v>
      </c>
      <c r="AB114" s="5">
        <f t="shared" si="2"/>
        <v>90.373280943025534</v>
      </c>
      <c r="AC114" s="5">
        <f t="shared" si="2"/>
        <v>4265.6188605108055</v>
      </c>
      <c r="AD114" s="5">
        <f t="shared" si="2"/>
        <v>404.32220039292724</v>
      </c>
    </row>
    <row r="115" spans="6:30" s="5" customFormat="1" x14ac:dyDescent="0.25">
      <c r="F115" s="5">
        <v>7</v>
      </c>
      <c r="G115" s="5" t="s">
        <v>37</v>
      </c>
      <c r="H115" s="5">
        <f t="shared" si="3"/>
        <v>3147.3118279569894</v>
      </c>
      <c r="I115" s="5">
        <f t="shared" si="2"/>
        <v>285.66308243727599</v>
      </c>
      <c r="J115" s="5">
        <f t="shared" si="2"/>
        <v>0</v>
      </c>
      <c r="K115" s="5">
        <f t="shared" si="2"/>
        <v>367.3835125448029</v>
      </c>
      <c r="L115" s="5">
        <f t="shared" si="2"/>
        <v>287.81362007168457</v>
      </c>
      <c r="M115" s="5">
        <f t="shared" si="2"/>
        <v>1308.2437275985665</v>
      </c>
      <c r="N115" s="5">
        <f t="shared" si="2"/>
        <v>2400.3584229390681</v>
      </c>
      <c r="O115" s="5">
        <f t="shared" si="2"/>
        <v>839.78494623655922</v>
      </c>
      <c r="P115" s="5">
        <f t="shared" si="2"/>
        <v>88.530465949820808</v>
      </c>
      <c r="Q115" s="5">
        <f t="shared" si="2"/>
        <v>349.82078853046596</v>
      </c>
      <c r="R115" s="5">
        <f t="shared" si="2"/>
        <v>37.275985663082444</v>
      </c>
      <c r="S115" s="5">
        <f t="shared" si="2"/>
        <v>412.90322580645164</v>
      </c>
      <c r="T115" s="5">
        <f t="shared" si="2"/>
        <v>34.767025089605738</v>
      </c>
      <c r="U115" s="5">
        <f t="shared" si="2"/>
        <v>45.519713261648747</v>
      </c>
      <c r="V115" s="5">
        <f t="shared" si="2"/>
        <v>57.347670250896066</v>
      </c>
      <c r="W115" s="5">
        <f t="shared" si="2"/>
        <v>462.36559139784953</v>
      </c>
      <c r="X115" s="5">
        <f t="shared" si="2"/>
        <v>0</v>
      </c>
      <c r="Y115" s="5">
        <f t="shared" si="2"/>
        <v>970.60931899641582</v>
      </c>
      <c r="Z115" s="5">
        <f t="shared" si="2"/>
        <v>5059.8566308243726</v>
      </c>
      <c r="AA115" s="5">
        <f t="shared" si="2"/>
        <v>2111.1111111111113</v>
      </c>
      <c r="AB115" s="5">
        <f t="shared" si="2"/>
        <v>262.00716845878139</v>
      </c>
      <c r="AC115" s="5">
        <f t="shared" si="2"/>
        <v>29765.591397849465</v>
      </c>
      <c r="AD115" s="5">
        <f t="shared" si="2"/>
        <v>507.88530465949827</v>
      </c>
    </row>
    <row r="116" spans="6:30" s="5" customFormat="1" x14ac:dyDescent="0.25">
      <c r="F116" s="5">
        <v>8</v>
      </c>
      <c r="G116" s="5" t="s">
        <v>37</v>
      </c>
      <c r="H116" s="5">
        <f t="shared" si="3"/>
        <v>2792.7461139896373</v>
      </c>
      <c r="I116" s="5">
        <f t="shared" si="2"/>
        <v>129.27461139896374</v>
      </c>
      <c r="J116" s="5">
        <f t="shared" si="2"/>
        <v>0</v>
      </c>
      <c r="K116" s="5">
        <f t="shared" si="2"/>
        <v>186.01036269430051</v>
      </c>
      <c r="L116" s="5">
        <f t="shared" si="2"/>
        <v>0</v>
      </c>
      <c r="M116" s="5">
        <f t="shared" si="2"/>
        <v>1423.5751295336788</v>
      </c>
      <c r="N116" s="5">
        <f t="shared" si="2"/>
        <v>1205.4404145077719</v>
      </c>
      <c r="O116" s="5">
        <f t="shared" si="2"/>
        <v>357.25388601036263</v>
      </c>
      <c r="P116" s="5">
        <f t="shared" si="2"/>
        <v>38.601036269430047</v>
      </c>
      <c r="Q116" s="5">
        <f t="shared" si="2"/>
        <v>289.11917098445593</v>
      </c>
      <c r="R116" s="5">
        <f t="shared" si="2"/>
        <v>34.4559585492228</v>
      </c>
      <c r="S116" s="5">
        <f t="shared" si="2"/>
        <v>226.16580310880829</v>
      </c>
      <c r="T116" s="5">
        <f t="shared" si="2"/>
        <v>13.212435233160621</v>
      </c>
      <c r="U116" s="5">
        <f t="shared" si="2"/>
        <v>21.243523316062173</v>
      </c>
      <c r="V116" s="5">
        <f t="shared" si="2"/>
        <v>20.207253886010363</v>
      </c>
      <c r="W116" s="5">
        <f t="shared" si="2"/>
        <v>171.76165803108807</v>
      </c>
      <c r="X116" s="5">
        <f t="shared" si="2"/>
        <v>0</v>
      </c>
      <c r="Y116" s="5">
        <f t="shared" si="2"/>
        <v>701.55440414507768</v>
      </c>
      <c r="Z116" s="5">
        <f t="shared" si="2"/>
        <v>4227.4611398963734</v>
      </c>
      <c r="AA116" s="5">
        <f t="shared" si="2"/>
        <v>801.55440414507768</v>
      </c>
      <c r="AB116" s="5">
        <f t="shared" si="2"/>
        <v>162.95336787564767</v>
      </c>
      <c r="AC116" s="5">
        <f t="shared" si="2"/>
        <v>7555.6994818652838</v>
      </c>
      <c r="AD116" s="5">
        <f t="shared" si="2"/>
        <v>282.64248704663208</v>
      </c>
    </row>
    <row r="117" spans="6:30" s="5" customFormat="1" x14ac:dyDescent="0.25">
      <c r="F117" s="5">
        <v>9</v>
      </c>
      <c r="G117" s="5" t="s">
        <v>37</v>
      </c>
      <c r="H117" s="5">
        <f t="shared" si="3"/>
        <v>2123.9520958083831</v>
      </c>
      <c r="I117" s="5">
        <f t="shared" si="2"/>
        <v>50.898203592814369</v>
      </c>
      <c r="J117" s="5">
        <f t="shared" si="2"/>
        <v>0</v>
      </c>
      <c r="K117" s="5">
        <f t="shared" si="2"/>
        <v>173.35329341317365</v>
      </c>
      <c r="L117" s="5">
        <f t="shared" si="2"/>
        <v>0</v>
      </c>
      <c r="M117" s="5">
        <f t="shared" si="2"/>
        <v>1045.5089820359283</v>
      </c>
      <c r="N117" s="5">
        <f t="shared" si="2"/>
        <v>1304.7904191616767</v>
      </c>
      <c r="O117" s="5">
        <f t="shared" si="2"/>
        <v>793.71257485029946</v>
      </c>
      <c r="P117" s="5">
        <f t="shared" si="2"/>
        <v>93.712574850299404</v>
      </c>
      <c r="Q117" s="5">
        <f t="shared" si="2"/>
        <v>233.8323353293413</v>
      </c>
      <c r="R117" s="5">
        <f t="shared" si="2"/>
        <v>35.32934131736527</v>
      </c>
      <c r="S117" s="5">
        <f t="shared" si="2"/>
        <v>286.82634730538922</v>
      </c>
      <c r="T117" s="5">
        <f t="shared" si="2"/>
        <v>26.347305389221557</v>
      </c>
      <c r="U117" s="5">
        <f t="shared" si="2"/>
        <v>31.437125748502996</v>
      </c>
      <c r="V117" s="5">
        <f t="shared" si="2"/>
        <v>59.880239520958085</v>
      </c>
      <c r="W117" s="5">
        <f t="shared" si="2"/>
        <v>152.09580838323353</v>
      </c>
      <c r="X117" s="5">
        <f t="shared" si="2"/>
        <v>0</v>
      </c>
      <c r="Y117" s="5">
        <f t="shared" si="2"/>
        <v>351.19760479041918</v>
      </c>
      <c r="Z117" s="5">
        <f t="shared" si="2"/>
        <v>1418.8622754491018</v>
      </c>
      <c r="AA117" s="5">
        <f t="shared" si="2"/>
        <v>861.37724550898201</v>
      </c>
      <c r="AB117" s="5">
        <f t="shared" si="2"/>
        <v>137.72455089820357</v>
      </c>
      <c r="AC117" s="5">
        <f t="shared" si="2"/>
        <v>12486.82634730539</v>
      </c>
      <c r="AD117" s="5">
        <f t="shared" si="2"/>
        <v>448.50299401197606</v>
      </c>
    </row>
    <row r="118" spans="6:30" s="5" customFormat="1" x14ac:dyDescent="0.25">
      <c r="F118" s="5">
        <v>10</v>
      </c>
      <c r="G118" s="5" t="s">
        <v>37</v>
      </c>
      <c r="H118" s="5">
        <f t="shared" si="3"/>
        <v>3499.5024875621893</v>
      </c>
      <c r="I118" s="5">
        <f t="shared" si="2"/>
        <v>42.288557213930346</v>
      </c>
      <c r="J118" s="5">
        <f t="shared" si="2"/>
        <v>0</v>
      </c>
      <c r="K118" s="5">
        <f t="shared" si="2"/>
        <v>135.07462686567163</v>
      </c>
      <c r="L118" s="5">
        <f t="shared" si="2"/>
        <v>0</v>
      </c>
      <c r="M118" s="5">
        <f t="shared" si="2"/>
        <v>442.2885572139304</v>
      </c>
      <c r="N118" s="5">
        <f t="shared" si="2"/>
        <v>1029.1044776119402</v>
      </c>
      <c r="O118" s="5">
        <f t="shared" si="2"/>
        <v>425.12437810945272</v>
      </c>
      <c r="P118" s="5">
        <f t="shared" si="2"/>
        <v>63.930348258706466</v>
      </c>
      <c r="Q118" s="5">
        <f t="shared" si="2"/>
        <v>154.22885572139305</v>
      </c>
      <c r="R118" s="5">
        <f t="shared" si="2"/>
        <v>18.407960199004975</v>
      </c>
      <c r="S118" s="5">
        <f t="shared" si="2"/>
        <v>100.24875621890548</v>
      </c>
      <c r="T118" s="5">
        <f t="shared" si="2"/>
        <v>14.925373134328359</v>
      </c>
      <c r="U118" s="5">
        <f t="shared" si="2"/>
        <v>14.676616915422885</v>
      </c>
      <c r="V118" s="5">
        <f t="shared" si="2"/>
        <v>39.800995024875625</v>
      </c>
      <c r="W118" s="5">
        <f t="shared" si="2"/>
        <v>160.19900497512438</v>
      </c>
      <c r="X118" s="5">
        <f t="shared" si="2"/>
        <v>0</v>
      </c>
      <c r="Y118" s="5">
        <f t="shared" si="2"/>
        <v>317.66169154228857</v>
      </c>
      <c r="Z118" s="5">
        <f t="shared" si="2"/>
        <v>3792.5373134328361</v>
      </c>
      <c r="AA118" s="5">
        <f t="shared" si="2"/>
        <v>540.04975124378109</v>
      </c>
      <c r="AB118" s="5">
        <f t="shared" si="2"/>
        <v>63.184079601990049</v>
      </c>
      <c r="AC118" s="5">
        <f t="shared" si="2"/>
        <v>4569.9004975124381</v>
      </c>
      <c r="AD118" s="5">
        <f t="shared" si="2"/>
        <v>188.80597014925374</v>
      </c>
    </row>
    <row r="119" spans="6:30" s="5" customFormat="1" x14ac:dyDescent="0.25">
      <c r="F119" s="5">
        <v>11</v>
      </c>
      <c r="G119" s="5" t="s">
        <v>37</v>
      </c>
      <c r="H119" s="5">
        <f t="shared" si="3"/>
        <v>3596.7123287671234</v>
      </c>
      <c r="I119" s="5">
        <f t="shared" si="2"/>
        <v>0</v>
      </c>
      <c r="J119" s="5">
        <f t="shared" si="2"/>
        <v>0</v>
      </c>
      <c r="K119" s="5">
        <f t="shared" si="2"/>
        <v>139.17808219178085</v>
      </c>
      <c r="L119" s="5">
        <f t="shared" si="2"/>
        <v>0</v>
      </c>
      <c r="M119" s="5">
        <f t="shared" si="2"/>
        <v>1339.178082191781</v>
      </c>
      <c r="N119" s="5">
        <f t="shared" si="2"/>
        <v>1475.6164383561645</v>
      </c>
      <c r="O119" s="5">
        <f t="shared" si="2"/>
        <v>283.83561643835617</v>
      </c>
      <c r="P119" s="5">
        <f t="shared" si="2"/>
        <v>30.410958904109595</v>
      </c>
      <c r="Q119" s="5">
        <f t="shared" si="2"/>
        <v>158.63013698630138</v>
      </c>
      <c r="R119" s="5">
        <f t="shared" si="2"/>
        <v>12.054794520547945</v>
      </c>
      <c r="S119" s="5">
        <f t="shared" si="2"/>
        <v>93.424657534246592</v>
      </c>
      <c r="T119" s="5">
        <f t="shared" si="2"/>
        <v>8.7671232876712342</v>
      </c>
      <c r="U119" s="5">
        <f t="shared" si="2"/>
        <v>22.465753424657535</v>
      </c>
      <c r="V119" s="5">
        <f t="shared" si="2"/>
        <v>54.794520547945211</v>
      </c>
      <c r="W119" s="5">
        <f t="shared" si="2"/>
        <v>192.05479452054794</v>
      </c>
      <c r="X119" s="5">
        <f t="shared" si="2"/>
        <v>0</v>
      </c>
      <c r="Y119" s="5">
        <f t="shared" si="2"/>
        <v>456.98630136986304</v>
      </c>
      <c r="Z119" s="5">
        <f t="shared" si="2"/>
        <v>3188.7671232876714</v>
      </c>
      <c r="AA119" s="5">
        <f t="shared" si="2"/>
        <v>1120.821917808219</v>
      </c>
      <c r="AB119" s="5">
        <f t="shared" si="2"/>
        <v>141.91780821917808</v>
      </c>
      <c r="AC119" s="5">
        <f t="shared" si="2"/>
        <v>5745.7534246575342</v>
      </c>
      <c r="AD119" s="5">
        <f t="shared" si="2"/>
        <v>253.69863013698631</v>
      </c>
    </row>
    <row r="120" spans="6:30" s="5" customFormat="1" x14ac:dyDescent="0.25">
      <c r="F120" s="5">
        <v>12</v>
      </c>
      <c r="G120" s="5" t="s">
        <v>37</v>
      </c>
      <c r="H120" s="5">
        <f t="shared" si="3"/>
        <v>3891.6967509025271</v>
      </c>
      <c r="I120" s="5">
        <f t="shared" si="2"/>
        <v>0</v>
      </c>
      <c r="J120" s="5">
        <f t="shared" si="2"/>
        <v>0</v>
      </c>
      <c r="K120" s="5">
        <f t="shared" si="2"/>
        <v>170.39711191335741</v>
      </c>
      <c r="L120" s="5">
        <f t="shared" si="2"/>
        <v>0</v>
      </c>
      <c r="M120" s="5">
        <f t="shared" si="2"/>
        <v>1458.8447653429603</v>
      </c>
      <c r="N120" s="5">
        <f t="shared" si="2"/>
        <v>1144.4043321299639</v>
      </c>
      <c r="O120" s="5">
        <f t="shared" si="2"/>
        <v>374.00722021660647</v>
      </c>
      <c r="P120" s="5">
        <f t="shared" si="2"/>
        <v>62.093862815884478</v>
      </c>
      <c r="Q120" s="5">
        <f t="shared" si="2"/>
        <v>163.53790613718414</v>
      </c>
      <c r="R120" s="5">
        <f t="shared" si="2"/>
        <v>15.884476534296029</v>
      </c>
      <c r="S120" s="5">
        <f t="shared" si="2"/>
        <v>145.48736462093865</v>
      </c>
      <c r="T120" s="5">
        <f t="shared" si="2"/>
        <v>14.801444043321299</v>
      </c>
      <c r="U120" s="5">
        <f t="shared" si="2"/>
        <v>12.635379061371841</v>
      </c>
      <c r="V120" s="5">
        <f t="shared" si="2"/>
        <v>42.960288808664259</v>
      </c>
      <c r="W120" s="5">
        <f t="shared" si="2"/>
        <v>154.51263537906138</v>
      </c>
      <c r="X120" s="5">
        <f t="shared" si="2"/>
        <v>0</v>
      </c>
      <c r="Y120" s="5">
        <f t="shared" si="2"/>
        <v>345.12635379061373</v>
      </c>
      <c r="Z120" s="5">
        <f t="shared" si="2"/>
        <v>3142.5992779783392</v>
      </c>
      <c r="AA120" s="5">
        <f t="shared" si="2"/>
        <v>690.25270758122747</v>
      </c>
      <c r="AB120" s="5">
        <f t="shared" si="2"/>
        <v>110.46931407942239</v>
      </c>
      <c r="AC120" s="5">
        <f t="shared" si="2"/>
        <v>5879.0613718411551</v>
      </c>
      <c r="AD120" s="5">
        <f t="shared" si="2"/>
        <v>393.86281588447656</v>
      </c>
    </row>
    <row r="121" spans="6:30" s="5" customFormat="1" x14ac:dyDescent="0.25">
      <c r="F121" s="5">
        <v>13</v>
      </c>
      <c r="G121" s="5" t="s">
        <v>37</v>
      </c>
      <c r="H121" s="5">
        <f t="shared" si="3"/>
        <v>1393.483709273183</v>
      </c>
      <c r="I121" s="5">
        <f t="shared" si="2"/>
        <v>0</v>
      </c>
      <c r="J121" s="5">
        <f t="shared" si="2"/>
        <v>0</v>
      </c>
      <c r="K121" s="5">
        <f t="shared" si="2"/>
        <v>0</v>
      </c>
      <c r="L121" s="5">
        <f t="shared" si="2"/>
        <v>0</v>
      </c>
      <c r="M121" s="5">
        <f t="shared" si="2"/>
        <v>165.66416040100253</v>
      </c>
      <c r="N121" s="5">
        <f t="shared" si="2"/>
        <v>547.61904761904771</v>
      </c>
      <c r="O121" s="5">
        <f t="shared" si="2"/>
        <v>0</v>
      </c>
      <c r="P121" s="5">
        <f t="shared" si="2"/>
        <v>0</v>
      </c>
      <c r="Q121" s="5">
        <f t="shared" si="2"/>
        <v>69.423558897243112</v>
      </c>
      <c r="R121" s="5">
        <f t="shared" si="2"/>
        <v>0</v>
      </c>
      <c r="S121" s="5">
        <f t="shared" si="2"/>
        <v>53.132832080200508</v>
      </c>
      <c r="T121" s="5">
        <f t="shared" si="2"/>
        <v>0</v>
      </c>
      <c r="U121" s="5">
        <f t="shared" si="2"/>
        <v>0</v>
      </c>
      <c r="V121" s="5">
        <f t="shared" si="2"/>
        <v>0</v>
      </c>
      <c r="W121" s="5">
        <f t="shared" si="2"/>
        <v>96.992481203007529</v>
      </c>
      <c r="X121" s="5">
        <f t="shared" si="2"/>
        <v>0</v>
      </c>
      <c r="Y121" s="5">
        <f t="shared" si="2"/>
        <v>196.24060150375942</v>
      </c>
      <c r="Z121" s="5">
        <f t="shared" si="2"/>
        <v>0</v>
      </c>
      <c r="AA121" s="5">
        <f t="shared" si="2"/>
        <v>575.43859649122817</v>
      </c>
      <c r="AB121" s="5">
        <f t="shared" si="2"/>
        <v>119.79949874686719</v>
      </c>
      <c r="AC121" s="5">
        <f t="shared" si="2"/>
        <v>5987.4686716791985</v>
      </c>
      <c r="AD121" s="5">
        <f t="shared" si="2"/>
        <v>13.283208020050127</v>
      </c>
    </row>
    <row r="122" spans="6:30" s="5" customFormat="1" x14ac:dyDescent="0.25">
      <c r="F122" s="5">
        <v>14</v>
      </c>
      <c r="G122" s="5" t="s">
        <v>37</v>
      </c>
      <c r="H122" s="5">
        <f t="shared" si="3"/>
        <v>3618.6119873817033</v>
      </c>
      <c r="I122" s="5">
        <f t="shared" si="2"/>
        <v>0</v>
      </c>
      <c r="J122" s="5">
        <f t="shared" si="2"/>
        <v>0</v>
      </c>
      <c r="K122" s="5">
        <f t="shared" si="2"/>
        <v>137.53943217665616</v>
      </c>
      <c r="L122" s="5">
        <f t="shared" si="2"/>
        <v>0</v>
      </c>
      <c r="M122" s="5">
        <f t="shared" si="2"/>
        <v>1200.9463722397477</v>
      </c>
      <c r="N122" s="5">
        <f t="shared" si="2"/>
        <v>1188.3280757097793</v>
      </c>
      <c r="O122" s="5">
        <f t="shared" ref="I122:AD133" si="4">O22/$D22</f>
        <v>435.01577287066243</v>
      </c>
      <c r="P122" s="5">
        <f t="shared" si="4"/>
        <v>63.09148264984227</v>
      </c>
      <c r="Q122" s="5">
        <f t="shared" si="4"/>
        <v>171.60883280757099</v>
      </c>
      <c r="R122" s="5">
        <f t="shared" si="4"/>
        <v>32.807570977917983</v>
      </c>
      <c r="S122" s="5">
        <f t="shared" si="4"/>
        <v>146.37223974763407</v>
      </c>
      <c r="T122" s="5">
        <f t="shared" si="4"/>
        <v>18.927444794952681</v>
      </c>
      <c r="U122" s="5">
        <f t="shared" si="4"/>
        <v>18.611987381703468</v>
      </c>
      <c r="V122" s="5">
        <f t="shared" si="4"/>
        <v>50.473186119873823</v>
      </c>
      <c r="W122" s="5">
        <f t="shared" si="4"/>
        <v>160.25236593059938</v>
      </c>
      <c r="X122" s="5">
        <f t="shared" si="4"/>
        <v>0</v>
      </c>
      <c r="Y122" s="5">
        <f t="shared" si="4"/>
        <v>584.5425867507887</v>
      </c>
      <c r="Z122" s="5">
        <f t="shared" si="4"/>
        <v>4075.7097791798105</v>
      </c>
      <c r="AA122" s="5">
        <f t="shared" si="4"/>
        <v>799.68454258675081</v>
      </c>
      <c r="AB122" s="5">
        <f t="shared" si="4"/>
        <v>129.02208201892745</v>
      </c>
      <c r="AC122" s="5">
        <f t="shared" si="4"/>
        <v>7504.1009463722403</v>
      </c>
      <c r="AD122" s="5">
        <f t="shared" si="4"/>
        <v>344.16403785488961</v>
      </c>
    </row>
    <row r="123" spans="6:30" s="5" customFormat="1" x14ac:dyDescent="0.25">
      <c r="F123" s="5">
        <v>15</v>
      </c>
      <c r="G123" s="5" t="s">
        <v>37</v>
      </c>
      <c r="H123" s="5">
        <f t="shared" si="3"/>
        <v>1770.6214689265537</v>
      </c>
      <c r="I123" s="5">
        <f t="shared" si="4"/>
        <v>0</v>
      </c>
      <c r="J123" s="5">
        <f t="shared" si="4"/>
        <v>0</v>
      </c>
      <c r="K123" s="5">
        <f t="shared" si="4"/>
        <v>102.25988700564972</v>
      </c>
      <c r="L123" s="5">
        <f t="shared" si="4"/>
        <v>0</v>
      </c>
      <c r="M123" s="5">
        <f t="shared" si="4"/>
        <v>885.59322033898309</v>
      </c>
      <c r="N123" s="5">
        <f t="shared" si="4"/>
        <v>1147.7401129943503</v>
      </c>
      <c r="O123" s="5">
        <f t="shared" si="4"/>
        <v>292.65536723163842</v>
      </c>
      <c r="P123" s="5">
        <f t="shared" si="4"/>
        <v>35.310734463276837</v>
      </c>
      <c r="Q123" s="5">
        <f t="shared" si="4"/>
        <v>78.248587570621467</v>
      </c>
      <c r="R123" s="5">
        <f t="shared" si="4"/>
        <v>3.6723163841807911</v>
      </c>
      <c r="S123" s="5">
        <f t="shared" si="4"/>
        <v>113.84180790960453</v>
      </c>
      <c r="T123" s="5">
        <f t="shared" si="4"/>
        <v>11.581920903954801</v>
      </c>
      <c r="U123" s="5">
        <f t="shared" si="4"/>
        <v>2.8248587570621471</v>
      </c>
      <c r="V123" s="5">
        <f t="shared" si="4"/>
        <v>22.033898305084747</v>
      </c>
      <c r="W123" s="5">
        <f t="shared" si="4"/>
        <v>162.99435028248587</v>
      </c>
      <c r="X123" s="5">
        <f t="shared" si="4"/>
        <v>0</v>
      </c>
      <c r="Y123" s="5">
        <f t="shared" si="4"/>
        <v>270.05649717514126</v>
      </c>
      <c r="Z123" s="5">
        <f t="shared" si="4"/>
        <v>278.81355932203388</v>
      </c>
      <c r="AA123" s="5">
        <f t="shared" si="4"/>
        <v>0</v>
      </c>
      <c r="AB123" s="5">
        <f t="shared" si="4"/>
        <v>56.497175141242934</v>
      </c>
      <c r="AC123" s="5">
        <f t="shared" si="4"/>
        <v>3426.2711864406779</v>
      </c>
      <c r="AD123" s="5">
        <f t="shared" si="4"/>
        <v>261.58192090395477</v>
      </c>
    </row>
    <row r="124" spans="6:30" s="5" customFormat="1" x14ac:dyDescent="0.25">
      <c r="F124" s="5">
        <v>16</v>
      </c>
      <c r="G124" s="5" t="s">
        <v>80</v>
      </c>
      <c r="H124" s="5">
        <f t="shared" si="3"/>
        <v>4989.3416927899689</v>
      </c>
      <c r="I124" s="5">
        <f t="shared" si="4"/>
        <v>508.15047021943582</v>
      </c>
      <c r="J124" s="5">
        <f t="shared" si="4"/>
        <v>298.7460815047022</v>
      </c>
      <c r="K124" s="5">
        <f t="shared" si="4"/>
        <v>1210.6583072100314</v>
      </c>
      <c r="L124" s="5">
        <f t="shared" si="4"/>
        <v>520.68965517241384</v>
      </c>
      <c r="M124" s="5">
        <f t="shared" si="4"/>
        <v>1242.319749216301</v>
      </c>
      <c r="N124" s="5">
        <f t="shared" si="4"/>
        <v>2281.1912225705328</v>
      </c>
      <c r="O124" s="5">
        <f t="shared" si="4"/>
        <v>3331.0344827586209</v>
      </c>
      <c r="P124" s="5">
        <f t="shared" si="4"/>
        <v>73.040752351097183</v>
      </c>
      <c r="Q124" s="5">
        <f t="shared" si="4"/>
        <v>615.04702194357378</v>
      </c>
      <c r="R124" s="5">
        <f t="shared" si="4"/>
        <v>121.00313479623824</v>
      </c>
      <c r="S124" s="5">
        <f t="shared" si="4"/>
        <v>2067.3981191222574</v>
      </c>
      <c r="T124" s="5">
        <f t="shared" si="4"/>
        <v>18.808777429467085</v>
      </c>
      <c r="U124" s="5">
        <f t="shared" si="4"/>
        <v>98.746081504702204</v>
      </c>
      <c r="V124" s="5">
        <f t="shared" si="4"/>
        <v>271.15987460815052</v>
      </c>
      <c r="W124" s="5">
        <f t="shared" si="4"/>
        <v>434.16927899686522</v>
      </c>
      <c r="X124" s="5">
        <f t="shared" si="4"/>
        <v>2196.5517241379312</v>
      </c>
      <c r="Y124" s="5">
        <f t="shared" si="4"/>
        <v>899.37304075235124</v>
      </c>
      <c r="Z124" s="5">
        <f t="shared" si="4"/>
        <v>2728.8401253918496</v>
      </c>
      <c r="AA124" s="5">
        <f t="shared" si="4"/>
        <v>1453.9184952978057</v>
      </c>
      <c r="AB124" s="5">
        <f t="shared" si="4"/>
        <v>119.12225705329153</v>
      </c>
      <c r="AC124" s="5">
        <f t="shared" si="4"/>
        <v>4488.401253918496</v>
      </c>
      <c r="AD124" s="5">
        <f t="shared" si="4"/>
        <v>1565.2037617554861</v>
      </c>
    </row>
    <row r="125" spans="6:30" s="5" customFormat="1" x14ac:dyDescent="0.25">
      <c r="F125" s="5">
        <v>17</v>
      </c>
      <c r="G125" s="5" t="s">
        <v>80</v>
      </c>
      <c r="H125" s="5">
        <f t="shared" si="3"/>
        <v>3166.8769716088327</v>
      </c>
      <c r="I125" s="5">
        <f t="shared" si="4"/>
        <v>107.25552050473186</v>
      </c>
      <c r="J125" s="5">
        <f t="shared" si="4"/>
        <v>0</v>
      </c>
      <c r="K125" s="5">
        <f t="shared" si="4"/>
        <v>248.26498422712936</v>
      </c>
      <c r="L125" s="5">
        <f t="shared" si="4"/>
        <v>0</v>
      </c>
      <c r="M125" s="5">
        <f t="shared" si="4"/>
        <v>1274.7634069400631</v>
      </c>
      <c r="N125" s="5">
        <f t="shared" si="4"/>
        <v>2249.8422712933752</v>
      </c>
      <c r="O125" s="5">
        <f t="shared" si="4"/>
        <v>435.01577287066243</v>
      </c>
      <c r="P125" s="5">
        <f t="shared" si="4"/>
        <v>63.09148264984227</v>
      </c>
      <c r="Q125" s="5">
        <f t="shared" si="4"/>
        <v>208.20189274447949</v>
      </c>
      <c r="R125" s="5">
        <f t="shared" si="4"/>
        <v>18.611987381703468</v>
      </c>
      <c r="S125" s="5">
        <f t="shared" si="4"/>
        <v>193.69085173501577</v>
      </c>
      <c r="T125" s="5">
        <f t="shared" si="4"/>
        <v>27.760252365930601</v>
      </c>
      <c r="U125" s="5">
        <f t="shared" si="4"/>
        <v>33.123028391167196</v>
      </c>
      <c r="V125" s="5">
        <f t="shared" si="4"/>
        <v>56.782334384858046</v>
      </c>
      <c r="W125" s="5">
        <f t="shared" si="4"/>
        <v>256.78233438485807</v>
      </c>
      <c r="X125" s="5">
        <f t="shared" si="4"/>
        <v>0</v>
      </c>
      <c r="Y125" s="5">
        <f t="shared" si="4"/>
        <v>892.42902208201895</v>
      </c>
      <c r="Z125" s="5">
        <f t="shared" si="4"/>
        <v>7575.394321766561</v>
      </c>
      <c r="AA125" s="5">
        <f t="shared" si="4"/>
        <v>3145.4258675078863</v>
      </c>
      <c r="AB125" s="5">
        <f t="shared" si="4"/>
        <v>522.39747634069397</v>
      </c>
      <c r="AC125" s="5">
        <f t="shared" si="4"/>
        <v>10658.044164037856</v>
      </c>
      <c r="AD125" s="5">
        <f t="shared" si="4"/>
        <v>447.00315457413251</v>
      </c>
    </row>
    <row r="126" spans="6:30" s="5" customFormat="1" x14ac:dyDescent="0.25">
      <c r="F126" s="5">
        <v>18</v>
      </c>
      <c r="G126" s="5" t="s">
        <v>80</v>
      </c>
      <c r="H126" s="5">
        <f t="shared" si="3"/>
        <v>1968.9655172413793</v>
      </c>
      <c r="I126" s="5">
        <f t="shared" si="4"/>
        <v>499.20424403183017</v>
      </c>
      <c r="J126" s="5">
        <f t="shared" si="4"/>
        <v>0</v>
      </c>
      <c r="K126" s="5">
        <f t="shared" si="4"/>
        <v>280.90185676392571</v>
      </c>
      <c r="L126" s="5">
        <f t="shared" si="4"/>
        <v>0</v>
      </c>
      <c r="M126" s="5">
        <f t="shared" si="4"/>
        <v>2115.3846153846152</v>
      </c>
      <c r="N126" s="5">
        <f t="shared" si="4"/>
        <v>1350.9283819628645</v>
      </c>
      <c r="O126" s="5">
        <f t="shared" si="4"/>
        <v>365.78249336870022</v>
      </c>
      <c r="P126" s="5">
        <f t="shared" si="4"/>
        <v>44.562334217506624</v>
      </c>
      <c r="Q126" s="5">
        <f t="shared" si="4"/>
        <v>199.99999999999997</v>
      </c>
      <c r="R126" s="5">
        <f t="shared" si="4"/>
        <v>42.970822281167109</v>
      </c>
      <c r="S126" s="5">
        <f t="shared" si="4"/>
        <v>261.53846153846149</v>
      </c>
      <c r="T126" s="5">
        <f t="shared" si="4"/>
        <v>20.95490716180371</v>
      </c>
      <c r="U126" s="5">
        <f t="shared" si="4"/>
        <v>27.851458885941643</v>
      </c>
      <c r="V126" s="5">
        <f t="shared" si="4"/>
        <v>74.535809018567633</v>
      </c>
      <c r="W126" s="5">
        <f t="shared" si="4"/>
        <v>353.58090185676389</v>
      </c>
      <c r="X126" s="5">
        <f t="shared" si="4"/>
        <v>118.03713527851458</v>
      </c>
      <c r="Y126" s="5">
        <f t="shared" si="4"/>
        <v>1652.5198938992039</v>
      </c>
      <c r="Z126" s="5">
        <f t="shared" si="4"/>
        <v>17528.116710875329</v>
      </c>
      <c r="AA126" s="5">
        <f t="shared" si="4"/>
        <v>3344.5623342175063</v>
      </c>
      <c r="AB126" s="5">
        <f t="shared" si="4"/>
        <v>1013.7931034482757</v>
      </c>
      <c r="AC126" s="5">
        <f t="shared" si="4"/>
        <v>8284.8806366047738</v>
      </c>
      <c r="AD126" s="5">
        <f t="shared" si="4"/>
        <v>332.89124668435011</v>
      </c>
    </row>
    <row r="127" spans="6:30" s="5" customFormat="1" x14ac:dyDescent="0.25">
      <c r="F127" s="5">
        <v>19</v>
      </c>
      <c r="G127" s="5" t="s">
        <v>80</v>
      </c>
      <c r="H127" s="5">
        <f t="shared" si="3"/>
        <v>3270.9745762711859</v>
      </c>
      <c r="I127" s="5">
        <f t="shared" si="4"/>
        <v>137.92372881355931</v>
      </c>
      <c r="J127" s="5">
        <f t="shared" si="4"/>
        <v>0</v>
      </c>
      <c r="K127" s="5">
        <f t="shared" si="4"/>
        <v>451.90677966101686</v>
      </c>
      <c r="L127" s="5">
        <f t="shared" si="4"/>
        <v>0</v>
      </c>
      <c r="M127" s="5">
        <f t="shared" si="4"/>
        <v>905.29661016949137</v>
      </c>
      <c r="N127" s="5">
        <f t="shared" si="4"/>
        <v>1048.093220338983</v>
      </c>
      <c r="O127" s="5">
        <f t="shared" si="4"/>
        <v>1053.8135593220338</v>
      </c>
      <c r="P127" s="5">
        <f t="shared" si="4"/>
        <v>50.423728813559315</v>
      </c>
      <c r="Q127" s="5">
        <f t="shared" si="4"/>
        <v>307.41525423728808</v>
      </c>
      <c r="R127" s="5">
        <f t="shared" si="4"/>
        <v>34.322033898305079</v>
      </c>
      <c r="S127" s="5">
        <f t="shared" si="4"/>
        <v>585.16949152542372</v>
      </c>
      <c r="T127" s="5">
        <f t="shared" si="4"/>
        <v>16.737288135593218</v>
      </c>
      <c r="U127" s="5">
        <f t="shared" si="4"/>
        <v>26.906779661016945</v>
      </c>
      <c r="V127" s="5">
        <f t="shared" si="4"/>
        <v>33.898305084745758</v>
      </c>
      <c r="W127" s="5">
        <f t="shared" si="4"/>
        <v>124.15254237288134</v>
      </c>
      <c r="X127" s="5">
        <f t="shared" si="4"/>
        <v>1412.2881355932202</v>
      </c>
      <c r="Y127" s="5">
        <f t="shared" si="4"/>
        <v>607.83898305084745</v>
      </c>
      <c r="Z127" s="5">
        <f t="shared" si="4"/>
        <v>4828.389830508474</v>
      </c>
      <c r="AA127" s="5">
        <f t="shared" si="4"/>
        <v>1056.3559322033898</v>
      </c>
      <c r="AB127" s="5">
        <f t="shared" si="4"/>
        <v>188.9830508474576</v>
      </c>
      <c r="AC127" s="5">
        <f t="shared" si="4"/>
        <v>6586.8644067796595</v>
      </c>
      <c r="AD127" s="5">
        <f t="shared" si="4"/>
        <v>569.49152542372872</v>
      </c>
    </row>
    <row r="128" spans="6:30" s="5" customFormat="1" x14ac:dyDescent="0.25">
      <c r="F128" s="5">
        <v>20</v>
      </c>
      <c r="G128" s="5" t="s">
        <v>80</v>
      </c>
      <c r="H128" s="5">
        <f t="shared" si="3"/>
        <v>4049.3548387096776</v>
      </c>
      <c r="I128" s="5">
        <f t="shared" si="4"/>
        <v>607.09677419354841</v>
      </c>
      <c r="J128" s="5">
        <f t="shared" si="4"/>
        <v>0</v>
      </c>
      <c r="K128" s="5">
        <f t="shared" si="4"/>
        <v>667.74193548387098</v>
      </c>
      <c r="L128" s="5">
        <f t="shared" si="4"/>
        <v>130</v>
      </c>
      <c r="M128" s="5">
        <f t="shared" si="4"/>
        <v>2725.161290322581</v>
      </c>
      <c r="N128" s="5">
        <f t="shared" si="4"/>
        <v>1784.516129032258</v>
      </c>
      <c r="O128" s="5">
        <f t="shared" si="4"/>
        <v>2475.8064516129034</v>
      </c>
      <c r="P128" s="5">
        <f t="shared" si="4"/>
        <v>52.58064516129032</v>
      </c>
      <c r="Q128" s="5">
        <f t="shared" si="4"/>
        <v>424.51612903225805</v>
      </c>
      <c r="R128" s="5">
        <f t="shared" si="4"/>
        <v>88.709677419354833</v>
      </c>
      <c r="S128" s="5">
        <f t="shared" si="4"/>
        <v>866.77419354838719</v>
      </c>
      <c r="T128" s="5">
        <f t="shared" si="4"/>
        <v>25.483870967741936</v>
      </c>
      <c r="U128" s="5">
        <f t="shared" si="4"/>
        <v>48.064516129032256</v>
      </c>
      <c r="V128" s="5">
        <f t="shared" si="4"/>
        <v>77.741935483870975</v>
      </c>
      <c r="W128" s="5">
        <f t="shared" si="4"/>
        <v>543.22580645161293</v>
      </c>
      <c r="X128" s="5">
        <f t="shared" si="4"/>
        <v>1287.741935483871</v>
      </c>
      <c r="Y128" s="5">
        <f t="shared" si="4"/>
        <v>2292.5806451612902</v>
      </c>
      <c r="Z128" s="5">
        <f t="shared" si="4"/>
        <v>27273.225806451614</v>
      </c>
      <c r="AA128" s="5">
        <f t="shared" si="4"/>
        <v>3606.1290322580649</v>
      </c>
      <c r="AB128" s="5">
        <f t="shared" si="4"/>
        <v>793.54838709677426</v>
      </c>
      <c r="AC128" s="5">
        <f t="shared" si="4"/>
        <v>10450.967741935485</v>
      </c>
      <c r="AD128" s="5">
        <f t="shared" si="4"/>
        <v>1117.4193548387098</v>
      </c>
    </row>
    <row r="129" spans="6:30" s="5" customFormat="1" x14ac:dyDescent="0.25">
      <c r="F129" s="5">
        <v>21</v>
      </c>
      <c r="G129" s="5" t="s">
        <v>80</v>
      </c>
      <c r="H129" s="5">
        <f t="shared" si="3"/>
        <v>3849.45945945946</v>
      </c>
      <c r="I129" s="5">
        <f t="shared" si="4"/>
        <v>254.32432432432435</v>
      </c>
      <c r="J129" s="5">
        <f t="shared" si="4"/>
        <v>0</v>
      </c>
      <c r="K129" s="5">
        <f t="shared" si="4"/>
        <v>198.91891891891893</v>
      </c>
      <c r="L129" s="5">
        <f t="shared" si="4"/>
        <v>0</v>
      </c>
      <c r="M129" s="5">
        <f t="shared" si="4"/>
        <v>2391.0810810810813</v>
      </c>
      <c r="N129" s="5">
        <f t="shared" si="4"/>
        <v>1098.1081081081081</v>
      </c>
      <c r="O129" s="5">
        <f t="shared" si="4"/>
        <v>372.70270270270271</v>
      </c>
      <c r="P129" s="5">
        <f t="shared" si="4"/>
        <v>66.756756756756772</v>
      </c>
      <c r="Q129" s="5">
        <f t="shared" si="4"/>
        <v>203.7837837837838</v>
      </c>
      <c r="R129" s="5">
        <f t="shared" si="4"/>
        <v>24.054054054054056</v>
      </c>
      <c r="S129" s="5">
        <f t="shared" si="4"/>
        <v>108.91891891891893</v>
      </c>
      <c r="T129" s="5">
        <f t="shared" si="4"/>
        <v>16.216216216216218</v>
      </c>
      <c r="U129" s="5">
        <f t="shared" si="4"/>
        <v>15.945945945945946</v>
      </c>
      <c r="V129" s="5">
        <f t="shared" si="4"/>
        <v>43.243243243243249</v>
      </c>
      <c r="W129" s="5">
        <f t="shared" si="4"/>
        <v>181.8918918918919</v>
      </c>
      <c r="X129" s="5">
        <f t="shared" si="4"/>
        <v>0</v>
      </c>
      <c r="Y129" s="5">
        <f t="shared" si="4"/>
        <v>860.27027027027032</v>
      </c>
      <c r="Z129" s="5">
        <f t="shared" si="4"/>
        <v>10242.162162162162</v>
      </c>
      <c r="AA129" s="5">
        <f t="shared" si="4"/>
        <v>3437.8378378378379</v>
      </c>
      <c r="AB129" s="5">
        <f t="shared" si="4"/>
        <v>714.05405405405418</v>
      </c>
      <c r="AC129" s="5">
        <f t="shared" si="4"/>
        <v>11429.45945945946</v>
      </c>
      <c r="AD129" s="5">
        <f t="shared" si="4"/>
        <v>339.18918918918922</v>
      </c>
    </row>
    <row r="130" spans="6:30" s="5" customFormat="1" x14ac:dyDescent="0.25">
      <c r="F130" s="5">
        <v>22</v>
      </c>
      <c r="G130" s="5" t="s">
        <v>80</v>
      </c>
      <c r="H130" s="5">
        <f t="shared" si="3"/>
        <v>2602.9345372460498</v>
      </c>
      <c r="I130" s="5">
        <f t="shared" si="4"/>
        <v>511.28668171557558</v>
      </c>
      <c r="J130" s="5">
        <f t="shared" si="4"/>
        <v>0</v>
      </c>
      <c r="K130" s="5">
        <f t="shared" si="4"/>
        <v>741.53498871331828</v>
      </c>
      <c r="L130" s="5">
        <f t="shared" si="4"/>
        <v>362.75395033860048</v>
      </c>
      <c r="M130" s="5">
        <f t="shared" si="4"/>
        <v>3769.7516930022575</v>
      </c>
      <c r="N130" s="5">
        <f t="shared" si="4"/>
        <v>1511.7381489841987</v>
      </c>
      <c r="O130" s="5">
        <f t="shared" si="4"/>
        <v>1309.7065462753951</v>
      </c>
      <c r="P130" s="5">
        <f t="shared" si="4"/>
        <v>41.083521444695265</v>
      </c>
      <c r="Q130" s="5">
        <f t="shared" si="4"/>
        <v>420.0902934537246</v>
      </c>
      <c r="R130" s="5">
        <f t="shared" si="4"/>
        <v>81.038374717832951</v>
      </c>
      <c r="S130" s="5">
        <f t="shared" si="4"/>
        <v>915.34988713318285</v>
      </c>
      <c r="T130" s="5">
        <f t="shared" si="4"/>
        <v>24.153498871331831</v>
      </c>
      <c r="U130" s="5">
        <f t="shared" si="4"/>
        <v>54.853273137697521</v>
      </c>
      <c r="V130" s="5">
        <f t="shared" si="4"/>
        <v>76.74943566591422</v>
      </c>
      <c r="W130" s="5">
        <f t="shared" si="4"/>
        <v>438.82618510158017</v>
      </c>
      <c r="X130" s="5">
        <f t="shared" si="4"/>
        <v>1554.4018058690745</v>
      </c>
      <c r="Y130" s="5">
        <f t="shared" si="4"/>
        <v>1333.6343115124153</v>
      </c>
      <c r="Z130" s="5">
        <f t="shared" si="4"/>
        <v>20574.492099322801</v>
      </c>
      <c r="AA130" s="5">
        <f t="shared" si="4"/>
        <v>8001.580135440181</v>
      </c>
      <c r="AB130" s="5">
        <f t="shared" si="4"/>
        <v>1876.5237020316026</v>
      </c>
      <c r="AC130" s="5">
        <f t="shared" si="4"/>
        <v>12679.006772009028</v>
      </c>
      <c r="AD130" s="5">
        <f t="shared" si="4"/>
        <v>886.23024830699774</v>
      </c>
    </row>
    <row r="131" spans="6:30" s="5" customFormat="1" x14ac:dyDescent="0.25">
      <c r="F131" s="5">
        <v>23</v>
      </c>
      <c r="G131" s="5" t="s">
        <v>80</v>
      </c>
      <c r="H131" s="5">
        <f t="shared" si="3"/>
        <v>4365.4362416107388</v>
      </c>
      <c r="I131" s="5">
        <f t="shared" si="4"/>
        <v>167.4496644295302</v>
      </c>
      <c r="J131" s="5">
        <f t="shared" si="4"/>
        <v>0</v>
      </c>
      <c r="K131" s="5">
        <f t="shared" si="4"/>
        <v>252.68456375838926</v>
      </c>
      <c r="L131" s="5">
        <f t="shared" si="4"/>
        <v>0</v>
      </c>
      <c r="M131" s="5">
        <f t="shared" si="4"/>
        <v>984.56375838926169</v>
      </c>
      <c r="N131" s="5">
        <f t="shared" si="4"/>
        <v>1856.3758389261745</v>
      </c>
      <c r="O131" s="5">
        <f t="shared" si="4"/>
        <v>462.75167785234896</v>
      </c>
      <c r="P131" s="5">
        <f t="shared" si="4"/>
        <v>57.718120805369125</v>
      </c>
      <c r="Q131" s="5">
        <f t="shared" si="4"/>
        <v>253.02013422818791</v>
      </c>
      <c r="R131" s="5">
        <f t="shared" si="4"/>
        <v>24.832214765100669</v>
      </c>
      <c r="S131" s="5">
        <f t="shared" si="4"/>
        <v>312.08053691275171</v>
      </c>
      <c r="T131" s="5">
        <f t="shared" si="4"/>
        <v>20.134228187919462</v>
      </c>
      <c r="U131" s="5">
        <f t="shared" si="4"/>
        <v>19.798657718120804</v>
      </c>
      <c r="V131" s="5">
        <f t="shared" si="4"/>
        <v>53.691275167785236</v>
      </c>
      <c r="W131" s="5">
        <f t="shared" si="4"/>
        <v>459.06040268456377</v>
      </c>
      <c r="X131" s="5">
        <f t="shared" si="4"/>
        <v>0</v>
      </c>
      <c r="Y131" s="5">
        <f t="shared" si="4"/>
        <v>1343.2885906040269</v>
      </c>
      <c r="Z131" s="5">
        <f t="shared" si="4"/>
        <v>12315.771812080537</v>
      </c>
      <c r="AA131" s="5">
        <f t="shared" si="4"/>
        <v>3091.6107382550335</v>
      </c>
      <c r="AB131" s="5">
        <f t="shared" si="4"/>
        <v>532.88590604026854</v>
      </c>
      <c r="AC131" s="5">
        <f t="shared" si="4"/>
        <v>10942.95302013423</v>
      </c>
      <c r="AD131" s="5">
        <f t="shared" si="4"/>
        <v>366.10738255033556</v>
      </c>
    </row>
    <row r="132" spans="6:30" s="5" customFormat="1" x14ac:dyDescent="0.25">
      <c r="F132" s="5">
        <v>24</v>
      </c>
      <c r="G132" s="5" t="s">
        <v>80</v>
      </c>
      <c r="H132" s="5">
        <f t="shared" si="3"/>
        <v>2478.1746031746034</v>
      </c>
      <c r="I132" s="5">
        <f t="shared" si="4"/>
        <v>1289.6825396825398</v>
      </c>
      <c r="J132" s="5">
        <f t="shared" si="4"/>
        <v>0</v>
      </c>
      <c r="K132" s="5">
        <f t="shared" si="4"/>
        <v>257.53968253968253</v>
      </c>
      <c r="L132" s="5">
        <f t="shared" si="4"/>
        <v>28.968253968253968</v>
      </c>
      <c r="M132" s="5">
        <f t="shared" si="4"/>
        <v>4009.9206349206347</v>
      </c>
      <c r="N132" s="5">
        <f t="shared" si="4"/>
        <v>1582.936507936508</v>
      </c>
      <c r="O132" s="5">
        <f t="shared" si="4"/>
        <v>411.11111111111109</v>
      </c>
      <c r="P132" s="5">
        <f t="shared" si="4"/>
        <v>46.031746031746032</v>
      </c>
      <c r="Q132" s="5">
        <f t="shared" si="4"/>
        <v>325.39682539682536</v>
      </c>
      <c r="R132" s="5">
        <f t="shared" si="4"/>
        <v>52.777777777777779</v>
      </c>
      <c r="S132" s="5">
        <f t="shared" si="4"/>
        <v>543.2539682539682</v>
      </c>
      <c r="T132" s="5">
        <f t="shared" si="4"/>
        <v>8.7301587301587293</v>
      </c>
      <c r="U132" s="5">
        <f t="shared" si="4"/>
        <v>0</v>
      </c>
      <c r="V132" s="5">
        <f t="shared" si="4"/>
        <v>95.634920634920647</v>
      </c>
      <c r="W132" s="5">
        <f t="shared" si="4"/>
        <v>921.82539682539687</v>
      </c>
      <c r="X132" s="5">
        <f t="shared" si="4"/>
        <v>102.38095238095238</v>
      </c>
      <c r="Y132" s="5">
        <f t="shared" si="4"/>
        <v>2083.7301587301586</v>
      </c>
      <c r="Z132" s="5">
        <f t="shared" si="4"/>
        <v>28808.333333333336</v>
      </c>
      <c r="AA132" s="5">
        <f t="shared" si="4"/>
        <v>5834.5238095238092</v>
      </c>
      <c r="AB132" s="5">
        <f t="shared" si="4"/>
        <v>1200.3968253968253</v>
      </c>
      <c r="AC132" s="5">
        <f t="shared" si="4"/>
        <v>10481.349206349207</v>
      </c>
      <c r="AD132" s="5">
        <f t="shared" si="4"/>
        <v>432.93650793650795</v>
      </c>
    </row>
    <row r="133" spans="6:30" s="5" customFormat="1" x14ac:dyDescent="0.25">
      <c r="F133" s="5">
        <v>25</v>
      </c>
      <c r="G133" s="5" t="s">
        <v>80</v>
      </c>
      <c r="H133" s="5">
        <f t="shared" si="3"/>
        <v>3673.5694822888277</v>
      </c>
      <c r="I133" s="5">
        <f t="shared" si="4"/>
        <v>46.321525885558579</v>
      </c>
      <c r="J133" s="5">
        <f t="shared" si="4"/>
        <v>0</v>
      </c>
      <c r="K133" s="5">
        <f t="shared" si="4"/>
        <v>324.79564032697544</v>
      </c>
      <c r="L133" s="5">
        <f t="shared" si="4"/>
        <v>19.891008174386918</v>
      </c>
      <c r="M133" s="5">
        <f t="shared" si="4"/>
        <v>1568.9373297002724</v>
      </c>
      <c r="N133" s="5">
        <f t="shared" si="4"/>
        <v>1407.6294277929153</v>
      </c>
      <c r="O133" s="5">
        <f t="shared" si="4"/>
        <v>509.53678474114434</v>
      </c>
      <c r="P133" s="5">
        <f t="shared" si="4"/>
        <v>57.220708446866482</v>
      </c>
      <c r="Q133" s="5">
        <f t="shared" si="4"/>
        <v>329.70027247956398</v>
      </c>
      <c r="R133" s="5">
        <f t="shared" si="4"/>
        <v>32.152588555858308</v>
      </c>
      <c r="S133" s="5">
        <f t="shared" si="4"/>
        <v>343.59673024523158</v>
      </c>
      <c r="T133" s="5">
        <f t="shared" si="4"/>
        <v>16.348773841961851</v>
      </c>
      <c r="U133" s="5">
        <f t="shared" si="4"/>
        <v>34.604904632152589</v>
      </c>
      <c r="V133" s="5">
        <f t="shared" si="4"/>
        <v>43.596730245231605</v>
      </c>
      <c r="W133" s="5">
        <f t="shared" si="4"/>
        <v>206.53950953678472</v>
      </c>
      <c r="X133" s="5">
        <f t="shared" si="4"/>
        <v>524.79564032697544</v>
      </c>
      <c r="Y133" s="5">
        <f t="shared" si="4"/>
        <v>919.34604904632147</v>
      </c>
      <c r="Z133" s="5">
        <f t="shared" si="4"/>
        <v>10644.959128065395</v>
      </c>
      <c r="AA133" s="5">
        <f t="shared" si="4"/>
        <v>2184.741144414169</v>
      </c>
      <c r="AB133" s="5">
        <f t="shared" ref="I133:AD145" si="5">AB33/$D33</f>
        <v>467.57493188010898</v>
      </c>
      <c r="AC133" s="5">
        <f t="shared" si="5"/>
        <v>4484.1961852861032</v>
      </c>
      <c r="AD133" s="5">
        <f t="shared" si="5"/>
        <v>473.841961852861</v>
      </c>
    </row>
    <row r="134" spans="6:30" s="5" customFormat="1" x14ac:dyDescent="0.25">
      <c r="F134" s="5">
        <v>26</v>
      </c>
      <c r="G134" s="5" t="s">
        <v>80</v>
      </c>
      <c r="H134" s="5">
        <f t="shared" si="3"/>
        <v>4081.028938906752</v>
      </c>
      <c r="I134" s="5">
        <f t="shared" si="5"/>
        <v>728.29581993569116</v>
      </c>
      <c r="J134" s="5">
        <f t="shared" si="5"/>
        <v>0</v>
      </c>
      <c r="K134" s="5">
        <f t="shared" si="5"/>
        <v>788.1028938906752</v>
      </c>
      <c r="L134" s="5">
        <f t="shared" si="5"/>
        <v>217.04180064308679</v>
      </c>
      <c r="M134" s="5">
        <f t="shared" si="5"/>
        <v>2127.3311897106105</v>
      </c>
      <c r="N134" s="5">
        <f t="shared" si="5"/>
        <v>1825.7234726688102</v>
      </c>
      <c r="O134" s="5">
        <f t="shared" si="5"/>
        <v>1644.0514469453376</v>
      </c>
      <c r="P134" s="5">
        <f t="shared" si="5"/>
        <v>74.919614147909968</v>
      </c>
      <c r="Q134" s="5">
        <f t="shared" si="5"/>
        <v>579.09967845659162</v>
      </c>
      <c r="R134" s="5">
        <f t="shared" si="5"/>
        <v>106.43086816720256</v>
      </c>
      <c r="S134" s="5">
        <f t="shared" si="5"/>
        <v>1327.0096463022508</v>
      </c>
      <c r="T134" s="5">
        <f t="shared" si="5"/>
        <v>19.292604501607716</v>
      </c>
      <c r="U134" s="5">
        <f t="shared" si="5"/>
        <v>33.762057877813504</v>
      </c>
      <c r="V134" s="5">
        <f t="shared" si="5"/>
        <v>90.35369774919613</v>
      </c>
      <c r="W134" s="5">
        <f t="shared" si="5"/>
        <v>436.97749196141473</v>
      </c>
      <c r="X134" s="5">
        <f t="shared" si="5"/>
        <v>1645.3376205787781</v>
      </c>
      <c r="Y134" s="5">
        <f t="shared" si="5"/>
        <v>1072.6688102893891</v>
      </c>
      <c r="Z134" s="5">
        <f t="shared" si="5"/>
        <v>12747.266881028938</v>
      </c>
      <c r="AA134" s="5">
        <f t="shared" si="5"/>
        <v>5296.4630225080382</v>
      </c>
      <c r="AB134" s="5">
        <f t="shared" si="5"/>
        <v>919.61414790996787</v>
      </c>
      <c r="AC134" s="5">
        <f t="shared" si="5"/>
        <v>5960.1286173633443</v>
      </c>
      <c r="AD134" s="5">
        <f t="shared" si="5"/>
        <v>964.30868167202561</v>
      </c>
    </row>
    <row r="135" spans="6:30" s="5" customFormat="1" x14ac:dyDescent="0.25">
      <c r="F135" s="5">
        <v>27</v>
      </c>
      <c r="G135" s="5" t="s">
        <v>80</v>
      </c>
      <c r="H135" s="5">
        <f t="shared" si="3"/>
        <v>1816.9934640522874</v>
      </c>
      <c r="I135" s="5">
        <f t="shared" si="5"/>
        <v>111.1111111111111</v>
      </c>
      <c r="J135" s="5">
        <f t="shared" si="5"/>
        <v>0</v>
      </c>
      <c r="K135" s="5">
        <f t="shared" si="5"/>
        <v>223.52941176470586</v>
      </c>
      <c r="L135" s="5">
        <f t="shared" si="5"/>
        <v>0</v>
      </c>
      <c r="M135" s="5">
        <f t="shared" si="5"/>
        <v>411.11111111111109</v>
      </c>
      <c r="N135" s="5">
        <f t="shared" si="5"/>
        <v>1760.1307189542483</v>
      </c>
      <c r="O135" s="5">
        <f t="shared" si="5"/>
        <v>338.56209150326794</v>
      </c>
      <c r="P135" s="5">
        <f t="shared" si="5"/>
        <v>56.209150326797378</v>
      </c>
      <c r="Q135" s="5">
        <f t="shared" si="5"/>
        <v>211.43790849673201</v>
      </c>
      <c r="R135" s="5">
        <f t="shared" si="5"/>
        <v>24.183006535947712</v>
      </c>
      <c r="S135" s="5">
        <f t="shared" si="5"/>
        <v>456.20915032679738</v>
      </c>
      <c r="T135" s="5">
        <f t="shared" si="5"/>
        <v>16.666666666666664</v>
      </c>
      <c r="U135" s="5">
        <f t="shared" si="5"/>
        <v>26.79738562091503</v>
      </c>
      <c r="V135" s="5">
        <f t="shared" si="5"/>
        <v>52.287581699346404</v>
      </c>
      <c r="W135" s="5">
        <f t="shared" si="5"/>
        <v>250.65359477124181</v>
      </c>
      <c r="X135" s="5">
        <f t="shared" si="5"/>
        <v>0</v>
      </c>
      <c r="Y135" s="5">
        <f t="shared" si="5"/>
        <v>450.32679738562086</v>
      </c>
      <c r="Z135" s="5">
        <f t="shared" si="5"/>
        <v>2844.7712418300653</v>
      </c>
      <c r="AA135" s="5">
        <f t="shared" si="5"/>
        <v>1427.7777777777776</v>
      </c>
      <c r="AB135" s="5">
        <f t="shared" si="5"/>
        <v>236.60130718954247</v>
      </c>
      <c r="AC135" s="5">
        <f t="shared" si="5"/>
        <v>5151.6339869281037</v>
      </c>
      <c r="AD135" s="5">
        <f t="shared" si="5"/>
        <v>410.13071895424838</v>
      </c>
    </row>
    <row r="136" spans="6:30" s="5" customFormat="1" x14ac:dyDescent="0.25">
      <c r="F136" s="5">
        <v>28</v>
      </c>
      <c r="G136" s="5" t="s">
        <v>80</v>
      </c>
      <c r="H136" s="5">
        <f t="shared" si="3"/>
        <v>3485.9649122807014</v>
      </c>
      <c r="I136" s="5">
        <f t="shared" si="5"/>
        <v>59.649122807017541</v>
      </c>
      <c r="J136" s="5">
        <f t="shared" si="5"/>
        <v>0</v>
      </c>
      <c r="K136" s="5">
        <f t="shared" si="5"/>
        <v>359.64912280701753</v>
      </c>
      <c r="L136" s="5">
        <f t="shared" si="5"/>
        <v>0</v>
      </c>
      <c r="M136" s="5">
        <f t="shared" si="5"/>
        <v>2605.9649122807014</v>
      </c>
      <c r="N136" s="5">
        <f t="shared" si="5"/>
        <v>1709.8245614035086</v>
      </c>
      <c r="O136" s="5">
        <f t="shared" si="5"/>
        <v>599.64912280701753</v>
      </c>
      <c r="P136" s="5">
        <f t="shared" si="5"/>
        <v>57.192982456140342</v>
      </c>
      <c r="Q136" s="5">
        <f t="shared" si="5"/>
        <v>315.08771929824564</v>
      </c>
      <c r="R136" s="5">
        <f t="shared" si="5"/>
        <v>25.964912280701753</v>
      </c>
      <c r="S136" s="5">
        <f t="shared" si="5"/>
        <v>345.9649122807017</v>
      </c>
      <c r="T136" s="5">
        <f t="shared" si="5"/>
        <v>17.894736842105264</v>
      </c>
      <c r="U136" s="5">
        <f t="shared" si="5"/>
        <v>20.701754385964911</v>
      </c>
      <c r="V136" s="5">
        <f t="shared" si="5"/>
        <v>27.368421052631579</v>
      </c>
      <c r="W136" s="5">
        <f t="shared" si="5"/>
        <v>185.26315789473685</v>
      </c>
      <c r="X136" s="5">
        <f t="shared" si="5"/>
        <v>43.859649122807014</v>
      </c>
      <c r="Y136" s="5">
        <f t="shared" si="5"/>
        <v>774.38596491228066</v>
      </c>
      <c r="Z136" s="5">
        <f t="shared" si="5"/>
        <v>9110.5263157894733</v>
      </c>
      <c r="AA136" s="5">
        <f t="shared" si="5"/>
        <v>1867.7192982456138</v>
      </c>
      <c r="AB136" s="5">
        <f t="shared" si="5"/>
        <v>552.63157894736844</v>
      </c>
      <c r="AC136" s="5">
        <f t="shared" si="5"/>
        <v>8810.5263157894733</v>
      </c>
      <c r="AD136" s="5">
        <f t="shared" si="5"/>
        <v>382.80701754385962</v>
      </c>
    </row>
    <row r="137" spans="6:30" s="5" customFormat="1" x14ac:dyDescent="0.25">
      <c r="F137" s="5">
        <v>29</v>
      </c>
      <c r="G137" s="5" t="s">
        <v>80</v>
      </c>
      <c r="H137" s="5">
        <f t="shared" si="3"/>
        <v>3172.105263157895</v>
      </c>
      <c r="I137" s="5">
        <f t="shared" si="5"/>
        <v>1012.3684210526316</v>
      </c>
      <c r="J137" s="5">
        <f t="shared" si="5"/>
        <v>0</v>
      </c>
      <c r="K137" s="5">
        <f t="shared" si="5"/>
        <v>207.10526315789474</v>
      </c>
      <c r="L137" s="5">
        <f t="shared" si="5"/>
        <v>0</v>
      </c>
      <c r="M137" s="5">
        <f t="shared" si="5"/>
        <v>3690.5263157894742</v>
      </c>
      <c r="N137" s="5">
        <f t="shared" si="5"/>
        <v>1378.6842105263158</v>
      </c>
      <c r="O137" s="5">
        <f t="shared" si="5"/>
        <v>534.21052631578948</v>
      </c>
      <c r="P137" s="5">
        <f t="shared" si="5"/>
        <v>67.631578947368425</v>
      </c>
      <c r="Q137" s="5">
        <f t="shared" si="5"/>
        <v>239.73684210526315</v>
      </c>
      <c r="R137" s="5">
        <f t="shared" si="5"/>
        <v>42.631578947368425</v>
      </c>
      <c r="S137" s="5">
        <f t="shared" si="5"/>
        <v>138.15789473684211</v>
      </c>
      <c r="T137" s="5">
        <f t="shared" si="5"/>
        <v>20.789473684210527</v>
      </c>
      <c r="U137" s="5">
        <f t="shared" si="5"/>
        <v>24.736842105263158</v>
      </c>
      <c r="V137" s="5">
        <f t="shared" si="5"/>
        <v>42.10526315789474</v>
      </c>
      <c r="W137" s="5">
        <f t="shared" si="5"/>
        <v>696.57894736842104</v>
      </c>
      <c r="X137" s="5">
        <f t="shared" si="5"/>
        <v>0</v>
      </c>
      <c r="Y137" s="5">
        <f t="shared" si="5"/>
        <v>2349.7368421052633</v>
      </c>
      <c r="Z137" s="5">
        <f t="shared" si="5"/>
        <v>29881.05263157895</v>
      </c>
      <c r="AA137" s="5">
        <f t="shared" si="5"/>
        <v>4628.4210526315792</v>
      </c>
      <c r="AB137" s="5">
        <f t="shared" si="5"/>
        <v>1216.3157894736842</v>
      </c>
      <c r="AC137" s="5">
        <f t="shared" si="5"/>
        <v>7534.21052631579</v>
      </c>
      <c r="AD137" s="5">
        <f t="shared" si="5"/>
        <v>372.89473684210526</v>
      </c>
    </row>
    <row r="138" spans="6:30" s="5" customFormat="1" x14ac:dyDescent="0.25">
      <c r="F138" s="5">
        <v>30</v>
      </c>
      <c r="G138" s="5" t="s">
        <v>80</v>
      </c>
      <c r="H138" s="5">
        <f t="shared" si="3"/>
        <v>3434.4827586206902</v>
      </c>
      <c r="I138" s="5">
        <f t="shared" si="5"/>
        <v>59.080459770114942</v>
      </c>
      <c r="J138" s="5">
        <f t="shared" si="5"/>
        <v>0</v>
      </c>
      <c r="K138" s="5">
        <f t="shared" si="5"/>
        <v>220.22988505747128</v>
      </c>
      <c r="L138" s="5">
        <f t="shared" si="5"/>
        <v>0</v>
      </c>
      <c r="M138" s="5">
        <f t="shared" si="5"/>
        <v>1123.6781609195405</v>
      </c>
      <c r="N138" s="5">
        <f t="shared" si="5"/>
        <v>1052.6436781609195</v>
      </c>
      <c r="O138" s="5">
        <f t="shared" si="5"/>
        <v>317.01149425287355</v>
      </c>
      <c r="P138" s="5">
        <f t="shared" si="5"/>
        <v>41.839080459770116</v>
      </c>
      <c r="Q138" s="5">
        <f t="shared" si="5"/>
        <v>215.40229885057471</v>
      </c>
      <c r="R138" s="5">
        <f t="shared" si="5"/>
        <v>17.011494252873565</v>
      </c>
      <c r="S138" s="5">
        <f t="shared" si="5"/>
        <v>134.2528735632184</v>
      </c>
      <c r="T138" s="5">
        <f t="shared" si="5"/>
        <v>13.793103448275863</v>
      </c>
      <c r="U138" s="5">
        <f t="shared" si="5"/>
        <v>8.0459770114942533</v>
      </c>
      <c r="V138" s="5">
        <f t="shared" si="5"/>
        <v>36.781609195402304</v>
      </c>
      <c r="W138" s="5">
        <f t="shared" si="5"/>
        <v>154.71264367816093</v>
      </c>
      <c r="X138" s="5">
        <f t="shared" si="5"/>
        <v>0</v>
      </c>
      <c r="Y138" s="5">
        <f t="shared" si="5"/>
        <v>641.14942528735639</v>
      </c>
      <c r="Z138" s="5">
        <f t="shared" si="5"/>
        <v>6227.3563218390809</v>
      </c>
      <c r="AA138" s="5">
        <f t="shared" si="5"/>
        <v>940.45977011494256</v>
      </c>
      <c r="AB138" s="5">
        <f t="shared" si="5"/>
        <v>219.31034482758619</v>
      </c>
      <c r="AC138" s="5">
        <f t="shared" si="5"/>
        <v>3710.5747126436781</v>
      </c>
      <c r="AD138" s="5">
        <f t="shared" si="5"/>
        <v>307.12643678160919</v>
      </c>
    </row>
    <row r="139" spans="6:30" s="5" customFormat="1" x14ac:dyDescent="0.25">
      <c r="F139" s="5">
        <v>31</v>
      </c>
      <c r="G139" s="5" t="s">
        <v>126</v>
      </c>
      <c r="H139" s="5">
        <f t="shared" si="3"/>
        <v>7813.0331753554492</v>
      </c>
      <c r="I139" s="5">
        <f t="shared" si="5"/>
        <v>288.86255924170615</v>
      </c>
      <c r="J139" s="5">
        <f t="shared" si="5"/>
        <v>0</v>
      </c>
      <c r="K139" s="5">
        <f t="shared" si="5"/>
        <v>667.06161137440756</v>
      </c>
      <c r="L139" s="5">
        <f t="shared" si="5"/>
        <v>17.29857819905213</v>
      </c>
      <c r="M139" s="5">
        <f t="shared" si="5"/>
        <v>2656.1611374407585</v>
      </c>
      <c r="N139" s="5">
        <f t="shared" si="5"/>
        <v>1172.2748815165876</v>
      </c>
      <c r="O139" s="5">
        <f t="shared" si="5"/>
        <v>909.47867298578205</v>
      </c>
      <c r="P139" s="5">
        <f t="shared" si="5"/>
        <v>54.265402843601898</v>
      </c>
      <c r="Q139" s="5">
        <f t="shared" si="5"/>
        <v>365.63981042654029</v>
      </c>
      <c r="R139" s="5">
        <f t="shared" si="5"/>
        <v>51.895734597156398</v>
      </c>
      <c r="S139" s="5">
        <f t="shared" si="5"/>
        <v>583.17535545023691</v>
      </c>
      <c r="T139" s="5">
        <f t="shared" si="5"/>
        <v>14.218009478672984</v>
      </c>
      <c r="U139" s="5">
        <f t="shared" si="5"/>
        <v>24.881516587677726</v>
      </c>
      <c r="V139" s="5">
        <f t="shared" si="5"/>
        <v>47.393364928909953</v>
      </c>
      <c r="W139" s="5">
        <f t="shared" si="5"/>
        <v>311.84834123222748</v>
      </c>
      <c r="X139" s="5">
        <f t="shared" si="5"/>
        <v>1317.7725118483411</v>
      </c>
      <c r="Y139" s="5">
        <f t="shared" si="5"/>
        <v>1032.9383886255926</v>
      </c>
      <c r="Z139" s="5">
        <f t="shared" si="5"/>
        <v>12140.521327014219</v>
      </c>
      <c r="AA139" s="5">
        <f t="shared" si="5"/>
        <v>3360.1895734597156</v>
      </c>
      <c r="AB139" s="5">
        <f t="shared" si="5"/>
        <v>824.64454976303307</v>
      </c>
      <c r="AC139" s="5">
        <f t="shared" si="5"/>
        <v>14212.085308056872</v>
      </c>
      <c r="AD139" s="5">
        <f t="shared" si="5"/>
        <v>636.96682464454977</v>
      </c>
    </row>
    <row r="140" spans="6:30" s="5" customFormat="1" x14ac:dyDescent="0.25">
      <c r="F140" s="5">
        <v>32</v>
      </c>
      <c r="G140" s="5" t="s">
        <v>126</v>
      </c>
      <c r="H140" s="5">
        <f t="shared" si="3"/>
        <v>6560.6860158311356</v>
      </c>
      <c r="I140" s="5">
        <f t="shared" si="5"/>
        <v>210.29023746701847</v>
      </c>
      <c r="J140" s="5">
        <f t="shared" si="5"/>
        <v>0</v>
      </c>
      <c r="K140" s="5">
        <f t="shared" si="5"/>
        <v>646.70184696569936</v>
      </c>
      <c r="L140" s="5">
        <f t="shared" si="5"/>
        <v>0</v>
      </c>
      <c r="M140" s="5">
        <f t="shared" si="5"/>
        <v>983.64116094986821</v>
      </c>
      <c r="N140" s="5">
        <f t="shared" si="5"/>
        <v>1555.6728232189976</v>
      </c>
      <c r="O140" s="5">
        <f t="shared" si="5"/>
        <v>1530.8707124010557</v>
      </c>
      <c r="P140" s="5">
        <f t="shared" si="5"/>
        <v>62.796833773087073</v>
      </c>
      <c r="Q140" s="5">
        <f t="shared" si="5"/>
        <v>337.46701846965698</v>
      </c>
      <c r="R140" s="5">
        <f t="shared" si="5"/>
        <v>61.477572559366763</v>
      </c>
      <c r="S140" s="5">
        <f t="shared" si="5"/>
        <v>774.67018469657</v>
      </c>
      <c r="T140" s="5">
        <f t="shared" si="5"/>
        <v>20.844327176781007</v>
      </c>
      <c r="U140" s="5">
        <f t="shared" si="5"/>
        <v>39.313984168865439</v>
      </c>
      <c r="V140" s="5">
        <f t="shared" si="5"/>
        <v>63.588390501319275</v>
      </c>
      <c r="W140" s="5">
        <f t="shared" si="5"/>
        <v>212.40105540897102</v>
      </c>
      <c r="X140" s="5">
        <f t="shared" si="5"/>
        <v>1279.9472295514513</v>
      </c>
      <c r="Y140" s="5">
        <f t="shared" si="5"/>
        <v>627.44063324538263</v>
      </c>
      <c r="Z140" s="5">
        <f t="shared" si="5"/>
        <v>4576.2532981530348</v>
      </c>
      <c r="AA140" s="5">
        <f t="shared" si="5"/>
        <v>1176.5171503957786</v>
      </c>
      <c r="AB140" s="5">
        <f t="shared" si="5"/>
        <v>158.31134564643801</v>
      </c>
      <c r="AC140" s="5">
        <f t="shared" si="5"/>
        <v>12084.432717678101</v>
      </c>
      <c r="AD140" s="5">
        <f t="shared" si="5"/>
        <v>709.23482849604227</v>
      </c>
    </row>
    <row r="141" spans="6:30" s="5" customFormat="1" x14ac:dyDescent="0.25">
      <c r="F141" s="5">
        <v>33</v>
      </c>
      <c r="G141" s="5" t="s">
        <v>126</v>
      </c>
      <c r="H141" s="5">
        <f t="shared" si="3"/>
        <v>7291.9161676646709</v>
      </c>
      <c r="I141" s="5">
        <f t="shared" si="5"/>
        <v>149.40119760479044</v>
      </c>
      <c r="J141" s="5">
        <f t="shared" si="5"/>
        <v>0</v>
      </c>
      <c r="K141" s="5">
        <f t="shared" si="5"/>
        <v>214.97005988023952</v>
      </c>
      <c r="L141" s="5">
        <f t="shared" si="5"/>
        <v>0</v>
      </c>
      <c r="M141" s="5">
        <f t="shared" si="5"/>
        <v>2896.7065868263476</v>
      </c>
      <c r="N141" s="5">
        <f t="shared" si="5"/>
        <v>1612.5748502994013</v>
      </c>
      <c r="O141" s="5">
        <f t="shared" si="5"/>
        <v>310.17964071856289</v>
      </c>
      <c r="P141" s="5">
        <f t="shared" si="5"/>
        <v>45.808383233532936</v>
      </c>
      <c r="Q141" s="5">
        <f t="shared" si="5"/>
        <v>225.74850299401197</v>
      </c>
      <c r="R141" s="5">
        <f t="shared" si="5"/>
        <v>22.155688622754493</v>
      </c>
      <c r="S141" s="5">
        <f t="shared" si="5"/>
        <v>183.8323353293413</v>
      </c>
      <c r="T141" s="5">
        <f t="shared" si="5"/>
        <v>17.964071856287426</v>
      </c>
      <c r="U141" s="5">
        <f t="shared" si="5"/>
        <v>24.550898203592812</v>
      </c>
      <c r="V141" s="5">
        <f t="shared" si="5"/>
        <v>35.628742514970057</v>
      </c>
      <c r="W141" s="5">
        <f t="shared" si="5"/>
        <v>249.10179640718565</v>
      </c>
      <c r="X141" s="5">
        <f t="shared" si="5"/>
        <v>0</v>
      </c>
      <c r="Y141" s="5">
        <f t="shared" si="5"/>
        <v>1088.9221556886228</v>
      </c>
      <c r="Z141" s="5">
        <f t="shared" si="5"/>
        <v>6698.2035928143714</v>
      </c>
      <c r="AA141" s="5">
        <f t="shared" si="5"/>
        <v>1857.1856287425151</v>
      </c>
      <c r="AB141" s="5">
        <f t="shared" si="5"/>
        <v>461.37724550898207</v>
      </c>
      <c r="AC141" s="5">
        <f t="shared" si="5"/>
        <v>18702.095808383234</v>
      </c>
      <c r="AD141" s="5">
        <f t="shared" si="5"/>
        <v>424.25149700598803</v>
      </c>
    </row>
    <row r="142" spans="6:30" s="5" customFormat="1" x14ac:dyDescent="0.25">
      <c r="F142" s="5">
        <v>34</v>
      </c>
      <c r="G142" s="5" t="s">
        <v>126</v>
      </c>
      <c r="H142" s="5">
        <f t="shared" si="3"/>
        <v>4650.5338078291816</v>
      </c>
      <c r="I142" s="5">
        <f t="shared" si="5"/>
        <v>177.58007117437722</v>
      </c>
      <c r="J142" s="5">
        <f t="shared" si="5"/>
        <v>0</v>
      </c>
      <c r="K142" s="5">
        <f t="shared" si="5"/>
        <v>218.5053380782918</v>
      </c>
      <c r="L142" s="5">
        <f t="shared" si="5"/>
        <v>0</v>
      </c>
      <c r="M142" s="5">
        <f t="shared" si="5"/>
        <v>2008.8967971530251</v>
      </c>
      <c r="N142" s="5">
        <f t="shared" si="5"/>
        <v>1655.8718861209966</v>
      </c>
      <c r="O142" s="5">
        <f t="shared" si="5"/>
        <v>368.6832740213523</v>
      </c>
      <c r="P142" s="5">
        <f t="shared" si="5"/>
        <v>101.42348754448399</v>
      </c>
      <c r="Q142" s="5">
        <f t="shared" si="5"/>
        <v>282.56227758007117</v>
      </c>
      <c r="R142" s="5">
        <f t="shared" si="5"/>
        <v>37.010676156583628</v>
      </c>
      <c r="S142" s="5">
        <f t="shared" si="5"/>
        <v>165.12455516014234</v>
      </c>
      <c r="T142" s="5">
        <f t="shared" si="5"/>
        <v>18.14946619217082</v>
      </c>
      <c r="U142" s="5">
        <f t="shared" si="5"/>
        <v>12.455516014234874</v>
      </c>
      <c r="V142" s="5">
        <f t="shared" si="5"/>
        <v>85.765124555160142</v>
      </c>
      <c r="W142" s="5">
        <f t="shared" si="5"/>
        <v>424.55516014234877</v>
      </c>
      <c r="X142" s="5">
        <f t="shared" si="5"/>
        <v>0</v>
      </c>
      <c r="Y142" s="5">
        <f t="shared" si="5"/>
        <v>1526.3345195729537</v>
      </c>
      <c r="Z142" s="5">
        <f t="shared" si="5"/>
        <v>14513.167259786476</v>
      </c>
      <c r="AA142" s="5">
        <f t="shared" si="5"/>
        <v>2179.7153024911031</v>
      </c>
      <c r="AB142" s="5">
        <f t="shared" si="5"/>
        <v>449.46619217081854</v>
      </c>
      <c r="AC142" s="5">
        <f t="shared" si="5"/>
        <v>5443.7722419928823</v>
      </c>
      <c r="AD142" s="5">
        <f t="shared" si="5"/>
        <v>329.53736654804271</v>
      </c>
    </row>
    <row r="143" spans="6:30" s="5" customFormat="1" x14ac:dyDescent="0.25">
      <c r="F143" s="5">
        <v>35</v>
      </c>
      <c r="G143" s="5" t="s">
        <v>126</v>
      </c>
      <c r="H143" s="5">
        <f t="shared" si="3"/>
        <v>4784.758364312268</v>
      </c>
      <c r="I143" s="5">
        <f t="shared" si="5"/>
        <v>602.60223048327146</v>
      </c>
      <c r="J143" s="5">
        <f t="shared" si="5"/>
        <v>0</v>
      </c>
      <c r="K143" s="5">
        <f t="shared" si="5"/>
        <v>273.60594795539032</v>
      </c>
      <c r="L143" s="5">
        <f t="shared" si="5"/>
        <v>0</v>
      </c>
      <c r="M143" s="5">
        <f t="shared" si="5"/>
        <v>2390.3345724907063</v>
      </c>
      <c r="N143" s="5">
        <f t="shared" si="5"/>
        <v>1620.0743494423791</v>
      </c>
      <c r="O143" s="5">
        <f t="shared" si="5"/>
        <v>754.64684014869886</v>
      </c>
      <c r="P143" s="5">
        <f t="shared" si="5"/>
        <v>105.94795539033457</v>
      </c>
      <c r="Q143" s="5">
        <f t="shared" si="5"/>
        <v>456.87732342007433</v>
      </c>
      <c r="R143" s="5">
        <f t="shared" si="5"/>
        <v>81.412639405204459</v>
      </c>
      <c r="S143" s="5">
        <f t="shared" si="5"/>
        <v>303.34572490706319</v>
      </c>
      <c r="T143" s="5">
        <f t="shared" si="5"/>
        <v>15.241635687732341</v>
      </c>
      <c r="U143" s="5">
        <f t="shared" si="5"/>
        <v>39.033457249070636</v>
      </c>
      <c r="V143" s="5">
        <f t="shared" si="5"/>
        <v>59.479553903345725</v>
      </c>
      <c r="W143" s="5">
        <f t="shared" si="5"/>
        <v>553.5315985130112</v>
      </c>
      <c r="X143" s="5">
        <f t="shared" si="5"/>
        <v>0</v>
      </c>
      <c r="Y143" s="5">
        <f t="shared" si="5"/>
        <v>3178.4386617100372</v>
      </c>
      <c r="Z143" s="5">
        <f t="shared" si="5"/>
        <v>18680.669144981413</v>
      </c>
      <c r="AA143" s="5">
        <f t="shared" si="5"/>
        <v>2558.3643122676576</v>
      </c>
      <c r="AB143" s="5">
        <f t="shared" si="5"/>
        <v>572.86245353159848</v>
      </c>
      <c r="AC143" s="5">
        <f t="shared" si="5"/>
        <v>3182.5278810408922</v>
      </c>
      <c r="AD143" s="5">
        <f t="shared" si="5"/>
        <v>466.54275092936803</v>
      </c>
    </row>
    <row r="144" spans="6:30" s="5" customFormat="1" x14ac:dyDescent="0.25">
      <c r="F144" s="5">
        <v>36</v>
      </c>
      <c r="G144" s="5" t="s">
        <v>126</v>
      </c>
      <c r="H144" s="5">
        <f t="shared" si="3"/>
        <v>4323.9631336405528</v>
      </c>
      <c r="I144" s="5">
        <f t="shared" si="5"/>
        <v>114.97695852534562</v>
      </c>
      <c r="J144" s="5">
        <f t="shared" si="5"/>
        <v>0</v>
      </c>
      <c r="K144" s="5">
        <f t="shared" si="5"/>
        <v>212.90322580645162</v>
      </c>
      <c r="L144" s="5">
        <f t="shared" si="5"/>
        <v>0</v>
      </c>
      <c r="M144" s="5">
        <f t="shared" si="5"/>
        <v>1761.9815668202764</v>
      </c>
      <c r="N144" s="5">
        <f t="shared" si="5"/>
        <v>1207.1428571428571</v>
      </c>
      <c r="O144" s="5">
        <f t="shared" si="5"/>
        <v>317.74193548387092</v>
      </c>
      <c r="P144" s="5">
        <f t="shared" si="5"/>
        <v>37.557603686635943</v>
      </c>
      <c r="Q144" s="5">
        <f t="shared" si="5"/>
        <v>147.46543778801845</v>
      </c>
      <c r="R144" s="5">
        <f t="shared" si="5"/>
        <v>23.963133640552996</v>
      </c>
      <c r="S144" s="5">
        <f t="shared" si="5"/>
        <v>100</v>
      </c>
      <c r="T144" s="5">
        <f t="shared" si="5"/>
        <v>9.4470046082949306</v>
      </c>
      <c r="U144" s="5">
        <f t="shared" si="5"/>
        <v>31.79723502304147</v>
      </c>
      <c r="V144" s="5">
        <f t="shared" si="5"/>
        <v>46.082949308755758</v>
      </c>
      <c r="W144" s="5">
        <f t="shared" si="5"/>
        <v>137.32718894009216</v>
      </c>
      <c r="X144" s="5">
        <f t="shared" si="5"/>
        <v>0</v>
      </c>
      <c r="Y144" s="5">
        <f t="shared" si="5"/>
        <v>750.9216589861752</v>
      </c>
      <c r="Z144" s="5">
        <f t="shared" si="5"/>
        <v>3996.3133640552992</v>
      </c>
      <c r="AA144" s="5">
        <f t="shared" si="5"/>
        <v>2438.4792626728108</v>
      </c>
      <c r="AB144" s="5">
        <f t="shared" si="5"/>
        <v>432.4884792626728</v>
      </c>
      <c r="AC144" s="5">
        <f t="shared" si="5"/>
        <v>12664.516129032258</v>
      </c>
      <c r="AD144" s="5">
        <f t="shared" si="5"/>
        <v>289.17050691244242</v>
      </c>
    </row>
    <row r="145" spans="6:30" s="5" customFormat="1" x14ac:dyDescent="0.25">
      <c r="F145" s="5">
        <v>37</v>
      </c>
      <c r="G145" s="5" t="s">
        <v>126</v>
      </c>
      <c r="H145" s="5">
        <f t="shared" si="3"/>
        <v>3955.6701030927834</v>
      </c>
      <c r="I145" s="5">
        <f t="shared" si="5"/>
        <v>171.47766323024055</v>
      </c>
      <c r="J145" s="5">
        <f t="shared" si="5"/>
        <v>0</v>
      </c>
      <c r="K145" s="5">
        <f t="shared" si="5"/>
        <v>198.96907216494844</v>
      </c>
      <c r="L145" s="5">
        <f t="shared" si="5"/>
        <v>0</v>
      </c>
      <c r="M145" s="5">
        <f t="shared" si="5"/>
        <v>2915.8075601374567</v>
      </c>
      <c r="N145" s="5">
        <f t="shared" si="5"/>
        <v>1548.4536082474226</v>
      </c>
      <c r="O145" s="5">
        <f t="shared" si="5"/>
        <v>473.88316151202747</v>
      </c>
      <c r="P145" s="5">
        <f t="shared" si="5"/>
        <v>86.597938144329902</v>
      </c>
      <c r="Q145" s="5">
        <f t="shared" si="5"/>
        <v>321.9931271477663</v>
      </c>
      <c r="R145" s="5">
        <f t="shared" si="5"/>
        <v>30.584192439862541</v>
      </c>
      <c r="S145" s="5">
        <f t="shared" ref="I145:AD157" si="6">S45/$D45</f>
        <v>117.18213058419244</v>
      </c>
      <c r="T145" s="5">
        <f t="shared" si="6"/>
        <v>20.618556701030926</v>
      </c>
      <c r="U145" s="5">
        <f t="shared" si="6"/>
        <v>28.178694158075597</v>
      </c>
      <c r="V145" s="5">
        <f t="shared" si="6"/>
        <v>54.982817869415811</v>
      </c>
      <c r="W145" s="5">
        <f t="shared" si="6"/>
        <v>317.5257731958763</v>
      </c>
      <c r="X145" s="5">
        <f t="shared" si="6"/>
        <v>0</v>
      </c>
      <c r="Y145" s="5">
        <f t="shared" si="6"/>
        <v>1093.8144329896907</v>
      </c>
      <c r="Z145" s="5">
        <f t="shared" si="6"/>
        <v>7395.1890034364251</v>
      </c>
      <c r="AA145" s="5">
        <f t="shared" si="6"/>
        <v>1274.2268041237112</v>
      </c>
      <c r="AB145" s="5">
        <f t="shared" si="6"/>
        <v>349.14089347079039</v>
      </c>
      <c r="AC145" s="5">
        <f t="shared" si="6"/>
        <v>4827.1477663230235</v>
      </c>
      <c r="AD145" s="5">
        <f t="shared" si="6"/>
        <v>318.21305841924396</v>
      </c>
    </row>
    <row r="146" spans="6:30" s="5" customFormat="1" x14ac:dyDescent="0.25">
      <c r="F146" s="5">
        <v>38</v>
      </c>
      <c r="G146" s="5" t="s">
        <v>126</v>
      </c>
      <c r="H146" s="5">
        <f t="shared" si="3"/>
        <v>3002.0872865275142</v>
      </c>
      <c r="I146" s="5">
        <f t="shared" si="6"/>
        <v>178.55787476280832</v>
      </c>
      <c r="J146" s="5">
        <f t="shared" si="6"/>
        <v>0</v>
      </c>
      <c r="K146" s="5">
        <f t="shared" si="6"/>
        <v>139.6584440227704</v>
      </c>
      <c r="L146" s="5">
        <f t="shared" si="6"/>
        <v>0</v>
      </c>
      <c r="M146" s="5">
        <f t="shared" si="6"/>
        <v>2361.6698292220112</v>
      </c>
      <c r="N146" s="5">
        <f t="shared" si="6"/>
        <v>938.70967741935476</v>
      </c>
      <c r="O146" s="5">
        <f t="shared" si="6"/>
        <v>196.58444022770396</v>
      </c>
      <c r="P146" s="5">
        <f t="shared" si="6"/>
        <v>27.324478178368118</v>
      </c>
      <c r="Q146" s="5">
        <f t="shared" si="6"/>
        <v>120.11385199240986</v>
      </c>
      <c r="R146" s="5">
        <f t="shared" si="6"/>
        <v>19.734345351043643</v>
      </c>
      <c r="S146" s="5">
        <f t="shared" si="6"/>
        <v>99.620493358633766</v>
      </c>
      <c r="T146" s="5">
        <f t="shared" si="6"/>
        <v>18.406072106261856</v>
      </c>
      <c r="U146" s="5">
        <f t="shared" si="6"/>
        <v>11.195445920303603</v>
      </c>
      <c r="V146" s="5">
        <f t="shared" si="6"/>
        <v>37.950664136622386</v>
      </c>
      <c r="W146" s="5">
        <f t="shared" si="6"/>
        <v>171.91650853889942</v>
      </c>
      <c r="X146" s="5">
        <f t="shared" si="6"/>
        <v>0</v>
      </c>
      <c r="Y146" s="5">
        <f t="shared" si="6"/>
        <v>1526.7552182163186</v>
      </c>
      <c r="Z146" s="5">
        <f t="shared" si="6"/>
        <v>12697.533206831118</v>
      </c>
      <c r="AA146" s="5">
        <f t="shared" si="6"/>
        <v>2945.5407969639464</v>
      </c>
      <c r="AB146" s="5">
        <f t="shared" si="6"/>
        <v>817.07779886148001</v>
      </c>
      <c r="AC146" s="5">
        <f t="shared" si="6"/>
        <v>19566.223908918408</v>
      </c>
      <c r="AD146" s="5">
        <f t="shared" si="6"/>
        <v>238.14041745730549</v>
      </c>
    </row>
    <row r="147" spans="6:30" s="5" customFormat="1" x14ac:dyDescent="0.25">
      <c r="F147" s="5">
        <v>39</v>
      </c>
      <c r="G147" s="5" t="s">
        <v>126</v>
      </c>
      <c r="H147" s="5">
        <f t="shared" si="3"/>
        <v>3313.9037433155086</v>
      </c>
      <c r="I147" s="5">
        <f t="shared" si="6"/>
        <v>45.45454545454546</v>
      </c>
      <c r="J147" s="5">
        <f t="shared" si="6"/>
        <v>0</v>
      </c>
      <c r="K147" s="5">
        <f t="shared" si="6"/>
        <v>340.90909090909093</v>
      </c>
      <c r="L147" s="5">
        <f t="shared" si="6"/>
        <v>0</v>
      </c>
      <c r="M147" s="5">
        <f t="shared" si="6"/>
        <v>543.31550802139043</v>
      </c>
      <c r="N147" s="5">
        <f t="shared" si="6"/>
        <v>1145.7219251336901</v>
      </c>
      <c r="O147" s="5">
        <f t="shared" si="6"/>
        <v>542.78074866310169</v>
      </c>
      <c r="P147" s="5">
        <f t="shared" si="6"/>
        <v>58.556149732620327</v>
      </c>
      <c r="Q147" s="5">
        <f t="shared" si="6"/>
        <v>267.64705882352945</v>
      </c>
      <c r="R147" s="5">
        <f t="shared" si="6"/>
        <v>35.561497326203217</v>
      </c>
      <c r="S147" s="5">
        <f t="shared" si="6"/>
        <v>278.34224598930484</v>
      </c>
      <c r="T147" s="5">
        <f t="shared" si="6"/>
        <v>16.042780748663102</v>
      </c>
      <c r="U147" s="5">
        <f t="shared" si="6"/>
        <v>28.074866310160431</v>
      </c>
      <c r="V147" s="5">
        <f t="shared" si="6"/>
        <v>53.475935828877013</v>
      </c>
      <c r="W147" s="5">
        <f t="shared" si="6"/>
        <v>141.1764705882353</v>
      </c>
      <c r="X147" s="5">
        <f t="shared" si="6"/>
        <v>0</v>
      </c>
      <c r="Y147" s="5">
        <f t="shared" si="6"/>
        <v>543.31550802139043</v>
      </c>
      <c r="Z147" s="5">
        <f t="shared" si="6"/>
        <v>3454.5454545454545</v>
      </c>
      <c r="AA147" s="5">
        <f t="shared" si="6"/>
        <v>1017.379679144385</v>
      </c>
      <c r="AB147" s="5">
        <f t="shared" si="6"/>
        <v>157.48663101604279</v>
      </c>
      <c r="AC147" s="5">
        <f t="shared" si="6"/>
        <v>7836.898395721927</v>
      </c>
      <c r="AD147" s="5">
        <f t="shared" si="6"/>
        <v>464.97326203208564</v>
      </c>
    </row>
    <row r="148" spans="6:30" s="5" customFormat="1" x14ac:dyDescent="0.25">
      <c r="F148" s="5">
        <v>40</v>
      </c>
      <c r="G148" s="5" t="s">
        <v>126</v>
      </c>
      <c r="H148" s="5">
        <f t="shared" si="3"/>
        <v>5137.410071942445</v>
      </c>
      <c r="I148" s="5">
        <f t="shared" si="6"/>
        <v>4798.9208633093522</v>
      </c>
      <c r="J148" s="5">
        <f t="shared" si="6"/>
        <v>0</v>
      </c>
      <c r="K148" s="5">
        <f t="shared" si="6"/>
        <v>320.14388489208631</v>
      </c>
      <c r="L148" s="5">
        <f t="shared" si="6"/>
        <v>438.48920863309348</v>
      </c>
      <c r="M148" s="5">
        <f t="shared" si="6"/>
        <v>8006.8345323741005</v>
      </c>
      <c r="N148" s="5">
        <f t="shared" si="6"/>
        <v>2930.2158273381292</v>
      </c>
      <c r="O148" s="5">
        <f t="shared" si="6"/>
        <v>496.04316546762584</v>
      </c>
      <c r="P148" s="5">
        <f t="shared" si="6"/>
        <v>78.776978417266179</v>
      </c>
      <c r="Q148" s="5">
        <f t="shared" si="6"/>
        <v>859.35251798561148</v>
      </c>
      <c r="R148" s="5">
        <f t="shared" si="6"/>
        <v>108.99280575539566</v>
      </c>
      <c r="S148" s="5">
        <f t="shared" si="6"/>
        <v>166.90647482014387</v>
      </c>
      <c r="T148" s="5">
        <f t="shared" si="6"/>
        <v>48.201438848920866</v>
      </c>
      <c r="U148" s="5">
        <f t="shared" si="6"/>
        <v>45.68345323741007</v>
      </c>
      <c r="V148" s="5">
        <f t="shared" si="6"/>
        <v>122.30215827338128</v>
      </c>
      <c r="W148" s="5">
        <f t="shared" si="6"/>
        <v>1229.1366906474821</v>
      </c>
      <c r="X148" s="5">
        <f t="shared" si="6"/>
        <v>0</v>
      </c>
      <c r="Y148" s="5">
        <f t="shared" si="6"/>
        <v>9622.30215827338</v>
      </c>
      <c r="Z148" s="5">
        <f t="shared" si="6"/>
        <v>82976.978417266189</v>
      </c>
      <c r="AA148" s="5">
        <f t="shared" si="6"/>
        <v>9534.5323741007196</v>
      </c>
      <c r="AB148" s="5">
        <f t="shared" si="6"/>
        <v>4037.0503597122301</v>
      </c>
      <c r="AC148" s="5">
        <f t="shared" si="6"/>
        <v>26255.755395683449</v>
      </c>
      <c r="AD148" s="5">
        <f t="shared" si="6"/>
        <v>683.09352517985599</v>
      </c>
    </row>
    <row r="149" spans="6:30" s="5" customFormat="1" x14ac:dyDescent="0.25">
      <c r="F149" s="5">
        <v>41</v>
      </c>
      <c r="G149" s="5" t="s">
        <v>126</v>
      </c>
      <c r="H149" s="5">
        <f t="shared" si="3"/>
        <v>8056.5714285714284</v>
      </c>
      <c r="I149" s="5">
        <f t="shared" si="6"/>
        <v>500.5714285714285</v>
      </c>
      <c r="J149" s="5">
        <f t="shared" si="6"/>
        <v>366.85714285714283</v>
      </c>
      <c r="K149" s="5">
        <f t="shared" si="6"/>
        <v>273.71428571428567</v>
      </c>
      <c r="L149" s="5">
        <f t="shared" si="6"/>
        <v>0</v>
      </c>
      <c r="M149" s="5">
        <f t="shared" si="6"/>
        <v>3293.7142857142853</v>
      </c>
      <c r="N149" s="5">
        <f t="shared" si="6"/>
        <v>1933.9999999999998</v>
      </c>
      <c r="O149" s="5">
        <f t="shared" si="6"/>
        <v>295.99999999999994</v>
      </c>
      <c r="P149" s="5">
        <f t="shared" si="6"/>
        <v>62.571428571428562</v>
      </c>
      <c r="Q149" s="5">
        <f t="shared" si="6"/>
        <v>249.14285714285714</v>
      </c>
      <c r="R149" s="5">
        <f t="shared" si="6"/>
        <v>29.714285714285712</v>
      </c>
      <c r="S149" s="5">
        <f t="shared" si="6"/>
        <v>149.99999999999997</v>
      </c>
      <c r="T149" s="5">
        <f t="shared" si="6"/>
        <v>22.571428571428569</v>
      </c>
      <c r="U149" s="5">
        <f t="shared" si="6"/>
        <v>26.857142857142854</v>
      </c>
      <c r="V149" s="5">
        <f t="shared" si="6"/>
        <v>57.142857142857139</v>
      </c>
      <c r="W149" s="5">
        <f t="shared" si="6"/>
        <v>320.57142857142856</v>
      </c>
      <c r="X149" s="5">
        <f t="shared" si="6"/>
        <v>127.14285714285714</v>
      </c>
      <c r="Y149" s="5">
        <f t="shared" si="6"/>
        <v>842.28571428571422</v>
      </c>
      <c r="Z149" s="5">
        <f t="shared" si="6"/>
        <v>7844.8571428571422</v>
      </c>
      <c r="AA149" s="5">
        <f t="shared" si="6"/>
        <v>2329.9999999999995</v>
      </c>
      <c r="AB149" s="5">
        <f t="shared" si="6"/>
        <v>453.71428571428567</v>
      </c>
      <c r="AC149" s="5">
        <f t="shared" si="6"/>
        <v>15697.999999999996</v>
      </c>
      <c r="AD149" s="5">
        <f t="shared" si="6"/>
        <v>358.57142857142856</v>
      </c>
    </row>
    <row r="150" spans="6:30" s="5" customFormat="1" x14ac:dyDescent="0.25">
      <c r="F150" s="5">
        <v>42</v>
      </c>
      <c r="G150" s="5" t="s">
        <v>126</v>
      </c>
      <c r="H150" s="5">
        <f t="shared" si="3"/>
        <v>7085.3658536585381</v>
      </c>
      <c r="I150" s="5">
        <f t="shared" si="6"/>
        <v>242.98780487804879</v>
      </c>
      <c r="J150" s="5">
        <f t="shared" si="6"/>
        <v>0</v>
      </c>
      <c r="K150" s="5">
        <f t="shared" si="6"/>
        <v>276.52439024390247</v>
      </c>
      <c r="L150" s="5">
        <f t="shared" si="6"/>
        <v>122.86585365853661</v>
      </c>
      <c r="M150" s="5">
        <f t="shared" si="6"/>
        <v>1812.5000000000002</v>
      </c>
      <c r="N150" s="5">
        <f t="shared" si="6"/>
        <v>2593.5975609756097</v>
      </c>
      <c r="O150" s="5">
        <f t="shared" si="6"/>
        <v>570.1219512195122</v>
      </c>
      <c r="P150" s="5">
        <f t="shared" si="6"/>
        <v>101.21951219512196</v>
      </c>
      <c r="Q150" s="5">
        <f t="shared" si="6"/>
        <v>221.95121951219517</v>
      </c>
      <c r="R150" s="5">
        <f t="shared" si="6"/>
        <v>40.548780487804883</v>
      </c>
      <c r="S150" s="5">
        <f t="shared" si="6"/>
        <v>178.04878048780489</v>
      </c>
      <c r="T150" s="5">
        <f t="shared" si="6"/>
        <v>35.365853658536587</v>
      </c>
      <c r="U150" s="5">
        <f t="shared" si="6"/>
        <v>38.719512195121958</v>
      </c>
      <c r="V150" s="5">
        <f t="shared" si="6"/>
        <v>85.670731707317088</v>
      </c>
      <c r="W150" s="5">
        <f t="shared" si="6"/>
        <v>379.87804878048786</v>
      </c>
      <c r="X150" s="5">
        <f t="shared" si="6"/>
        <v>307.31707317073176</v>
      </c>
      <c r="Y150" s="5">
        <f t="shared" si="6"/>
        <v>1153.6585365853662</v>
      </c>
      <c r="Z150" s="5">
        <f t="shared" si="6"/>
        <v>8258.8414634146357</v>
      </c>
      <c r="AA150" s="5">
        <f t="shared" si="6"/>
        <v>1747.2560975609758</v>
      </c>
      <c r="AB150" s="5">
        <f t="shared" si="6"/>
        <v>257.01219512195127</v>
      </c>
      <c r="AC150" s="5">
        <f t="shared" si="6"/>
        <v>11875.609756097561</v>
      </c>
      <c r="AD150" s="5">
        <f t="shared" si="6"/>
        <v>432.01219512195127</v>
      </c>
    </row>
    <row r="151" spans="6:30" s="5" customFormat="1" x14ac:dyDescent="0.25">
      <c r="F151" s="5">
        <v>43</v>
      </c>
      <c r="G151" s="5" t="s">
        <v>126</v>
      </c>
      <c r="H151" s="5">
        <f t="shared" si="3"/>
        <v>9602.9154518950436</v>
      </c>
      <c r="I151" s="5">
        <f t="shared" si="6"/>
        <v>453.35276967930037</v>
      </c>
      <c r="J151" s="5">
        <f t="shared" si="6"/>
        <v>0</v>
      </c>
      <c r="K151" s="5">
        <f t="shared" si="6"/>
        <v>284.25655976676387</v>
      </c>
      <c r="L151" s="5">
        <f t="shared" si="6"/>
        <v>234.11078717201167</v>
      </c>
      <c r="M151" s="5">
        <f t="shared" si="6"/>
        <v>5891.8367346938785</v>
      </c>
      <c r="N151" s="5">
        <f t="shared" si="6"/>
        <v>2543.4402332361515</v>
      </c>
      <c r="O151" s="5">
        <f t="shared" si="6"/>
        <v>352.47813411078721</v>
      </c>
      <c r="P151" s="5">
        <f t="shared" si="6"/>
        <v>92.711370262390687</v>
      </c>
      <c r="Q151" s="5">
        <f t="shared" si="6"/>
        <v>260.05830903790087</v>
      </c>
      <c r="R151" s="5">
        <f t="shared" si="6"/>
        <v>42.857142857142861</v>
      </c>
      <c r="S151" s="5">
        <f t="shared" si="6"/>
        <v>187.46355685131195</v>
      </c>
      <c r="T151" s="5">
        <f t="shared" si="6"/>
        <v>23.032069970845484</v>
      </c>
      <c r="U151" s="5">
        <f t="shared" si="6"/>
        <v>61.807580174927125</v>
      </c>
      <c r="V151" s="5">
        <f t="shared" si="6"/>
        <v>99.125364431486886</v>
      </c>
      <c r="W151" s="5">
        <f t="shared" si="6"/>
        <v>478.71720116618087</v>
      </c>
      <c r="X151" s="5">
        <f t="shared" si="6"/>
        <v>309.03790087463557</v>
      </c>
      <c r="Y151" s="5">
        <f t="shared" si="6"/>
        <v>893.87755102040819</v>
      </c>
      <c r="Z151" s="5">
        <f t="shared" si="6"/>
        <v>13543.731778425657</v>
      </c>
      <c r="AA151" s="5">
        <f t="shared" si="6"/>
        <v>2996.7930029154522</v>
      </c>
      <c r="AB151" s="5">
        <f t="shared" si="6"/>
        <v>815.45189504373184</v>
      </c>
      <c r="AC151" s="5">
        <f t="shared" si="6"/>
        <v>19718.36734693878</v>
      </c>
      <c r="AD151" s="5">
        <f t="shared" si="6"/>
        <v>341.98250728862979</v>
      </c>
    </row>
    <row r="152" spans="6:30" s="5" customFormat="1" x14ac:dyDescent="0.25">
      <c r="F152" s="5">
        <v>44</v>
      </c>
      <c r="G152" s="5" t="s">
        <v>126</v>
      </c>
      <c r="H152" s="5">
        <f t="shared" si="3"/>
        <v>10871.578947368422</v>
      </c>
      <c r="I152" s="5">
        <f t="shared" si="6"/>
        <v>838.9473684210526</v>
      </c>
      <c r="J152" s="5">
        <f t="shared" si="6"/>
        <v>0</v>
      </c>
      <c r="K152" s="5">
        <f t="shared" si="6"/>
        <v>792.63157894736844</v>
      </c>
      <c r="L152" s="5">
        <f t="shared" si="6"/>
        <v>498.94736842105266</v>
      </c>
      <c r="M152" s="5">
        <f t="shared" si="6"/>
        <v>9729.4736842105267</v>
      </c>
      <c r="N152" s="5">
        <f t="shared" si="6"/>
        <v>7430.5263157894742</v>
      </c>
      <c r="O152" s="5">
        <f t="shared" si="6"/>
        <v>1451.578947368421</v>
      </c>
      <c r="P152" s="5">
        <f t="shared" si="6"/>
        <v>349.4736842105263</v>
      </c>
      <c r="Q152" s="5">
        <f t="shared" si="6"/>
        <v>1134.7368421052631</v>
      </c>
      <c r="R152" s="5">
        <f t="shared" si="6"/>
        <v>140</v>
      </c>
      <c r="S152" s="5">
        <f t="shared" si="6"/>
        <v>552.63157894736844</v>
      </c>
      <c r="T152" s="5">
        <f t="shared" si="6"/>
        <v>83.15789473684211</v>
      </c>
      <c r="U152" s="5">
        <f t="shared" si="6"/>
        <v>145.26315789473682</v>
      </c>
      <c r="V152" s="5">
        <f t="shared" si="6"/>
        <v>210.5263157894737</v>
      </c>
      <c r="W152" s="5">
        <f t="shared" si="6"/>
        <v>1255.7894736842106</v>
      </c>
      <c r="X152" s="5">
        <f t="shared" si="6"/>
        <v>468.42105263157896</v>
      </c>
      <c r="Y152" s="5">
        <f t="shared" si="6"/>
        <v>3186.3157894736842</v>
      </c>
      <c r="Z152" s="5">
        <f t="shared" si="6"/>
        <v>28514.736842105263</v>
      </c>
      <c r="AA152" s="5">
        <f t="shared" si="6"/>
        <v>8868.4210526315783</v>
      </c>
      <c r="AB152" s="5">
        <f t="shared" si="6"/>
        <v>2088.4210526315792</v>
      </c>
      <c r="AC152" s="5">
        <f t="shared" si="6"/>
        <v>46858.947368421053</v>
      </c>
      <c r="AD152" s="5">
        <f t="shared" si="6"/>
        <v>1662.1052631578948</v>
      </c>
    </row>
    <row r="153" spans="6:30" s="5" customFormat="1" x14ac:dyDescent="0.25">
      <c r="F153" s="5">
        <v>45</v>
      </c>
      <c r="G153" s="5" t="s">
        <v>126</v>
      </c>
      <c r="H153" s="5">
        <f t="shared" si="3"/>
        <v>3113.1367292225204</v>
      </c>
      <c r="I153" s="5">
        <f t="shared" si="6"/>
        <v>326.80965147453082</v>
      </c>
      <c r="J153" s="5">
        <f t="shared" si="6"/>
        <v>0</v>
      </c>
      <c r="K153" s="5">
        <f t="shared" si="6"/>
        <v>238.60589812332441</v>
      </c>
      <c r="L153" s="5">
        <f t="shared" si="6"/>
        <v>295.97855227882036</v>
      </c>
      <c r="M153" s="5">
        <f t="shared" si="6"/>
        <v>1872.9222520107239</v>
      </c>
      <c r="N153" s="5">
        <f t="shared" si="6"/>
        <v>2280.6970509383377</v>
      </c>
      <c r="O153" s="5">
        <f t="shared" si="6"/>
        <v>544.23592493297588</v>
      </c>
      <c r="P153" s="5">
        <f t="shared" si="6"/>
        <v>77.747989276139407</v>
      </c>
      <c r="Q153" s="5">
        <f t="shared" si="6"/>
        <v>302.41286863270778</v>
      </c>
      <c r="R153" s="5">
        <f t="shared" si="6"/>
        <v>27.882037533512065</v>
      </c>
      <c r="S153" s="5">
        <f t="shared" si="6"/>
        <v>148.5254691689008</v>
      </c>
      <c r="T153" s="5">
        <f t="shared" si="6"/>
        <v>35.924932975871315</v>
      </c>
      <c r="U153" s="5">
        <f t="shared" si="6"/>
        <v>56.836461126005368</v>
      </c>
      <c r="V153" s="5">
        <f t="shared" si="6"/>
        <v>96.514745308310992</v>
      </c>
      <c r="W153" s="5">
        <f t="shared" si="6"/>
        <v>343.43163538873995</v>
      </c>
      <c r="X153" s="5">
        <f t="shared" si="6"/>
        <v>0</v>
      </c>
      <c r="Y153" s="5">
        <f t="shared" si="6"/>
        <v>1262.1983914209115</v>
      </c>
      <c r="Z153" s="5">
        <f t="shared" si="6"/>
        <v>8302.4128686327076</v>
      </c>
      <c r="AA153" s="5">
        <f t="shared" si="6"/>
        <v>2469.9731903485253</v>
      </c>
      <c r="AB153" s="5">
        <f t="shared" si="6"/>
        <v>356.03217158176943</v>
      </c>
      <c r="AC153" s="5">
        <f t="shared" si="6"/>
        <v>12780.160857908846</v>
      </c>
      <c r="AD153" s="5">
        <f t="shared" si="6"/>
        <v>466.21983914209119</v>
      </c>
    </row>
    <row r="154" spans="6:30" s="5" customFormat="1" x14ac:dyDescent="0.25">
      <c r="F154" s="5">
        <v>46</v>
      </c>
      <c r="G154" s="5" t="s">
        <v>172</v>
      </c>
      <c r="H154" s="5">
        <f t="shared" si="3"/>
        <v>4307.1942446043158</v>
      </c>
      <c r="I154" s="5">
        <f t="shared" si="6"/>
        <v>413.66906474820144</v>
      </c>
      <c r="J154" s="5">
        <f t="shared" si="6"/>
        <v>0</v>
      </c>
      <c r="K154" s="5">
        <f t="shared" si="6"/>
        <v>283.0935251798561</v>
      </c>
      <c r="L154" s="5">
        <f t="shared" si="6"/>
        <v>310.79136690647482</v>
      </c>
      <c r="M154" s="5">
        <f t="shared" si="6"/>
        <v>3298.9208633093522</v>
      </c>
      <c r="N154" s="5">
        <f t="shared" si="6"/>
        <v>2852.1582733812952</v>
      </c>
      <c r="O154" s="5">
        <f t="shared" si="6"/>
        <v>243.16546762589925</v>
      </c>
      <c r="P154" s="5">
        <f t="shared" si="6"/>
        <v>61.870503597122294</v>
      </c>
      <c r="Q154" s="5">
        <f t="shared" si="6"/>
        <v>323.02158273381292</v>
      </c>
      <c r="R154" s="5">
        <f t="shared" si="6"/>
        <v>47.841726618705039</v>
      </c>
      <c r="S154" s="5">
        <f t="shared" si="6"/>
        <v>111.15107913669064</v>
      </c>
      <c r="T154" s="5">
        <f t="shared" si="6"/>
        <v>61.510791366906467</v>
      </c>
      <c r="U154" s="5">
        <f t="shared" si="6"/>
        <v>53.597122302158269</v>
      </c>
      <c r="V154" s="5">
        <f t="shared" si="6"/>
        <v>122.30215827338128</v>
      </c>
      <c r="W154" s="5">
        <f t="shared" si="6"/>
        <v>791.3669064748201</v>
      </c>
      <c r="X154" s="5">
        <f t="shared" si="6"/>
        <v>0</v>
      </c>
      <c r="Y154" s="5">
        <f t="shared" si="6"/>
        <v>1606.1151079136689</v>
      </c>
      <c r="Z154" s="5">
        <f t="shared" si="6"/>
        <v>11260.431654676258</v>
      </c>
      <c r="AA154" s="5">
        <f t="shared" si="6"/>
        <v>5024.4604316546765</v>
      </c>
      <c r="AB154" s="5">
        <f t="shared" si="6"/>
        <v>847.84172661870502</v>
      </c>
      <c r="AC154" s="5">
        <f t="shared" si="6"/>
        <v>24815.107913669064</v>
      </c>
      <c r="AD154" s="5">
        <f t="shared" si="6"/>
        <v>567.98561151079127</v>
      </c>
    </row>
    <row r="155" spans="6:30" s="5" customFormat="1" x14ac:dyDescent="0.25">
      <c r="F155" s="5">
        <v>47</v>
      </c>
      <c r="G155" s="5" t="s">
        <v>172</v>
      </c>
      <c r="H155" s="5">
        <f t="shared" ref="H155:W188" si="7">H55/$D55</f>
        <v>7241.3943355119827</v>
      </c>
      <c r="I155" s="5">
        <f t="shared" si="7"/>
        <v>205.01089324618738</v>
      </c>
      <c r="J155" s="5">
        <f t="shared" si="7"/>
        <v>207.62527233115469</v>
      </c>
      <c r="K155" s="5">
        <f t="shared" si="7"/>
        <v>266.88453159041399</v>
      </c>
      <c r="L155" s="5">
        <f t="shared" si="7"/>
        <v>302.39651416122007</v>
      </c>
      <c r="M155" s="5">
        <f t="shared" si="7"/>
        <v>2403.2679738562092</v>
      </c>
      <c r="N155" s="5">
        <f t="shared" si="7"/>
        <v>2184.0958605664491</v>
      </c>
      <c r="O155" s="5">
        <f t="shared" si="7"/>
        <v>372.33115468409591</v>
      </c>
      <c r="P155" s="5">
        <f t="shared" si="7"/>
        <v>68.191721132897612</v>
      </c>
      <c r="Q155" s="5">
        <f t="shared" si="7"/>
        <v>178.64923747276688</v>
      </c>
      <c r="R155" s="5">
        <f t="shared" si="7"/>
        <v>47.712418300653596</v>
      </c>
      <c r="S155" s="5">
        <f t="shared" si="7"/>
        <v>114.37908496732027</v>
      </c>
      <c r="T155" s="5">
        <f t="shared" si="7"/>
        <v>29.19389978213508</v>
      </c>
      <c r="U155" s="5">
        <f t="shared" si="7"/>
        <v>50.76252723311547</v>
      </c>
      <c r="V155" s="5">
        <f t="shared" si="7"/>
        <v>52.50544662309369</v>
      </c>
      <c r="W155" s="5">
        <f t="shared" si="7"/>
        <v>377.99564270152513</v>
      </c>
      <c r="X155" s="5">
        <f t="shared" si="6"/>
        <v>208.06100217864926</v>
      </c>
      <c r="Y155" s="5">
        <f t="shared" si="6"/>
        <v>776.03485838779955</v>
      </c>
      <c r="Z155" s="5">
        <f t="shared" si="6"/>
        <v>6746.840958605665</v>
      </c>
      <c r="AA155" s="5">
        <f t="shared" si="6"/>
        <v>2996.7320261437912</v>
      </c>
      <c r="AB155" s="5">
        <f t="shared" si="6"/>
        <v>496.07843137254906</v>
      </c>
      <c r="AC155" s="5">
        <f t="shared" si="6"/>
        <v>21216.557734204795</v>
      </c>
      <c r="AD155" s="5">
        <f t="shared" si="6"/>
        <v>413.72549019607845</v>
      </c>
    </row>
    <row r="156" spans="6:30" s="5" customFormat="1" x14ac:dyDescent="0.25">
      <c r="F156" s="5">
        <v>48</v>
      </c>
      <c r="G156" s="5" t="s">
        <v>172</v>
      </c>
      <c r="H156" s="5">
        <f t="shared" si="7"/>
        <v>4790.5</v>
      </c>
      <c r="I156" s="5">
        <f t="shared" si="6"/>
        <v>170</v>
      </c>
      <c r="J156" s="5">
        <f t="shared" si="6"/>
        <v>0</v>
      </c>
      <c r="K156" s="5">
        <f t="shared" si="6"/>
        <v>271.5</v>
      </c>
      <c r="L156" s="5">
        <f t="shared" si="6"/>
        <v>0</v>
      </c>
      <c r="M156" s="5">
        <f t="shared" si="6"/>
        <v>1627</v>
      </c>
      <c r="N156" s="5">
        <f t="shared" si="6"/>
        <v>2766</v>
      </c>
      <c r="O156" s="5">
        <f t="shared" si="6"/>
        <v>772.5</v>
      </c>
      <c r="P156" s="5">
        <f t="shared" si="6"/>
        <v>147</v>
      </c>
      <c r="Q156" s="5">
        <f t="shared" si="6"/>
        <v>261.5</v>
      </c>
      <c r="R156" s="5">
        <f t="shared" si="6"/>
        <v>22</v>
      </c>
      <c r="S156" s="5">
        <f t="shared" si="6"/>
        <v>186</v>
      </c>
      <c r="T156" s="5">
        <f t="shared" si="6"/>
        <v>48.5</v>
      </c>
      <c r="U156" s="5">
        <f t="shared" si="6"/>
        <v>52.5</v>
      </c>
      <c r="V156" s="5">
        <f t="shared" si="6"/>
        <v>160</v>
      </c>
      <c r="W156" s="5">
        <f t="shared" si="6"/>
        <v>411.5</v>
      </c>
      <c r="X156" s="5">
        <f t="shared" si="6"/>
        <v>0</v>
      </c>
      <c r="Y156" s="5">
        <f t="shared" si="6"/>
        <v>1189</v>
      </c>
      <c r="Z156" s="5">
        <f t="shared" si="6"/>
        <v>493.49999999999994</v>
      </c>
      <c r="AA156" s="5">
        <f t="shared" si="6"/>
        <v>1951.0000000000002</v>
      </c>
      <c r="AB156" s="5">
        <f t="shared" si="6"/>
        <v>287.5</v>
      </c>
      <c r="AC156" s="5">
        <f t="shared" si="6"/>
        <v>9240.5</v>
      </c>
      <c r="AD156" s="5">
        <f t="shared" si="6"/>
        <v>627.5</v>
      </c>
    </row>
    <row r="157" spans="6:30" s="5" customFormat="1" x14ac:dyDescent="0.25">
      <c r="F157" s="5">
        <v>49</v>
      </c>
      <c r="G157" s="5" t="s">
        <v>172</v>
      </c>
      <c r="H157" s="5">
        <f t="shared" si="7"/>
        <v>2590.3448275862074</v>
      </c>
      <c r="I157" s="5">
        <f t="shared" si="6"/>
        <v>248.5057471264368</v>
      </c>
      <c r="J157" s="5">
        <f t="shared" si="6"/>
        <v>0</v>
      </c>
      <c r="K157" s="5">
        <f t="shared" si="6"/>
        <v>173.10344827586209</v>
      </c>
      <c r="L157" s="5">
        <f t="shared" si="6"/>
        <v>0</v>
      </c>
      <c r="M157" s="5">
        <f t="shared" si="6"/>
        <v>1673.5632183908046</v>
      </c>
      <c r="N157" s="5">
        <f t="shared" si="6"/>
        <v>1103.4482758620691</v>
      </c>
      <c r="O157" s="5">
        <f t="shared" si="6"/>
        <v>238.16091954022988</v>
      </c>
      <c r="P157" s="5">
        <f t="shared" si="6"/>
        <v>47.126436781609193</v>
      </c>
      <c r="Q157" s="5">
        <f t="shared" si="6"/>
        <v>118.62068965517243</v>
      </c>
      <c r="R157" s="5">
        <f t="shared" si="6"/>
        <v>17.011494252873565</v>
      </c>
      <c r="S157" s="5">
        <f t="shared" si="6"/>
        <v>63.678160919540232</v>
      </c>
      <c r="T157" s="5">
        <f t="shared" si="6"/>
        <v>22.298850574712645</v>
      </c>
      <c r="U157" s="5">
        <f t="shared" si="6"/>
        <v>24.137931034482762</v>
      </c>
      <c r="V157" s="5">
        <f t="shared" si="6"/>
        <v>27.356321839080461</v>
      </c>
      <c r="W157" s="5">
        <f t="shared" si="6"/>
        <v>243.67816091954023</v>
      </c>
      <c r="X157" s="5">
        <f t="shared" si="6"/>
        <v>0</v>
      </c>
      <c r="Y157" s="5">
        <f t="shared" ref="I157:AD169" si="8">Y57/$D57</f>
        <v>895.17241379310349</v>
      </c>
      <c r="Z157" s="5">
        <f t="shared" si="8"/>
        <v>5427.8160919540232</v>
      </c>
      <c r="AA157" s="5">
        <f t="shared" si="8"/>
        <v>1204.3678160919542</v>
      </c>
      <c r="AB157" s="5">
        <f t="shared" si="8"/>
        <v>225.74712643678163</v>
      </c>
      <c r="AC157" s="5">
        <f t="shared" si="8"/>
        <v>5749.1954022988511</v>
      </c>
      <c r="AD157" s="5">
        <f t="shared" si="8"/>
        <v>174.48275862068965</v>
      </c>
    </row>
    <row r="158" spans="6:30" s="5" customFormat="1" x14ac:dyDescent="0.25">
      <c r="F158" s="5">
        <v>50</v>
      </c>
      <c r="G158" s="5" t="s">
        <v>172</v>
      </c>
      <c r="H158" s="5">
        <f t="shared" si="7"/>
        <v>3997.421203438395</v>
      </c>
      <c r="I158" s="5">
        <f t="shared" si="8"/>
        <v>142.97994269340975</v>
      </c>
      <c r="J158" s="5">
        <f t="shared" si="8"/>
        <v>0</v>
      </c>
      <c r="K158" s="5">
        <f t="shared" si="8"/>
        <v>98.567335243553003</v>
      </c>
      <c r="L158" s="5">
        <f t="shared" si="8"/>
        <v>0</v>
      </c>
      <c r="M158" s="5">
        <f t="shared" si="8"/>
        <v>2096.5616045845272</v>
      </c>
      <c r="N158" s="5">
        <f t="shared" si="8"/>
        <v>1291.1174785100286</v>
      </c>
      <c r="O158" s="5">
        <f t="shared" si="8"/>
        <v>193.69627507163324</v>
      </c>
      <c r="P158" s="5">
        <f t="shared" si="8"/>
        <v>38.681948424068771</v>
      </c>
      <c r="Q158" s="5">
        <f t="shared" si="8"/>
        <v>83.667621776504291</v>
      </c>
      <c r="R158" s="5">
        <f t="shared" si="8"/>
        <v>21.203438395415471</v>
      </c>
      <c r="S158" s="5">
        <f t="shared" si="8"/>
        <v>20.916905444126073</v>
      </c>
      <c r="T158" s="5">
        <f t="shared" si="8"/>
        <v>22.636103151862464</v>
      </c>
      <c r="U158" s="5">
        <f t="shared" si="8"/>
        <v>13.467048710601718</v>
      </c>
      <c r="V158" s="5">
        <f t="shared" si="8"/>
        <v>51.575931232091691</v>
      </c>
      <c r="W158" s="5">
        <f t="shared" si="8"/>
        <v>259.59885386819485</v>
      </c>
      <c r="X158" s="5">
        <f t="shared" si="8"/>
        <v>0</v>
      </c>
      <c r="Y158" s="5">
        <f t="shared" si="8"/>
        <v>504.58452722063038</v>
      </c>
      <c r="Z158" s="5">
        <f t="shared" si="8"/>
        <v>4044.9856733524352</v>
      </c>
      <c r="AA158" s="5">
        <f t="shared" si="8"/>
        <v>1595.702005730659</v>
      </c>
      <c r="AB158" s="5">
        <f t="shared" si="8"/>
        <v>220.63037249283667</v>
      </c>
      <c r="AC158" s="5">
        <f t="shared" si="8"/>
        <v>8908.3094555873922</v>
      </c>
      <c r="AD158" s="5">
        <f t="shared" si="8"/>
        <v>265.32951289398278</v>
      </c>
    </row>
    <row r="159" spans="6:30" s="5" customFormat="1" x14ac:dyDescent="0.25">
      <c r="F159" s="5">
        <v>51</v>
      </c>
      <c r="G159" s="5" t="s">
        <v>172</v>
      </c>
      <c r="H159" s="5">
        <f t="shared" si="7"/>
        <v>4674.7440273037546</v>
      </c>
      <c r="I159" s="5">
        <f t="shared" si="8"/>
        <v>686.00682593856664</v>
      </c>
      <c r="J159" s="5">
        <f t="shared" si="8"/>
        <v>0</v>
      </c>
      <c r="K159" s="5">
        <f t="shared" si="8"/>
        <v>221.50170648464166</v>
      </c>
      <c r="L159" s="5">
        <f t="shared" si="8"/>
        <v>0</v>
      </c>
      <c r="M159" s="5">
        <f t="shared" si="8"/>
        <v>3740.6143344709894</v>
      </c>
      <c r="N159" s="5">
        <f t="shared" si="8"/>
        <v>1863.1399317406144</v>
      </c>
      <c r="O159" s="5">
        <f t="shared" si="8"/>
        <v>470.6484641638225</v>
      </c>
      <c r="P159" s="5">
        <f t="shared" si="8"/>
        <v>60.409556313993178</v>
      </c>
      <c r="Q159" s="5">
        <f t="shared" si="8"/>
        <v>288.73720136518773</v>
      </c>
      <c r="R159" s="5">
        <f t="shared" si="8"/>
        <v>74.744027303754265</v>
      </c>
      <c r="S159" s="5">
        <f t="shared" si="8"/>
        <v>72.354948805460751</v>
      </c>
      <c r="T159" s="5">
        <f t="shared" si="8"/>
        <v>26.962457337883961</v>
      </c>
      <c r="U159" s="5">
        <f t="shared" si="8"/>
        <v>27.986348122866893</v>
      </c>
      <c r="V159" s="5">
        <f t="shared" si="8"/>
        <v>75.426621160409553</v>
      </c>
      <c r="W159" s="5">
        <f t="shared" si="8"/>
        <v>407.16723549488052</v>
      </c>
      <c r="X159" s="5">
        <f t="shared" si="8"/>
        <v>0</v>
      </c>
      <c r="Y159" s="5">
        <f t="shared" si="8"/>
        <v>2817.0648464163824</v>
      </c>
      <c r="Z159" s="5">
        <f t="shared" si="8"/>
        <v>14582.252559726963</v>
      </c>
      <c r="AA159" s="5">
        <f t="shared" si="8"/>
        <v>6499.6587030716728</v>
      </c>
      <c r="AB159" s="5">
        <f t="shared" si="8"/>
        <v>1158.3617747440273</v>
      </c>
      <c r="AC159" s="5">
        <f t="shared" si="8"/>
        <v>10250.85324232082</v>
      </c>
      <c r="AD159" s="5">
        <f t="shared" si="8"/>
        <v>316.0409556313993</v>
      </c>
    </row>
    <row r="160" spans="6:30" s="5" customFormat="1" x14ac:dyDescent="0.25">
      <c r="F160" s="5">
        <v>52</v>
      </c>
      <c r="G160" s="5" t="s">
        <v>172</v>
      </c>
      <c r="H160" s="5">
        <f t="shared" si="7"/>
        <v>4237.0558375634519</v>
      </c>
      <c r="I160" s="5">
        <f t="shared" si="8"/>
        <v>43.147208121827411</v>
      </c>
      <c r="J160" s="5">
        <f t="shared" si="8"/>
        <v>0</v>
      </c>
      <c r="K160" s="5">
        <f t="shared" si="8"/>
        <v>110.65989847715737</v>
      </c>
      <c r="L160" s="5">
        <f t="shared" si="8"/>
        <v>0</v>
      </c>
      <c r="M160" s="5">
        <f t="shared" si="8"/>
        <v>1866.4974619289344</v>
      </c>
      <c r="N160" s="5">
        <f t="shared" si="8"/>
        <v>1478.1725888324875</v>
      </c>
      <c r="O160" s="5">
        <f t="shared" si="8"/>
        <v>262.9441624365482</v>
      </c>
      <c r="P160" s="5">
        <f t="shared" si="8"/>
        <v>36.548223350253807</v>
      </c>
      <c r="Q160" s="5">
        <f t="shared" si="8"/>
        <v>104.06091370558376</v>
      </c>
      <c r="R160" s="5">
        <f t="shared" si="8"/>
        <v>11.167512690355331</v>
      </c>
      <c r="S160" s="5">
        <f t="shared" si="8"/>
        <v>86.548223350253821</v>
      </c>
      <c r="T160" s="5">
        <f t="shared" si="8"/>
        <v>8.1218274111675139</v>
      </c>
      <c r="U160" s="5">
        <f t="shared" si="8"/>
        <v>8.8832487309644677</v>
      </c>
      <c r="V160" s="5">
        <f t="shared" si="8"/>
        <v>25.126903553299492</v>
      </c>
      <c r="W160" s="5">
        <f t="shared" si="8"/>
        <v>177.91878172588832</v>
      </c>
      <c r="X160" s="5">
        <f t="shared" si="8"/>
        <v>0</v>
      </c>
      <c r="Y160" s="5">
        <f t="shared" si="8"/>
        <v>362.18274111675129</v>
      </c>
      <c r="Z160" s="5">
        <f t="shared" si="8"/>
        <v>3279.1878172588831</v>
      </c>
      <c r="AA160" s="5">
        <f t="shared" si="8"/>
        <v>1802.2842639593912</v>
      </c>
      <c r="AB160" s="5">
        <f t="shared" si="8"/>
        <v>249.23857868020306</v>
      </c>
      <c r="AC160" s="5">
        <f t="shared" si="8"/>
        <v>10681.979695431473</v>
      </c>
      <c r="AD160" s="5">
        <f t="shared" si="8"/>
        <v>276.90355329949239</v>
      </c>
    </row>
    <row r="161" spans="6:30" s="5" customFormat="1" x14ac:dyDescent="0.25">
      <c r="F161" s="5">
        <v>53</v>
      </c>
      <c r="G161" s="5" t="s">
        <v>172</v>
      </c>
      <c r="H161" s="5">
        <f t="shared" si="7"/>
        <v>5948.1840193704602</v>
      </c>
      <c r="I161" s="5">
        <f t="shared" si="8"/>
        <v>192.97820823244552</v>
      </c>
      <c r="J161" s="5">
        <f t="shared" si="8"/>
        <v>0</v>
      </c>
      <c r="K161" s="5">
        <f t="shared" si="8"/>
        <v>280.62953995157386</v>
      </c>
      <c r="L161" s="5">
        <f t="shared" si="8"/>
        <v>60.774818401937047</v>
      </c>
      <c r="M161" s="5">
        <f t="shared" si="8"/>
        <v>807.26392251815992</v>
      </c>
      <c r="N161" s="5">
        <f t="shared" si="8"/>
        <v>1445.2784503631963</v>
      </c>
      <c r="O161" s="5">
        <f t="shared" si="8"/>
        <v>529.53995157384998</v>
      </c>
      <c r="P161" s="5">
        <f t="shared" si="8"/>
        <v>53.026634382566591</v>
      </c>
      <c r="Q161" s="5">
        <f t="shared" si="8"/>
        <v>250.12106537530269</v>
      </c>
      <c r="R161" s="5">
        <f t="shared" si="8"/>
        <v>39.22518159806296</v>
      </c>
      <c r="S161" s="5">
        <f t="shared" si="8"/>
        <v>292.00968523002427</v>
      </c>
      <c r="T161" s="5">
        <f t="shared" si="8"/>
        <v>25.907990314769979</v>
      </c>
      <c r="U161" s="5">
        <f t="shared" si="8"/>
        <v>30.750605326876517</v>
      </c>
      <c r="V161" s="5">
        <f t="shared" si="8"/>
        <v>53.510895883777245</v>
      </c>
      <c r="W161" s="5">
        <f t="shared" si="8"/>
        <v>165.13317191283295</v>
      </c>
      <c r="X161" s="5">
        <f t="shared" si="8"/>
        <v>647.21549636803877</v>
      </c>
      <c r="Y161" s="5">
        <f t="shared" si="8"/>
        <v>655.69007263922515</v>
      </c>
      <c r="Z161" s="5">
        <f t="shared" si="8"/>
        <v>5314.5278450363203</v>
      </c>
      <c r="AA161" s="5">
        <f t="shared" si="8"/>
        <v>1771.6707021791769</v>
      </c>
      <c r="AB161" s="5">
        <f t="shared" si="8"/>
        <v>222.51815980629542</v>
      </c>
      <c r="AC161" s="5">
        <f t="shared" si="8"/>
        <v>18407.263922518163</v>
      </c>
      <c r="AD161" s="5">
        <f t="shared" si="8"/>
        <v>421.06537530266348</v>
      </c>
    </row>
    <row r="162" spans="6:30" s="5" customFormat="1" x14ac:dyDescent="0.25">
      <c r="F162" s="5">
        <v>54</v>
      </c>
      <c r="G162" s="5" t="s">
        <v>172</v>
      </c>
      <c r="H162" s="5">
        <f t="shared" si="7"/>
        <v>2320.7264957264961</v>
      </c>
      <c r="I162" s="5">
        <f t="shared" si="8"/>
        <v>0</v>
      </c>
      <c r="J162" s="5">
        <f t="shared" si="8"/>
        <v>0</v>
      </c>
      <c r="K162" s="5">
        <f t="shared" si="8"/>
        <v>0</v>
      </c>
      <c r="L162" s="5">
        <f t="shared" si="8"/>
        <v>0</v>
      </c>
      <c r="M162" s="5">
        <f t="shared" si="8"/>
        <v>2021.1538461538464</v>
      </c>
      <c r="N162" s="5">
        <f t="shared" si="8"/>
        <v>1057.0512820512822</v>
      </c>
      <c r="O162" s="5">
        <f t="shared" si="8"/>
        <v>221.36752136752139</v>
      </c>
      <c r="P162" s="5">
        <f t="shared" si="8"/>
        <v>21.794871794871799</v>
      </c>
      <c r="Q162" s="5">
        <f t="shared" si="8"/>
        <v>68.803418803418822</v>
      </c>
      <c r="R162" s="5">
        <f t="shared" si="8"/>
        <v>9.4017094017094021</v>
      </c>
      <c r="S162" s="5">
        <f t="shared" si="8"/>
        <v>52.35042735042736</v>
      </c>
      <c r="T162" s="5">
        <f t="shared" si="8"/>
        <v>0.42735042735042739</v>
      </c>
      <c r="U162" s="5">
        <f t="shared" si="8"/>
        <v>0</v>
      </c>
      <c r="V162" s="5">
        <f t="shared" si="8"/>
        <v>7.6923076923076925</v>
      </c>
      <c r="W162" s="5">
        <f t="shared" si="8"/>
        <v>78.205128205128219</v>
      </c>
      <c r="X162" s="5">
        <f t="shared" si="8"/>
        <v>0</v>
      </c>
      <c r="Y162" s="5">
        <f t="shared" si="8"/>
        <v>434.18803418803424</v>
      </c>
      <c r="Z162" s="5">
        <f t="shared" si="8"/>
        <v>2760.6837606837607</v>
      </c>
      <c r="AA162" s="5">
        <f t="shared" si="8"/>
        <v>952.77777777777794</v>
      </c>
      <c r="AB162" s="5">
        <f t="shared" si="8"/>
        <v>138.03418803418805</v>
      </c>
      <c r="AC162" s="5">
        <f t="shared" si="8"/>
        <v>10583.11965811966</v>
      </c>
      <c r="AD162" s="5">
        <f t="shared" si="8"/>
        <v>162.17948717948718</v>
      </c>
    </row>
    <row r="163" spans="6:30" s="5" customFormat="1" x14ac:dyDescent="0.25">
      <c r="F163" s="5">
        <v>55</v>
      </c>
      <c r="G163" s="5" t="s">
        <v>172</v>
      </c>
      <c r="H163" s="5">
        <f t="shared" si="7"/>
        <v>2973.6694677871146</v>
      </c>
      <c r="I163" s="5">
        <f t="shared" si="8"/>
        <v>47.619047619047613</v>
      </c>
      <c r="J163" s="5">
        <f t="shared" si="8"/>
        <v>0</v>
      </c>
      <c r="K163" s="5">
        <f t="shared" si="8"/>
        <v>162.18487394957981</v>
      </c>
      <c r="L163" s="5">
        <f t="shared" si="8"/>
        <v>0</v>
      </c>
      <c r="M163" s="5">
        <f t="shared" si="8"/>
        <v>4435.2941176470586</v>
      </c>
      <c r="N163" s="5">
        <f t="shared" si="8"/>
        <v>1508.6834733893556</v>
      </c>
      <c r="O163" s="5">
        <f t="shared" si="8"/>
        <v>290.19607843137248</v>
      </c>
      <c r="P163" s="5">
        <f t="shared" si="8"/>
        <v>37.815126050420169</v>
      </c>
      <c r="Q163" s="5">
        <f t="shared" si="8"/>
        <v>160.22408963585431</v>
      </c>
      <c r="R163" s="5">
        <f t="shared" si="8"/>
        <v>12.324929971988794</v>
      </c>
      <c r="S163" s="5">
        <f t="shared" si="8"/>
        <v>49.859943977591037</v>
      </c>
      <c r="T163" s="5">
        <f t="shared" si="8"/>
        <v>6.1624649859943972</v>
      </c>
      <c r="U163" s="5">
        <f t="shared" si="8"/>
        <v>9.8039215686274499</v>
      </c>
      <c r="V163" s="5">
        <f t="shared" si="8"/>
        <v>67.50700280112045</v>
      </c>
      <c r="W163" s="5">
        <f t="shared" si="8"/>
        <v>180.39215686274508</v>
      </c>
      <c r="X163" s="5">
        <f t="shared" si="8"/>
        <v>0</v>
      </c>
      <c r="Y163" s="5">
        <f t="shared" si="8"/>
        <v>912.88515406162469</v>
      </c>
      <c r="Z163" s="5">
        <f t="shared" si="8"/>
        <v>4570.8683473389356</v>
      </c>
      <c r="AA163" s="5">
        <f t="shared" si="8"/>
        <v>1038.6554621848738</v>
      </c>
      <c r="AB163" s="5">
        <f t="shared" si="8"/>
        <v>157.14285714285714</v>
      </c>
      <c r="AC163" s="5">
        <f t="shared" si="8"/>
        <v>6691.8767507002794</v>
      </c>
      <c r="AD163" s="5">
        <f t="shared" si="8"/>
        <v>259.38375350140052</v>
      </c>
    </row>
    <row r="164" spans="6:30" s="5" customFormat="1" x14ac:dyDescent="0.25">
      <c r="F164" s="5">
        <v>56</v>
      </c>
      <c r="G164" s="5" t="s">
        <v>172</v>
      </c>
      <c r="H164" s="5">
        <f t="shared" si="7"/>
        <v>2756.9343065693438</v>
      </c>
      <c r="I164" s="5">
        <f t="shared" si="8"/>
        <v>0</v>
      </c>
      <c r="J164" s="5">
        <f t="shared" si="8"/>
        <v>0</v>
      </c>
      <c r="K164" s="5">
        <f t="shared" si="8"/>
        <v>105.1094890510949</v>
      </c>
      <c r="L164" s="5">
        <f t="shared" si="8"/>
        <v>0</v>
      </c>
      <c r="M164" s="5">
        <f t="shared" si="8"/>
        <v>2333.2116788321168</v>
      </c>
      <c r="N164" s="5">
        <f t="shared" si="8"/>
        <v>1751.8248175182484</v>
      </c>
      <c r="O164" s="5">
        <f t="shared" si="8"/>
        <v>378.10218978102193</v>
      </c>
      <c r="P164" s="5">
        <f t="shared" si="8"/>
        <v>55.839416058394164</v>
      </c>
      <c r="Q164" s="5">
        <f t="shared" si="8"/>
        <v>78.467153284671539</v>
      </c>
      <c r="R164" s="5">
        <f t="shared" si="8"/>
        <v>4.7445255474452557</v>
      </c>
      <c r="S164" s="5">
        <f t="shared" si="8"/>
        <v>52.554744525547449</v>
      </c>
      <c r="T164" s="5">
        <f t="shared" si="8"/>
        <v>21.897810218978105</v>
      </c>
      <c r="U164" s="5">
        <f t="shared" si="8"/>
        <v>0</v>
      </c>
      <c r="V164" s="5">
        <f t="shared" si="8"/>
        <v>28.467153284671536</v>
      </c>
      <c r="W164" s="5">
        <f t="shared" si="8"/>
        <v>178.10218978102191</v>
      </c>
      <c r="X164" s="5">
        <f t="shared" si="8"/>
        <v>0</v>
      </c>
      <c r="Y164" s="5">
        <f t="shared" si="8"/>
        <v>263.50364963503654</v>
      </c>
      <c r="Z164" s="5">
        <f t="shared" si="8"/>
        <v>0</v>
      </c>
      <c r="AA164" s="5">
        <f t="shared" si="8"/>
        <v>1205.8394160583944</v>
      </c>
      <c r="AB164" s="5">
        <f t="shared" si="8"/>
        <v>214.96350364963504</v>
      </c>
      <c r="AC164" s="5">
        <f t="shared" si="8"/>
        <v>12339.416058394163</v>
      </c>
      <c r="AD164" s="5">
        <f t="shared" si="8"/>
        <v>277.00729927007302</v>
      </c>
    </row>
    <row r="165" spans="6:30" s="5" customFormat="1" x14ac:dyDescent="0.25">
      <c r="F165" s="5">
        <v>57</v>
      </c>
      <c r="G165" s="5" t="s">
        <v>172</v>
      </c>
      <c r="H165" s="5">
        <f t="shared" si="7"/>
        <v>4783.1168831168834</v>
      </c>
      <c r="I165" s="5">
        <f t="shared" si="8"/>
        <v>937.66233766233768</v>
      </c>
      <c r="J165" s="5">
        <f t="shared" si="8"/>
        <v>0</v>
      </c>
      <c r="K165" s="5">
        <f t="shared" si="8"/>
        <v>213.50649350649351</v>
      </c>
      <c r="L165" s="5">
        <f t="shared" si="8"/>
        <v>240.51948051948051</v>
      </c>
      <c r="M165" s="5">
        <f t="shared" si="8"/>
        <v>18830.909090909092</v>
      </c>
      <c r="N165" s="5">
        <f t="shared" si="8"/>
        <v>1814.805194805195</v>
      </c>
      <c r="O165" s="5">
        <f t="shared" si="8"/>
        <v>608.57142857142856</v>
      </c>
      <c r="P165" s="5">
        <f t="shared" si="8"/>
        <v>37.402597402597401</v>
      </c>
      <c r="Q165" s="5">
        <f t="shared" si="8"/>
        <v>330.38961038961043</v>
      </c>
      <c r="R165" s="5">
        <f t="shared" si="8"/>
        <v>146.49350649350649</v>
      </c>
      <c r="S165" s="5">
        <f t="shared" si="8"/>
        <v>151.6883116883117</v>
      </c>
      <c r="T165" s="5">
        <f t="shared" si="8"/>
        <v>49.090909090909086</v>
      </c>
      <c r="U165" s="5">
        <f t="shared" si="8"/>
        <v>60.519480519480524</v>
      </c>
      <c r="V165" s="5">
        <f t="shared" si="8"/>
        <v>98.701298701298697</v>
      </c>
      <c r="W165" s="5">
        <f t="shared" si="8"/>
        <v>1019.2207792207793</v>
      </c>
      <c r="X165" s="5">
        <f t="shared" si="8"/>
        <v>288.31168831168833</v>
      </c>
      <c r="Y165" s="5">
        <f t="shared" si="8"/>
        <v>2711.6883116883118</v>
      </c>
      <c r="Z165" s="5">
        <f t="shared" si="8"/>
        <v>49747.532467532466</v>
      </c>
      <c r="AA165" s="5">
        <f t="shared" si="8"/>
        <v>19135.064935064936</v>
      </c>
      <c r="AB165" s="5">
        <f t="shared" si="8"/>
        <v>3718.1818181818185</v>
      </c>
      <c r="AC165" s="5">
        <f t="shared" si="8"/>
        <v>60328.831168831166</v>
      </c>
      <c r="AD165" s="5">
        <f t="shared" si="8"/>
        <v>283.3766233766234</v>
      </c>
    </row>
    <row r="166" spans="6:30" s="5" customFormat="1" x14ac:dyDescent="0.25">
      <c r="F166" s="5">
        <v>58</v>
      </c>
      <c r="G166" s="5" t="s">
        <v>172</v>
      </c>
      <c r="H166" s="5">
        <f t="shared" si="7"/>
        <v>7654.5212765957449</v>
      </c>
      <c r="I166" s="5">
        <f t="shared" si="8"/>
        <v>3548.13829787234</v>
      </c>
      <c r="J166" s="5">
        <f t="shared" si="8"/>
        <v>411.70212765957444</v>
      </c>
      <c r="K166" s="5">
        <f t="shared" si="8"/>
        <v>334.57446808510639</v>
      </c>
      <c r="L166" s="5">
        <f t="shared" si="8"/>
        <v>339.36170212765956</v>
      </c>
      <c r="M166" s="5">
        <f t="shared" si="8"/>
        <v>18531.91489361702</v>
      </c>
      <c r="N166" s="5">
        <f t="shared" si="8"/>
        <v>2166.4893617021276</v>
      </c>
      <c r="O166" s="5">
        <f t="shared" si="8"/>
        <v>539.89361702127655</v>
      </c>
      <c r="P166" s="5">
        <f t="shared" si="8"/>
        <v>48.404255319148938</v>
      </c>
      <c r="Q166" s="5">
        <f t="shared" si="8"/>
        <v>778.72340425531911</v>
      </c>
      <c r="R166" s="5">
        <f t="shared" si="8"/>
        <v>160.63829787234042</v>
      </c>
      <c r="S166" s="5">
        <f t="shared" si="8"/>
        <v>139.62765957446808</v>
      </c>
      <c r="T166" s="5">
        <f t="shared" si="8"/>
        <v>33.244680851063826</v>
      </c>
      <c r="U166" s="5">
        <f t="shared" si="8"/>
        <v>56.382978723404257</v>
      </c>
      <c r="V166" s="5">
        <f t="shared" si="8"/>
        <v>178.72340425531914</v>
      </c>
      <c r="W166" s="5">
        <f t="shared" si="8"/>
        <v>2140.4255319148938</v>
      </c>
      <c r="X166" s="5">
        <f t="shared" si="8"/>
        <v>295.21276595744678</v>
      </c>
      <c r="Y166" s="5">
        <f t="shared" si="8"/>
        <v>14557.446808510638</v>
      </c>
      <c r="Z166" s="5">
        <f t="shared" si="8"/>
        <v>56445.212765957447</v>
      </c>
      <c r="AA166" s="5">
        <f t="shared" si="8"/>
        <v>16723.138297872338</v>
      </c>
      <c r="AB166" s="5">
        <f t="shared" si="8"/>
        <v>3006.9148936170213</v>
      </c>
      <c r="AC166" s="5">
        <f t="shared" si="8"/>
        <v>30451.59574468085</v>
      </c>
      <c r="AD166" s="5">
        <f t="shared" si="8"/>
        <v>419.94680851063828</v>
      </c>
    </row>
    <row r="167" spans="6:30" s="5" customFormat="1" x14ac:dyDescent="0.25">
      <c r="F167" s="5">
        <v>59</v>
      </c>
      <c r="G167" s="5" t="s">
        <v>172</v>
      </c>
      <c r="H167" s="5">
        <f t="shared" si="7"/>
        <v>6078.4313725490192</v>
      </c>
      <c r="I167" s="5">
        <f t="shared" si="8"/>
        <v>0</v>
      </c>
      <c r="J167" s="5">
        <f t="shared" si="8"/>
        <v>0</v>
      </c>
      <c r="K167" s="5">
        <f t="shared" si="8"/>
        <v>136.27450980392155</v>
      </c>
      <c r="L167" s="5">
        <f t="shared" si="8"/>
        <v>0</v>
      </c>
      <c r="M167" s="5">
        <f t="shared" si="8"/>
        <v>3395.4248366013071</v>
      </c>
      <c r="N167" s="5">
        <f t="shared" si="8"/>
        <v>1568.627450980392</v>
      </c>
      <c r="O167" s="5">
        <f t="shared" si="8"/>
        <v>450.65359477124179</v>
      </c>
      <c r="P167" s="5">
        <f t="shared" si="8"/>
        <v>74.83660130718954</v>
      </c>
      <c r="Q167" s="5">
        <f t="shared" si="8"/>
        <v>110.13071895424837</v>
      </c>
      <c r="R167" s="5">
        <f t="shared" si="8"/>
        <v>24.183006535947712</v>
      </c>
      <c r="S167" s="5">
        <f t="shared" si="8"/>
        <v>151.63398692810455</v>
      </c>
      <c r="T167" s="5">
        <f t="shared" si="8"/>
        <v>25.816993464052288</v>
      </c>
      <c r="U167" s="5">
        <f t="shared" si="8"/>
        <v>19.281045751633986</v>
      </c>
      <c r="V167" s="5">
        <f t="shared" si="8"/>
        <v>52.287581699346404</v>
      </c>
      <c r="W167" s="5">
        <f t="shared" si="8"/>
        <v>185.29411764705881</v>
      </c>
      <c r="X167" s="5">
        <f t="shared" si="8"/>
        <v>0</v>
      </c>
      <c r="Y167" s="5">
        <f t="shared" si="8"/>
        <v>763.07189542483661</v>
      </c>
      <c r="Z167" s="5">
        <f t="shared" si="8"/>
        <v>4982.3529411764703</v>
      </c>
      <c r="AA167" s="5">
        <f t="shared" si="8"/>
        <v>1367.6470588235293</v>
      </c>
      <c r="AB167" s="5">
        <f t="shared" si="8"/>
        <v>213.3986928104575</v>
      </c>
      <c r="AC167" s="5">
        <f t="shared" si="8"/>
        <v>18880.718954248365</v>
      </c>
      <c r="AD167" s="5">
        <f t="shared" si="8"/>
        <v>302.61437908496731</v>
      </c>
    </row>
    <row r="168" spans="6:30" s="5" customFormat="1" x14ac:dyDescent="0.25">
      <c r="F168" s="5">
        <v>60</v>
      </c>
      <c r="G168" s="5" t="s">
        <v>172</v>
      </c>
      <c r="H168" s="5">
        <f t="shared" si="7"/>
        <v>4234.1216216216217</v>
      </c>
      <c r="I168" s="5">
        <f t="shared" si="8"/>
        <v>168.58108108108109</v>
      </c>
      <c r="J168" s="5">
        <f t="shared" si="8"/>
        <v>0</v>
      </c>
      <c r="K168" s="5">
        <f t="shared" si="8"/>
        <v>219.25675675675674</v>
      </c>
      <c r="L168" s="5">
        <f t="shared" si="8"/>
        <v>271.28378378378375</v>
      </c>
      <c r="M168" s="5">
        <f t="shared" si="8"/>
        <v>11503.378378378378</v>
      </c>
      <c r="N168" s="5">
        <f t="shared" si="8"/>
        <v>2065.8783783783783</v>
      </c>
      <c r="O168" s="5">
        <f t="shared" si="8"/>
        <v>465.87837837837833</v>
      </c>
      <c r="P168" s="5">
        <f t="shared" si="8"/>
        <v>67.567567567567565</v>
      </c>
      <c r="Q168" s="5">
        <f t="shared" si="8"/>
        <v>169.59459459459458</v>
      </c>
      <c r="R168" s="5">
        <f t="shared" si="8"/>
        <v>44.932432432432435</v>
      </c>
      <c r="S168" s="5">
        <f t="shared" si="8"/>
        <v>136.14864864864865</v>
      </c>
      <c r="T168" s="5">
        <f t="shared" si="8"/>
        <v>17.22972972972973</v>
      </c>
      <c r="U168" s="5">
        <f t="shared" si="8"/>
        <v>27.702702702702698</v>
      </c>
      <c r="V168" s="5">
        <f t="shared" si="8"/>
        <v>67.567567567567565</v>
      </c>
      <c r="W168" s="5">
        <f t="shared" si="8"/>
        <v>293.58108108108104</v>
      </c>
      <c r="X168" s="5">
        <f t="shared" si="8"/>
        <v>0</v>
      </c>
      <c r="Y168" s="5">
        <f t="shared" si="8"/>
        <v>2061.4864864864867</v>
      </c>
      <c r="Z168" s="5">
        <f t="shared" si="8"/>
        <v>10462.162162162162</v>
      </c>
      <c r="AA168" s="5">
        <f t="shared" si="8"/>
        <v>7134.1216216216208</v>
      </c>
      <c r="AB168" s="5">
        <f t="shared" si="8"/>
        <v>2425.6756756756754</v>
      </c>
      <c r="AC168" s="5">
        <f t="shared" si="8"/>
        <v>22949.324324324323</v>
      </c>
      <c r="AD168" s="5">
        <f t="shared" si="8"/>
        <v>256.41891891891891</v>
      </c>
    </row>
    <row r="169" spans="6:30" s="5" customFormat="1" x14ac:dyDescent="0.25">
      <c r="F169" s="5">
        <v>61</v>
      </c>
      <c r="G169" s="5" t="s">
        <v>218</v>
      </c>
      <c r="H169" s="5">
        <f t="shared" si="7"/>
        <v>12058.444444444445</v>
      </c>
      <c r="I169" s="5">
        <f t="shared" si="8"/>
        <v>1831.7777777777781</v>
      </c>
      <c r="J169" s="5">
        <f t="shared" si="8"/>
        <v>211.77777777777777</v>
      </c>
      <c r="K169" s="5">
        <f t="shared" si="8"/>
        <v>212.88888888888889</v>
      </c>
      <c r="L169" s="5">
        <f t="shared" si="8"/>
        <v>150</v>
      </c>
      <c r="M169" s="5">
        <f t="shared" si="8"/>
        <v>7994.2222222222226</v>
      </c>
      <c r="N169" s="5">
        <f t="shared" si="8"/>
        <v>1180.6666666666667</v>
      </c>
      <c r="O169" s="5">
        <f t="shared" si="8"/>
        <v>451.11111111111114</v>
      </c>
      <c r="P169" s="5">
        <f t="shared" ref="I169:AD180" si="9">P69/$D69</f>
        <v>32</v>
      </c>
      <c r="Q169" s="5">
        <f t="shared" si="9"/>
        <v>387.11111111111114</v>
      </c>
      <c r="R169" s="5">
        <f t="shared" si="9"/>
        <v>155.33333333333334</v>
      </c>
      <c r="S169" s="5">
        <f t="shared" si="9"/>
        <v>110.00000000000001</v>
      </c>
      <c r="T169" s="5">
        <f t="shared" si="9"/>
        <v>21.555555555555557</v>
      </c>
      <c r="U169" s="5">
        <f t="shared" si="9"/>
        <v>114.22222222222221</v>
      </c>
      <c r="V169" s="5">
        <f t="shared" si="9"/>
        <v>526.66666666666663</v>
      </c>
      <c r="W169" s="5">
        <f t="shared" si="9"/>
        <v>926.88888888888891</v>
      </c>
      <c r="X169" s="5">
        <f t="shared" si="9"/>
        <v>187.55555555555554</v>
      </c>
      <c r="Y169" s="5">
        <f t="shared" si="9"/>
        <v>5044.8888888888896</v>
      </c>
      <c r="Z169" s="5">
        <f t="shared" si="9"/>
        <v>13097.777777777777</v>
      </c>
      <c r="AA169" s="5">
        <f t="shared" si="9"/>
        <v>11284.888888888889</v>
      </c>
      <c r="AB169" s="5">
        <f t="shared" si="9"/>
        <v>1466.8888888888891</v>
      </c>
      <c r="AC169" s="5">
        <f t="shared" si="9"/>
        <v>56136.666666666672</v>
      </c>
      <c r="AD169" s="5">
        <f t="shared" si="9"/>
        <v>260.66666666666669</v>
      </c>
    </row>
    <row r="170" spans="6:30" s="5" customFormat="1" x14ac:dyDescent="0.25">
      <c r="F170" s="5">
        <v>62</v>
      </c>
      <c r="G170" s="5" t="s">
        <v>218</v>
      </c>
      <c r="H170" s="5">
        <f t="shared" si="7"/>
        <v>3735.3711790393018</v>
      </c>
      <c r="I170" s="5">
        <f t="shared" si="9"/>
        <v>1656.5502183406115</v>
      </c>
      <c r="J170" s="5">
        <f t="shared" si="9"/>
        <v>0</v>
      </c>
      <c r="K170" s="5">
        <f t="shared" si="9"/>
        <v>186.8995633187773</v>
      </c>
      <c r="L170" s="5">
        <f t="shared" si="9"/>
        <v>202.1834061135371</v>
      </c>
      <c r="M170" s="5">
        <f t="shared" si="9"/>
        <v>5023.7991266375548</v>
      </c>
      <c r="N170" s="5">
        <f t="shared" si="9"/>
        <v>1430.3493449781661</v>
      </c>
      <c r="O170" s="5">
        <f t="shared" si="9"/>
        <v>373.14410480349346</v>
      </c>
      <c r="P170" s="5">
        <f t="shared" si="9"/>
        <v>23.144104803493452</v>
      </c>
      <c r="Q170" s="5">
        <f t="shared" si="9"/>
        <v>186.24454148471614</v>
      </c>
      <c r="R170" s="5">
        <f t="shared" si="9"/>
        <v>114.19213973799127</v>
      </c>
      <c r="S170" s="5">
        <f t="shared" si="9"/>
        <v>94.75982532751091</v>
      </c>
      <c r="T170" s="5">
        <f t="shared" si="9"/>
        <v>21.179039301310041</v>
      </c>
      <c r="U170" s="5">
        <f t="shared" si="9"/>
        <v>32.532751091703055</v>
      </c>
      <c r="V170" s="5">
        <f t="shared" si="9"/>
        <v>95.851528384279462</v>
      </c>
      <c r="W170" s="5">
        <f t="shared" si="9"/>
        <v>310.04366812227073</v>
      </c>
      <c r="X170" s="5">
        <f t="shared" si="9"/>
        <v>0</v>
      </c>
      <c r="Y170" s="5">
        <f t="shared" si="9"/>
        <v>1955.8951965065501</v>
      </c>
      <c r="Z170" s="5">
        <f t="shared" si="9"/>
        <v>18618.558951965068</v>
      </c>
      <c r="AA170" s="5">
        <f t="shared" si="9"/>
        <v>14798.908296943231</v>
      </c>
      <c r="AB170" s="5">
        <f t="shared" si="9"/>
        <v>2788.2096069868994</v>
      </c>
      <c r="AC170" s="5">
        <f t="shared" si="9"/>
        <v>46276.200873362439</v>
      </c>
      <c r="AD170" s="5">
        <f t="shared" si="9"/>
        <v>274.0174672489083</v>
      </c>
    </row>
    <row r="171" spans="6:30" s="5" customFormat="1" x14ac:dyDescent="0.25">
      <c r="F171" s="5">
        <v>63</v>
      </c>
      <c r="G171" s="5" t="s">
        <v>218</v>
      </c>
      <c r="H171" s="5">
        <f t="shared" si="7"/>
        <v>7726.25</v>
      </c>
      <c r="I171" s="5">
        <f t="shared" si="9"/>
        <v>1522.25</v>
      </c>
      <c r="J171" s="5">
        <f t="shared" si="9"/>
        <v>321</v>
      </c>
      <c r="K171" s="5">
        <f t="shared" si="9"/>
        <v>314.5</v>
      </c>
      <c r="L171" s="5">
        <f t="shared" si="9"/>
        <v>374.5</v>
      </c>
      <c r="M171" s="5">
        <f t="shared" si="9"/>
        <v>6805.2499999999991</v>
      </c>
      <c r="N171" s="5">
        <f t="shared" si="9"/>
        <v>1837.2499999999998</v>
      </c>
      <c r="O171" s="5">
        <f t="shared" si="9"/>
        <v>507.5</v>
      </c>
      <c r="P171" s="5">
        <f t="shared" si="9"/>
        <v>31.25</v>
      </c>
      <c r="Q171" s="5">
        <f t="shared" si="9"/>
        <v>382.5</v>
      </c>
      <c r="R171" s="5">
        <f t="shared" si="9"/>
        <v>290.75</v>
      </c>
      <c r="S171" s="5">
        <f t="shared" si="9"/>
        <v>168</v>
      </c>
      <c r="T171" s="5">
        <f t="shared" si="9"/>
        <v>40.5</v>
      </c>
      <c r="U171" s="5">
        <f t="shared" si="9"/>
        <v>42.5</v>
      </c>
      <c r="V171" s="5">
        <f t="shared" si="9"/>
        <v>60.25</v>
      </c>
      <c r="W171" s="5">
        <f t="shared" si="9"/>
        <v>836.5</v>
      </c>
      <c r="X171" s="5">
        <f t="shared" si="9"/>
        <v>348</v>
      </c>
      <c r="Y171" s="5">
        <f t="shared" si="9"/>
        <v>5494.25</v>
      </c>
      <c r="Z171" s="5">
        <f t="shared" si="9"/>
        <v>35698.25</v>
      </c>
      <c r="AA171" s="5">
        <f t="shared" si="9"/>
        <v>40382.25</v>
      </c>
      <c r="AB171" s="5">
        <f t="shared" si="9"/>
        <v>7634.5</v>
      </c>
      <c r="AC171" s="5">
        <f t="shared" si="9"/>
        <v>102754.74999999999</v>
      </c>
      <c r="AD171" s="5">
        <f t="shared" si="9"/>
        <v>394.74999999999994</v>
      </c>
    </row>
    <row r="172" spans="6:30" s="5" customFormat="1" x14ac:dyDescent="0.25">
      <c r="F172" s="5">
        <v>64</v>
      </c>
      <c r="G172" s="5" t="s">
        <v>218</v>
      </c>
      <c r="H172" s="5">
        <f t="shared" si="7"/>
        <v>4511.6279069767443</v>
      </c>
      <c r="I172" s="5">
        <f t="shared" si="9"/>
        <v>1929.5681063122922</v>
      </c>
      <c r="J172" s="5">
        <f t="shared" si="9"/>
        <v>0</v>
      </c>
      <c r="K172" s="5">
        <f t="shared" si="9"/>
        <v>329.2358803986711</v>
      </c>
      <c r="L172" s="5">
        <f t="shared" si="9"/>
        <v>774.08637873754151</v>
      </c>
      <c r="M172" s="5">
        <f t="shared" si="9"/>
        <v>4181.7275747508302</v>
      </c>
      <c r="N172" s="5">
        <f t="shared" si="9"/>
        <v>2417.6079734219265</v>
      </c>
      <c r="O172" s="5">
        <f t="shared" si="9"/>
        <v>458.1395348837209</v>
      </c>
      <c r="P172" s="5">
        <f t="shared" si="9"/>
        <v>60.465116279069768</v>
      </c>
      <c r="Q172" s="5">
        <f t="shared" si="9"/>
        <v>349.50166112956805</v>
      </c>
      <c r="R172" s="5">
        <f t="shared" si="9"/>
        <v>146.51162790697674</v>
      </c>
      <c r="S172" s="5">
        <f t="shared" si="9"/>
        <v>232.89036544850495</v>
      </c>
      <c r="T172" s="5">
        <f t="shared" si="9"/>
        <v>41.528239202657808</v>
      </c>
      <c r="U172" s="5">
        <f t="shared" si="9"/>
        <v>56.478405315614616</v>
      </c>
      <c r="V172" s="5">
        <f t="shared" si="9"/>
        <v>66.44518272425249</v>
      </c>
      <c r="W172" s="5">
        <f t="shared" si="9"/>
        <v>788.03986710963443</v>
      </c>
      <c r="X172" s="5">
        <f t="shared" si="9"/>
        <v>280.39867109634548</v>
      </c>
      <c r="Y172" s="5">
        <f t="shared" si="9"/>
        <v>1941.1960132890365</v>
      </c>
      <c r="Z172" s="5">
        <f t="shared" si="9"/>
        <v>56744.518272425245</v>
      </c>
      <c r="AA172" s="5">
        <f t="shared" si="9"/>
        <v>81391.694352159466</v>
      </c>
      <c r="AB172" s="5">
        <f t="shared" si="9"/>
        <v>19425.249169435217</v>
      </c>
      <c r="AC172" s="5">
        <f t="shared" si="9"/>
        <v>35418.272425249168</v>
      </c>
      <c r="AD172" s="5">
        <f t="shared" si="9"/>
        <v>470.7641196013289</v>
      </c>
    </row>
    <row r="173" spans="6:30" s="5" customFormat="1" x14ac:dyDescent="0.25">
      <c r="F173" s="5">
        <v>65</v>
      </c>
      <c r="G173" s="5" t="s">
        <v>218</v>
      </c>
      <c r="H173" s="5">
        <f t="shared" si="7"/>
        <v>4118.1538461538457</v>
      </c>
      <c r="I173" s="5">
        <f t="shared" si="9"/>
        <v>52.307692307692307</v>
      </c>
      <c r="J173" s="5">
        <f t="shared" si="9"/>
        <v>0</v>
      </c>
      <c r="K173" s="5">
        <f t="shared" si="9"/>
        <v>178.15384615384616</v>
      </c>
      <c r="L173" s="5">
        <f t="shared" si="9"/>
        <v>0</v>
      </c>
      <c r="M173" s="5">
        <f t="shared" si="9"/>
        <v>1480.3076923076922</v>
      </c>
      <c r="N173" s="5">
        <f t="shared" si="9"/>
        <v>1612</v>
      </c>
      <c r="O173" s="5">
        <f t="shared" si="9"/>
        <v>318.76923076923072</v>
      </c>
      <c r="P173" s="5">
        <f t="shared" si="9"/>
        <v>60.307692307692307</v>
      </c>
      <c r="Q173" s="5">
        <f t="shared" si="9"/>
        <v>130.46153846153845</v>
      </c>
      <c r="R173" s="5">
        <f t="shared" si="9"/>
        <v>40.923076923076927</v>
      </c>
      <c r="S173" s="5">
        <f t="shared" si="9"/>
        <v>65.230769230769226</v>
      </c>
      <c r="T173" s="5">
        <f t="shared" si="9"/>
        <v>29.846153846153843</v>
      </c>
      <c r="U173" s="5">
        <f t="shared" si="9"/>
        <v>0</v>
      </c>
      <c r="V173" s="5">
        <f t="shared" si="9"/>
        <v>61.538461538461533</v>
      </c>
      <c r="W173" s="5">
        <f t="shared" si="9"/>
        <v>147.07692307692307</v>
      </c>
      <c r="X173" s="5">
        <f t="shared" si="9"/>
        <v>0</v>
      </c>
      <c r="Y173" s="5">
        <f t="shared" si="9"/>
        <v>1061.5384615384614</v>
      </c>
      <c r="Z173" s="5">
        <f t="shared" si="9"/>
        <v>1014.7692307692306</v>
      </c>
      <c r="AA173" s="5">
        <f t="shared" si="9"/>
        <v>1079.6923076923078</v>
      </c>
      <c r="AB173" s="5">
        <f t="shared" si="9"/>
        <v>185.84615384615384</v>
      </c>
      <c r="AC173" s="5">
        <f t="shared" si="9"/>
        <v>11253.23076923077</v>
      </c>
      <c r="AD173" s="5">
        <f t="shared" si="9"/>
        <v>284.92307692307691</v>
      </c>
    </row>
    <row r="174" spans="6:30" s="5" customFormat="1" x14ac:dyDescent="0.25">
      <c r="F174" s="5">
        <v>66</v>
      </c>
      <c r="G174" s="5" t="s">
        <v>218</v>
      </c>
      <c r="H174" s="5">
        <f t="shared" si="7"/>
        <v>13984.083044982699</v>
      </c>
      <c r="I174" s="5">
        <f t="shared" si="9"/>
        <v>3449.1349480968861</v>
      </c>
      <c r="J174" s="5">
        <f t="shared" si="9"/>
        <v>0</v>
      </c>
      <c r="K174" s="5">
        <f t="shared" si="9"/>
        <v>435.29411764705884</v>
      </c>
      <c r="L174" s="5">
        <f t="shared" si="9"/>
        <v>1007.612456747405</v>
      </c>
      <c r="M174" s="5">
        <f t="shared" si="9"/>
        <v>31249.134948096889</v>
      </c>
      <c r="N174" s="5">
        <f t="shared" si="9"/>
        <v>2668.166089965398</v>
      </c>
      <c r="O174" s="5">
        <f t="shared" si="9"/>
        <v>917.30103806228385</v>
      </c>
      <c r="P174" s="5">
        <f t="shared" si="9"/>
        <v>67.820069204152247</v>
      </c>
      <c r="Q174" s="5">
        <f t="shared" si="9"/>
        <v>688.92733564013849</v>
      </c>
      <c r="R174" s="5">
        <f t="shared" si="9"/>
        <v>393.42560553633217</v>
      </c>
      <c r="S174" s="5">
        <f t="shared" si="9"/>
        <v>321.79930795847753</v>
      </c>
      <c r="T174" s="5">
        <f t="shared" si="9"/>
        <v>71.972318339100354</v>
      </c>
      <c r="U174" s="5">
        <f t="shared" si="9"/>
        <v>87.889273356401389</v>
      </c>
      <c r="V174" s="5">
        <f t="shared" si="9"/>
        <v>417.9930795847751</v>
      </c>
      <c r="W174" s="5">
        <f t="shared" si="9"/>
        <v>1179.5847750865053</v>
      </c>
      <c r="X174" s="5">
        <f t="shared" si="9"/>
        <v>526.98961937716263</v>
      </c>
      <c r="Y174" s="5">
        <f t="shared" si="9"/>
        <v>4810.7266435986157</v>
      </c>
      <c r="Z174" s="5">
        <f t="shared" si="9"/>
        <v>41477.508650519034</v>
      </c>
      <c r="AA174" s="5">
        <f t="shared" si="9"/>
        <v>26762.975778546715</v>
      </c>
      <c r="AB174" s="5">
        <f t="shared" si="9"/>
        <v>5318.6851211072672</v>
      </c>
      <c r="AC174" s="5">
        <f t="shared" si="9"/>
        <v>168738.40830449827</v>
      </c>
      <c r="AD174" s="5">
        <f t="shared" si="9"/>
        <v>657.09342560553625</v>
      </c>
    </row>
    <row r="175" spans="6:30" s="5" customFormat="1" x14ac:dyDescent="0.25">
      <c r="F175" s="5">
        <v>67</v>
      </c>
      <c r="G175" s="5" t="s">
        <v>218</v>
      </c>
      <c r="H175" s="5">
        <f t="shared" si="7"/>
        <v>3478.7610619469028</v>
      </c>
      <c r="I175" s="5">
        <f t="shared" si="9"/>
        <v>50.147492625368734</v>
      </c>
      <c r="J175" s="5">
        <f t="shared" si="9"/>
        <v>0</v>
      </c>
      <c r="K175" s="5">
        <f t="shared" si="9"/>
        <v>170.79646017699116</v>
      </c>
      <c r="L175" s="5">
        <f t="shared" si="9"/>
        <v>74.041297935103245</v>
      </c>
      <c r="M175" s="5">
        <f t="shared" si="9"/>
        <v>3702.3598820059001</v>
      </c>
      <c r="N175" s="5">
        <f t="shared" si="9"/>
        <v>1760.7669616519174</v>
      </c>
      <c r="O175" s="5">
        <f t="shared" si="9"/>
        <v>406.78466076696162</v>
      </c>
      <c r="P175" s="5">
        <f t="shared" si="9"/>
        <v>50.737463126843657</v>
      </c>
      <c r="Q175" s="5">
        <f t="shared" si="9"/>
        <v>56.342182890855455</v>
      </c>
      <c r="R175" s="5">
        <f t="shared" si="9"/>
        <v>21.828908554572273</v>
      </c>
      <c r="S175" s="5">
        <f t="shared" si="9"/>
        <v>118.87905604719765</v>
      </c>
      <c r="T175" s="5">
        <f t="shared" si="9"/>
        <v>17.699115044247787</v>
      </c>
      <c r="U175" s="5">
        <f t="shared" si="9"/>
        <v>17.404129793510325</v>
      </c>
      <c r="V175" s="5">
        <f t="shared" si="9"/>
        <v>35.103244837758112</v>
      </c>
      <c r="W175" s="5">
        <f t="shared" si="9"/>
        <v>269.9115044247788</v>
      </c>
      <c r="X175" s="5">
        <f t="shared" si="9"/>
        <v>0</v>
      </c>
      <c r="Y175" s="5">
        <f t="shared" si="9"/>
        <v>464.01179941002954</v>
      </c>
      <c r="Z175" s="5">
        <f t="shared" si="9"/>
        <v>2567.8466076696163</v>
      </c>
      <c r="AA175" s="5">
        <f t="shared" si="9"/>
        <v>1942.1828908554573</v>
      </c>
      <c r="AB175" s="5">
        <f t="shared" si="9"/>
        <v>257.81710914454277</v>
      </c>
      <c r="AC175" s="5">
        <f t="shared" si="9"/>
        <v>17080.825958702066</v>
      </c>
      <c r="AD175" s="5">
        <f t="shared" si="9"/>
        <v>370.20648967551625</v>
      </c>
    </row>
    <row r="176" spans="6:30" s="5" customFormat="1" x14ac:dyDescent="0.25">
      <c r="F176" s="5">
        <v>68</v>
      </c>
      <c r="G176" s="5" t="s">
        <v>218</v>
      </c>
      <c r="H176" s="5">
        <f t="shared" si="7"/>
        <v>3849.9999999999995</v>
      </c>
      <c r="I176" s="5">
        <f t="shared" si="9"/>
        <v>49.707602339181285</v>
      </c>
      <c r="J176" s="5">
        <f t="shared" si="9"/>
        <v>0</v>
      </c>
      <c r="K176" s="5">
        <f t="shared" si="9"/>
        <v>200</v>
      </c>
      <c r="L176" s="5">
        <f t="shared" si="9"/>
        <v>0</v>
      </c>
      <c r="M176" s="5">
        <f t="shared" si="9"/>
        <v>3038.0116959064326</v>
      </c>
      <c r="N176" s="5">
        <f t="shared" si="9"/>
        <v>1489.1812865497075</v>
      </c>
      <c r="O176" s="5">
        <f t="shared" si="9"/>
        <v>302.9239766081871</v>
      </c>
      <c r="P176" s="5">
        <f t="shared" si="9"/>
        <v>25.438596491228068</v>
      </c>
      <c r="Q176" s="5">
        <f t="shared" si="9"/>
        <v>96.491228070175424</v>
      </c>
      <c r="R176" s="5">
        <f t="shared" si="9"/>
        <v>47.368421052631582</v>
      </c>
      <c r="S176" s="5">
        <f t="shared" si="9"/>
        <v>99.707602339181292</v>
      </c>
      <c r="T176" s="5">
        <f t="shared" si="9"/>
        <v>23.099415204678362</v>
      </c>
      <c r="U176" s="5">
        <f t="shared" si="9"/>
        <v>2.9239766081871346</v>
      </c>
      <c r="V176" s="5">
        <f t="shared" si="9"/>
        <v>46.783625730994153</v>
      </c>
      <c r="W176" s="5">
        <f t="shared" si="9"/>
        <v>154.38596491228071</v>
      </c>
      <c r="X176" s="5">
        <f t="shared" si="9"/>
        <v>0</v>
      </c>
      <c r="Y176" s="5">
        <f t="shared" si="9"/>
        <v>731.87134502923982</v>
      </c>
      <c r="Z176" s="5">
        <f t="shared" si="9"/>
        <v>2027.1929824561403</v>
      </c>
      <c r="AA176" s="5">
        <f t="shared" si="9"/>
        <v>1880.9941520467835</v>
      </c>
      <c r="AB176" s="5">
        <f t="shared" si="9"/>
        <v>246.49122807017542</v>
      </c>
      <c r="AC176" s="5">
        <f t="shared" si="9"/>
        <v>35147.368421052626</v>
      </c>
      <c r="AD176" s="5">
        <f t="shared" si="9"/>
        <v>221.92982456140351</v>
      </c>
    </row>
    <row r="177" spans="6:31" s="5" customFormat="1" x14ac:dyDescent="0.25">
      <c r="F177" s="5">
        <v>69</v>
      </c>
      <c r="G177" s="5" t="s">
        <v>218</v>
      </c>
      <c r="H177" s="5">
        <f t="shared" si="7"/>
        <v>5537.3333333333339</v>
      </c>
      <c r="I177" s="5">
        <f t="shared" si="9"/>
        <v>933.33333333333337</v>
      </c>
      <c r="J177" s="5">
        <f t="shared" si="9"/>
        <v>0</v>
      </c>
      <c r="K177" s="5">
        <f t="shared" si="9"/>
        <v>144.22222222222223</v>
      </c>
      <c r="L177" s="5">
        <f t="shared" si="9"/>
        <v>89.555555555555571</v>
      </c>
      <c r="M177" s="5">
        <f t="shared" si="9"/>
        <v>4124.666666666667</v>
      </c>
      <c r="N177" s="5">
        <f t="shared" si="9"/>
        <v>1148</v>
      </c>
      <c r="O177" s="5">
        <f t="shared" si="9"/>
        <v>306.44444444444446</v>
      </c>
      <c r="P177" s="5">
        <f t="shared" si="9"/>
        <v>32</v>
      </c>
      <c r="Q177" s="5">
        <f t="shared" si="9"/>
        <v>202.44444444444443</v>
      </c>
      <c r="R177" s="5">
        <f t="shared" si="9"/>
        <v>110.22222222222223</v>
      </c>
      <c r="S177" s="5">
        <f t="shared" si="9"/>
        <v>61.555555555555557</v>
      </c>
      <c r="T177" s="5">
        <f t="shared" si="9"/>
        <v>25.777777777777779</v>
      </c>
      <c r="U177" s="5">
        <f t="shared" si="9"/>
        <v>18.222222222222221</v>
      </c>
      <c r="V177" s="5">
        <f t="shared" si="9"/>
        <v>71.111111111111114</v>
      </c>
      <c r="W177" s="5">
        <f t="shared" si="9"/>
        <v>443.11111111111114</v>
      </c>
      <c r="X177" s="5">
        <f t="shared" si="9"/>
        <v>57.333333333333336</v>
      </c>
      <c r="Y177" s="5">
        <f t="shared" si="9"/>
        <v>2220</v>
      </c>
      <c r="Z177" s="5">
        <f t="shared" si="9"/>
        <v>12337.333333333332</v>
      </c>
      <c r="AA177" s="5">
        <f t="shared" si="9"/>
        <v>8324.6666666666679</v>
      </c>
      <c r="AB177" s="5">
        <f t="shared" si="9"/>
        <v>1307.7777777777778</v>
      </c>
      <c r="AC177" s="5">
        <f t="shared" si="9"/>
        <v>50795.111111111117</v>
      </c>
      <c r="AD177" s="5">
        <f t="shared" si="9"/>
        <v>278.88888888888891</v>
      </c>
    </row>
    <row r="178" spans="6:31" s="5" customFormat="1" x14ac:dyDescent="0.25">
      <c r="F178" s="5">
        <v>70</v>
      </c>
      <c r="G178" s="5" t="s">
        <v>218</v>
      </c>
      <c r="H178" s="5">
        <f t="shared" si="7"/>
        <v>7483.4459459459449</v>
      </c>
      <c r="I178" s="5">
        <f t="shared" si="9"/>
        <v>2894.9324324324321</v>
      </c>
      <c r="J178" s="5">
        <f t="shared" si="9"/>
        <v>321.95945945945942</v>
      </c>
      <c r="K178" s="5">
        <f t="shared" si="9"/>
        <v>352.02702702702703</v>
      </c>
      <c r="L178" s="5">
        <f t="shared" si="9"/>
        <v>468.91891891891891</v>
      </c>
      <c r="M178" s="5">
        <f t="shared" si="9"/>
        <v>15573.986486486487</v>
      </c>
      <c r="N178" s="5">
        <f t="shared" si="9"/>
        <v>2580.7432432432433</v>
      </c>
      <c r="O178" s="5">
        <f t="shared" si="9"/>
        <v>685.81081081081084</v>
      </c>
      <c r="P178" s="5">
        <f t="shared" si="9"/>
        <v>53.378378378378379</v>
      </c>
      <c r="Q178" s="5">
        <f t="shared" si="9"/>
        <v>364.18918918918916</v>
      </c>
      <c r="R178" s="5">
        <f t="shared" si="9"/>
        <v>339.52702702702703</v>
      </c>
      <c r="S178" s="5">
        <f t="shared" si="9"/>
        <v>197.29729729729729</v>
      </c>
      <c r="T178" s="5">
        <f t="shared" si="9"/>
        <v>57.770270270270267</v>
      </c>
      <c r="U178" s="5">
        <f t="shared" si="9"/>
        <v>99.662162162162161</v>
      </c>
      <c r="V178" s="5">
        <f t="shared" si="9"/>
        <v>161.48648648648648</v>
      </c>
      <c r="W178" s="5">
        <f t="shared" si="9"/>
        <v>1398.6486486486485</v>
      </c>
      <c r="X178" s="5">
        <f t="shared" si="9"/>
        <v>514.52702702702697</v>
      </c>
      <c r="Y178" s="5">
        <f t="shared" si="9"/>
        <v>4221.6216216216217</v>
      </c>
      <c r="Z178" s="5">
        <f t="shared" si="9"/>
        <v>28991.89189189189</v>
      </c>
      <c r="AA178" s="5">
        <f t="shared" si="9"/>
        <v>46527.7027027027</v>
      </c>
      <c r="AB178" s="5">
        <f t="shared" si="9"/>
        <v>6728.3783783783783</v>
      </c>
      <c r="AC178" s="5">
        <f t="shared" si="9"/>
        <v>218899.99999999997</v>
      </c>
      <c r="AD178" s="5">
        <f t="shared" si="9"/>
        <v>614.52702702702709</v>
      </c>
    </row>
    <row r="179" spans="6:31" s="5" customFormat="1" x14ac:dyDescent="0.25">
      <c r="F179" s="5">
        <v>71</v>
      </c>
      <c r="G179" s="5" t="s">
        <v>218</v>
      </c>
      <c r="H179" s="5">
        <f t="shared" si="7"/>
        <v>2686.2453531598517</v>
      </c>
      <c r="I179" s="5">
        <f t="shared" si="9"/>
        <v>0</v>
      </c>
      <c r="J179" s="5">
        <f t="shared" si="9"/>
        <v>0</v>
      </c>
      <c r="K179" s="5">
        <f t="shared" si="9"/>
        <v>141.63568773234201</v>
      </c>
      <c r="L179" s="5">
        <f t="shared" si="9"/>
        <v>0</v>
      </c>
      <c r="M179" s="5">
        <f t="shared" si="9"/>
        <v>2349.0706319702599</v>
      </c>
      <c r="N179" s="5">
        <f t="shared" si="9"/>
        <v>1455.3903345724907</v>
      </c>
      <c r="O179" s="5">
        <f t="shared" si="9"/>
        <v>512.6394052044609</v>
      </c>
      <c r="P179" s="5">
        <f t="shared" si="9"/>
        <v>78.066914498141273</v>
      </c>
      <c r="Q179" s="5">
        <f t="shared" si="9"/>
        <v>130.8550185873606</v>
      </c>
      <c r="R179" s="5">
        <f t="shared" si="9"/>
        <v>49.442379182156138</v>
      </c>
      <c r="S179" s="5">
        <f t="shared" si="9"/>
        <v>78.810408921933089</v>
      </c>
      <c r="T179" s="5">
        <f t="shared" si="9"/>
        <v>15.241635687732341</v>
      </c>
      <c r="U179" s="5">
        <f t="shared" si="9"/>
        <v>0</v>
      </c>
      <c r="V179" s="5">
        <f t="shared" si="9"/>
        <v>44.237918215613384</v>
      </c>
      <c r="W179" s="5">
        <f t="shared" si="9"/>
        <v>128.25278810408923</v>
      </c>
      <c r="X179" s="5">
        <f t="shared" si="9"/>
        <v>0</v>
      </c>
      <c r="Y179" s="5">
        <f t="shared" si="9"/>
        <v>1379.5539033457248</v>
      </c>
      <c r="Z179" s="5">
        <f t="shared" si="9"/>
        <v>13189.96282527881</v>
      </c>
      <c r="AA179" s="5">
        <f t="shared" si="9"/>
        <v>3889.2193308550186</v>
      </c>
      <c r="AB179" s="5">
        <f t="shared" si="9"/>
        <v>807.06319702602229</v>
      </c>
      <c r="AC179" s="5">
        <f t="shared" si="9"/>
        <v>38189.96282527881</v>
      </c>
      <c r="AD179" s="5">
        <f t="shared" si="9"/>
        <v>250.92936802973978</v>
      </c>
    </row>
    <row r="180" spans="6:31" s="5" customFormat="1" x14ac:dyDescent="0.25">
      <c r="F180" s="5">
        <v>72</v>
      </c>
      <c r="G180" s="5" t="s">
        <v>218</v>
      </c>
      <c r="H180" s="5">
        <f t="shared" si="7"/>
        <v>4869.6078431372543</v>
      </c>
      <c r="I180" s="5">
        <f t="shared" si="9"/>
        <v>163.07189542483658</v>
      </c>
      <c r="J180" s="5">
        <f t="shared" si="9"/>
        <v>0</v>
      </c>
      <c r="K180" s="5">
        <f t="shared" si="9"/>
        <v>142.48366013071896</v>
      </c>
      <c r="L180" s="5">
        <f t="shared" si="9"/>
        <v>0</v>
      </c>
      <c r="M180" s="5">
        <f t="shared" si="9"/>
        <v>2973.5294117647054</v>
      </c>
      <c r="N180" s="5">
        <f t="shared" si="9"/>
        <v>1568.627450980392</v>
      </c>
      <c r="O180" s="5">
        <f t="shared" si="9"/>
        <v>558.49673202614372</v>
      </c>
      <c r="P180" s="5">
        <f t="shared" si="9"/>
        <v>40.849673202614376</v>
      </c>
      <c r="Q180" s="5">
        <f t="shared" si="9"/>
        <v>115.03267973856208</v>
      </c>
      <c r="R180" s="5">
        <f t="shared" si="9"/>
        <v>52.941176470588232</v>
      </c>
      <c r="S180" s="5">
        <f t="shared" si="9"/>
        <v>111.43790849673202</v>
      </c>
      <c r="T180" s="5">
        <f t="shared" si="9"/>
        <v>25.816993464052288</v>
      </c>
      <c r="U180" s="5">
        <f t="shared" si="9"/>
        <v>3.2679738562091503</v>
      </c>
      <c r="V180" s="5">
        <f t="shared" si="9"/>
        <v>65.359477124183002</v>
      </c>
      <c r="W180" s="5">
        <f t="shared" si="9"/>
        <v>152.9411764705882</v>
      </c>
      <c r="X180" s="5">
        <f t="shared" si="9"/>
        <v>0</v>
      </c>
      <c r="Y180" s="5">
        <f t="shared" si="9"/>
        <v>1052.6143790849674</v>
      </c>
      <c r="Z180" s="5">
        <f t="shared" si="9"/>
        <v>4222.2222222222217</v>
      </c>
      <c r="AA180" s="5">
        <f t="shared" si="9"/>
        <v>2127.124183006536</v>
      </c>
      <c r="AB180" s="5">
        <f t="shared" si="9"/>
        <v>286.92810457516333</v>
      </c>
      <c r="AC180" s="5">
        <f t="shared" ref="I180:AD188" si="10">AC80/$D80</f>
        <v>22185.294117647056</v>
      </c>
      <c r="AD180" s="5">
        <f t="shared" si="10"/>
        <v>329.73856209150324</v>
      </c>
    </row>
    <row r="181" spans="6:31" s="5" customFormat="1" x14ac:dyDescent="0.25">
      <c r="F181" s="5">
        <v>73</v>
      </c>
      <c r="G181" s="5" t="s">
        <v>218</v>
      </c>
      <c r="H181" s="5">
        <f t="shared" si="7"/>
        <v>5638.6792452830186</v>
      </c>
      <c r="I181" s="5">
        <f t="shared" si="10"/>
        <v>0</v>
      </c>
      <c r="J181" s="5">
        <f t="shared" si="10"/>
        <v>0</v>
      </c>
      <c r="K181" s="5">
        <f t="shared" si="10"/>
        <v>220.44025157232701</v>
      </c>
      <c r="L181" s="5">
        <f t="shared" si="10"/>
        <v>0</v>
      </c>
      <c r="M181" s="5">
        <f t="shared" si="10"/>
        <v>1147.7987421383648</v>
      </c>
      <c r="N181" s="5">
        <f t="shared" si="10"/>
        <v>1324.2138364779873</v>
      </c>
      <c r="O181" s="5">
        <f t="shared" si="10"/>
        <v>212.57861635220124</v>
      </c>
      <c r="P181" s="5">
        <f t="shared" si="10"/>
        <v>42.452830188679243</v>
      </c>
      <c r="Q181" s="5">
        <f t="shared" si="10"/>
        <v>122.01257861635219</v>
      </c>
      <c r="R181" s="5">
        <f t="shared" si="10"/>
        <v>32.704402515723267</v>
      </c>
      <c r="S181" s="5">
        <f t="shared" si="10"/>
        <v>55.974842767295598</v>
      </c>
      <c r="T181" s="5">
        <f t="shared" si="10"/>
        <v>12.893081761006288</v>
      </c>
      <c r="U181" s="5">
        <f t="shared" si="10"/>
        <v>11.006289308176099</v>
      </c>
      <c r="V181" s="5">
        <f t="shared" si="10"/>
        <v>24.528301886792452</v>
      </c>
      <c r="W181" s="5">
        <f t="shared" si="10"/>
        <v>172.01257861635219</v>
      </c>
      <c r="X181" s="5">
        <f t="shared" si="10"/>
        <v>0</v>
      </c>
      <c r="Y181" s="5">
        <f t="shared" si="10"/>
        <v>877.04402515723268</v>
      </c>
      <c r="Z181" s="5">
        <f t="shared" si="10"/>
        <v>2737.4213836477984</v>
      </c>
      <c r="AA181" s="5">
        <f t="shared" si="10"/>
        <v>760.06289308176099</v>
      </c>
      <c r="AB181" s="5">
        <f t="shared" si="10"/>
        <v>160.69182389937106</v>
      </c>
      <c r="AC181" s="5">
        <f t="shared" si="10"/>
        <v>12520.12578616352</v>
      </c>
      <c r="AD181" s="5">
        <f t="shared" si="10"/>
        <v>291.19496855345909</v>
      </c>
    </row>
    <row r="182" spans="6:31" s="5" customFormat="1" x14ac:dyDescent="0.25">
      <c r="F182" s="5">
        <v>74</v>
      </c>
      <c r="G182" s="5" t="s">
        <v>218</v>
      </c>
      <c r="H182" s="5">
        <f t="shared" si="7"/>
        <v>4973.144104803494</v>
      </c>
      <c r="I182" s="5">
        <f t="shared" si="10"/>
        <v>2741.9213973799124</v>
      </c>
      <c r="J182" s="5">
        <f t="shared" si="10"/>
        <v>387.5545851528384</v>
      </c>
      <c r="K182" s="5">
        <f t="shared" si="10"/>
        <v>271.17903930131001</v>
      </c>
      <c r="L182" s="5">
        <f t="shared" si="10"/>
        <v>615.06550218340612</v>
      </c>
      <c r="M182" s="5">
        <f t="shared" si="10"/>
        <v>18095.196506550219</v>
      </c>
      <c r="N182" s="5">
        <f t="shared" si="10"/>
        <v>1588.8646288209607</v>
      </c>
      <c r="O182" s="5">
        <f t="shared" si="10"/>
        <v>511.5720524017467</v>
      </c>
      <c r="P182" s="5">
        <f t="shared" si="10"/>
        <v>25.327510917030565</v>
      </c>
      <c r="Q182" s="5">
        <f t="shared" si="10"/>
        <v>475.9825327510917</v>
      </c>
      <c r="R182" s="5">
        <f t="shared" si="10"/>
        <v>207.8602620087336</v>
      </c>
      <c r="S182" s="5">
        <f t="shared" si="10"/>
        <v>227.29257641921399</v>
      </c>
      <c r="T182" s="5">
        <f t="shared" si="10"/>
        <v>53.275109170305676</v>
      </c>
      <c r="U182" s="5">
        <f t="shared" si="10"/>
        <v>59.825327510917035</v>
      </c>
      <c r="V182" s="5">
        <f t="shared" si="10"/>
        <v>167.90393013100439</v>
      </c>
      <c r="W182" s="5">
        <f t="shared" si="10"/>
        <v>798.90829694323156</v>
      </c>
      <c r="X182" s="5">
        <f t="shared" si="10"/>
        <v>368.99563318777291</v>
      </c>
      <c r="Y182" s="5">
        <f t="shared" si="10"/>
        <v>4065.5021834061131</v>
      </c>
      <c r="Z182" s="5">
        <f t="shared" si="10"/>
        <v>41845.851528384279</v>
      </c>
      <c r="AA182" s="5">
        <f t="shared" si="10"/>
        <v>49120.087336244535</v>
      </c>
      <c r="AB182" s="5">
        <f t="shared" si="10"/>
        <v>8413.9737991266375</v>
      </c>
      <c r="AC182" s="5">
        <f t="shared" si="10"/>
        <v>161891.70305676857</v>
      </c>
      <c r="AD182" s="5">
        <f t="shared" si="10"/>
        <v>449.34497816593881</v>
      </c>
    </row>
    <row r="183" spans="6:31" s="5" customFormat="1" x14ac:dyDescent="0.25">
      <c r="F183" s="5">
        <v>75</v>
      </c>
      <c r="G183" s="5" t="s">
        <v>218</v>
      </c>
      <c r="H183" s="5">
        <f t="shared" si="7"/>
        <v>3391.8032786885246</v>
      </c>
      <c r="I183" s="5">
        <f t="shared" si="10"/>
        <v>2266.9398907103823</v>
      </c>
      <c r="J183" s="5">
        <f t="shared" si="10"/>
        <v>0</v>
      </c>
      <c r="K183" s="5">
        <f t="shared" si="10"/>
        <v>298.36065573770492</v>
      </c>
      <c r="L183" s="5">
        <f t="shared" si="10"/>
        <v>663.66120218579226</v>
      </c>
      <c r="M183" s="5">
        <f t="shared" si="10"/>
        <v>33213.387978142076</v>
      </c>
      <c r="N183" s="5">
        <f t="shared" si="10"/>
        <v>1948.6338797814205</v>
      </c>
      <c r="O183" s="5">
        <f t="shared" si="10"/>
        <v>466.93989071038249</v>
      </c>
      <c r="P183" s="5">
        <f t="shared" si="10"/>
        <v>49.72677595628415</v>
      </c>
      <c r="Q183" s="5">
        <f t="shared" si="10"/>
        <v>259.56284153005464</v>
      </c>
      <c r="R183" s="5">
        <f t="shared" si="10"/>
        <v>281.69398907103829</v>
      </c>
      <c r="S183" s="5">
        <f t="shared" si="10"/>
        <v>191.53005464480873</v>
      </c>
      <c r="T183" s="5">
        <f t="shared" si="10"/>
        <v>29.234972677595628</v>
      </c>
      <c r="U183" s="5">
        <f t="shared" si="10"/>
        <v>46.448087431693985</v>
      </c>
      <c r="V183" s="5">
        <f t="shared" si="10"/>
        <v>157.10382513661202</v>
      </c>
      <c r="W183" s="5">
        <f t="shared" si="10"/>
        <v>427.86885245901641</v>
      </c>
      <c r="X183" s="5">
        <f t="shared" si="10"/>
        <v>70.491803278688522</v>
      </c>
      <c r="Y183" s="5">
        <f t="shared" si="10"/>
        <v>3221.8579234972676</v>
      </c>
      <c r="Z183" s="5">
        <f t="shared" si="10"/>
        <v>25425.683060109292</v>
      </c>
      <c r="AA183" s="5">
        <f t="shared" si="10"/>
        <v>45157.103825136612</v>
      </c>
      <c r="AB183" s="5">
        <f t="shared" si="10"/>
        <v>4212.5683060109295</v>
      </c>
      <c r="AC183" s="5">
        <f t="shared" si="10"/>
        <v>113919.39890710382</v>
      </c>
      <c r="AD183" s="5">
        <f t="shared" si="10"/>
        <v>475.13661202185796</v>
      </c>
    </row>
    <row r="184" spans="6:31" x14ac:dyDescent="0.25">
      <c r="F184">
        <v>76</v>
      </c>
      <c r="G184" t="s">
        <v>264</v>
      </c>
      <c r="H184">
        <f t="shared" si="7"/>
        <v>4167.9144385026739</v>
      </c>
      <c r="I184">
        <f t="shared" si="10"/>
        <v>0</v>
      </c>
      <c r="J184">
        <f t="shared" si="10"/>
        <v>0</v>
      </c>
      <c r="K184">
        <f t="shared" si="10"/>
        <v>529.94652406417117</v>
      </c>
      <c r="L184">
        <f t="shared" si="10"/>
        <v>0</v>
      </c>
      <c r="M184">
        <f t="shared" si="10"/>
        <v>859.3582887700536</v>
      </c>
      <c r="N184">
        <f t="shared" si="10"/>
        <v>2488.2352941176473</v>
      </c>
      <c r="O184">
        <f t="shared" si="10"/>
        <v>1085.5614973262034</v>
      </c>
      <c r="P184">
        <f t="shared" si="10"/>
        <v>127.27272727272728</v>
      </c>
      <c r="Q184">
        <f t="shared" si="10"/>
        <v>717.11229946524077</v>
      </c>
      <c r="R184">
        <f t="shared" si="10"/>
        <v>55.614973262032095</v>
      </c>
      <c r="S184">
        <f t="shared" si="10"/>
        <v>1583.4224598930482</v>
      </c>
      <c r="T184">
        <f t="shared" si="10"/>
        <v>42.245989304812838</v>
      </c>
      <c r="U184">
        <f t="shared" si="10"/>
        <v>0</v>
      </c>
      <c r="V184">
        <f t="shared" si="10"/>
        <v>96.256684491978618</v>
      </c>
      <c r="W184">
        <f t="shared" si="10"/>
        <v>139.03743315508024</v>
      </c>
      <c r="X184">
        <f t="shared" si="10"/>
        <v>1227.2727272727275</v>
      </c>
      <c r="Y184">
        <f t="shared" si="10"/>
        <v>789.30481283422466</v>
      </c>
      <c r="Z184">
        <f t="shared" si="10"/>
        <v>2534.2245989304815</v>
      </c>
      <c r="AA184">
        <f t="shared" si="10"/>
        <v>949.73262032085586</v>
      </c>
      <c r="AB184">
        <f t="shared" si="10"/>
        <v>163.63636363636365</v>
      </c>
      <c r="AC184">
        <f t="shared" si="10"/>
        <v>9705.3475935828901</v>
      </c>
      <c r="AD184">
        <f t="shared" si="10"/>
        <v>844.38502673796802</v>
      </c>
    </row>
    <row r="185" spans="6:31" x14ac:dyDescent="0.25">
      <c r="F185">
        <v>77</v>
      </c>
      <c r="G185" t="s">
        <v>264</v>
      </c>
      <c r="H185">
        <f t="shared" si="7"/>
        <v>6626.3616557734204</v>
      </c>
      <c r="I185">
        <f t="shared" si="10"/>
        <v>74.074074074074076</v>
      </c>
      <c r="J185">
        <f t="shared" si="10"/>
        <v>0</v>
      </c>
      <c r="K185">
        <f t="shared" si="10"/>
        <v>450.98039215686276</v>
      </c>
      <c r="L185">
        <f t="shared" si="10"/>
        <v>0</v>
      </c>
      <c r="M185">
        <f t="shared" si="10"/>
        <v>2248.1481481481483</v>
      </c>
      <c r="N185">
        <f t="shared" si="10"/>
        <v>1077.7777777777778</v>
      </c>
      <c r="O185">
        <f t="shared" si="10"/>
        <v>510.4575163398693</v>
      </c>
      <c r="P185">
        <f t="shared" si="10"/>
        <v>31.372549019607845</v>
      </c>
      <c r="Q185">
        <f t="shared" si="10"/>
        <v>251.41612200435731</v>
      </c>
      <c r="R185">
        <f t="shared" si="10"/>
        <v>41.394335511982575</v>
      </c>
      <c r="S185">
        <f t="shared" si="10"/>
        <v>480.82788671023968</v>
      </c>
      <c r="T185">
        <f t="shared" si="10"/>
        <v>21.132897603485841</v>
      </c>
      <c r="U185">
        <f t="shared" si="10"/>
        <v>15.468409586056646</v>
      </c>
      <c r="V185">
        <f t="shared" si="10"/>
        <v>34.858387799564277</v>
      </c>
      <c r="W185">
        <f t="shared" si="10"/>
        <v>79.738562091503283</v>
      </c>
      <c r="X185">
        <f t="shared" si="10"/>
        <v>812.85403050108948</v>
      </c>
      <c r="Y185">
        <f t="shared" si="10"/>
        <v>701.74291938997828</v>
      </c>
      <c r="Z185">
        <f t="shared" si="10"/>
        <v>4399.7821350762524</v>
      </c>
      <c r="AA185">
        <f t="shared" si="10"/>
        <v>1230.9368191721135</v>
      </c>
      <c r="AB185">
        <f t="shared" si="10"/>
        <v>151.63398692810458</v>
      </c>
      <c r="AC185">
        <f t="shared" si="10"/>
        <v>19927.668845315904</v>
      </c>
      <c r="AD185">
        <f t="shared" si="10"/>
        <v>378.86710239651421</v>
      </c>
    </row>
    <row r="186" spans="6:31" x14ac:dyDescent="0.25">
      <c r="F186">
        <v>78</v>
      </c>
      <c r="G186" t="s">
        <v>264</v>
      </c>
      <c r="H186">
        <f t="shared" si="7"/>
        <v>3559.5155709342562</v>
      </c>
      <c r="I186">
        <f t="shared" si="10"/>
        <v>58.82352941176471</v>
      </c>
      <c r="J186">
        <f t="shared" si="10"/>
        <v>0</v>
      </c>
      <c r="K186">
        <f t="shared" si="10"/>
        <v>284.42906574394465</v>
      </c>
      <c r="L186">
        <f t="shared" si="10"/>
        <v>0</v>
      </c>
      <c r="M186">
        <f t="shared" si="10"/>
        <v>3223.1833910034607</v>
      </c>
      <c r="N186">
        <f t="shared" si="10"/>
        <v>1354.6712802768166</v>
      </c>
      <c r="O186">
        <f t="shared" si="10"/>
        <v>477.16262975778545</v>
      </c>
      <c r="P186">
        <f t="shared" si="10"/>
        <v>49.826989619377166</v>
      </c>
      <c r="Q186">
        <f t="shared" si="10"/>
        <v>260.89965397923879</v>
      </c>
      <c r="R186">
        <f t="shared" si="10"/>
        <v>15.224913494809689</v>
      </c>
      <c r="S186">
        <f t="shared" si="10"/>
        <v>282.35294117647061</v>
      </c>
      <c r="T186">
        <f t="shared" si="10"/>
        <v>23.875432525951556</v>
      </c>
      <c r="U186">
        <f t="shared" si="10"/>
        <v>20.415224913494811</v>
      </c>
      <c r="V186">
        <f t="shared" si="10"/>
        <v>41.176470588235297</v>
      </c>
      <c r="W186">
        <f t="shared" si="10"/>
        <v>168.85813148788927</v>
      </c>
      <c r="X186">
        <f t="shared" si="10"/>
        <v>481.66089965397924</v>
      </c>
      <c r="Y186">
        <f t="shared" si="10"/>
        <v>544.29065743944636</v>
      </c>
      <c r="Z186">
        <f t="shared" si="10"/>
        <v>0</v>
      </c>
      <c r="AA186">
        <f t="shared" si="10"/>
        <v>1841.8685121107267</v>
      </c>
      <c r="AB186">
        <f t="shared" si="10"/>
        <v>337.37024221453288</v>
      </c>
      <c r="AC186">
        <f t="shared" si="10"/>
        <v>27091.003460207612</v>
      </c>
      <c r="AD186">
        <f t="shared" si="10"/>
        <v>377.50865051903116</v>
      </c>
    </row>
    <row r="187" spans="6:31" x14ac:dyDescent="0.25">
      <c r="F187">
        <v>79</v>
      </c>
      <c r="G187" t="s">
        <v>264</v>
      </c>
      <c r="H187">
        <f>H87/$D87</f>
        <v>6836.7346938775509</v>
      </c>
      <c r="I187">
        <f t="shared" ref="I187:AD187" si="11">I87/$D87</f>
        <v>138.77551020408163</v>
      </c>
      <c r="J187">
        <f t="shared" si="11"/>
        <v>0</v>
      </c>
      <c r="K187">
        <f t="shared" si="11"/>
        <v>713.46938775510205</v>
      </c>
      <c r="L187">
        <f t="shared" si="11"/>
        <v>0</v>
      </c>
      <c r="M187">
        <f t="shared" si="11"/>
        <v>2396.3265306122448</v>
      </c>
      <c r="N187">
        <f t="shared" si="11"/>
        <v>1778.7755102040815</v>
      </c>
      <c r="O187">
        <f t="shared" si="11"/>
        <v>1327.3469387755104</v>
      </c>
      <c r="P187">
        <f t="shared" si="11"/>
        <v>104.89795918367346</v>
      </c>
      <c r="Q187">
        <f t="shared" si="11"/>
        <v>547.34693877551024</v>
      </c>
      <c r="R187">
        <f t="shared" si="11"/>
        <v>66.122448979591837</v>
      </c>
      <c r="S187">
        <f t="shared" si="11"/>
        <v>1228.5714285714287</v>
      </c>
      <c r="T187">
        <f t="shared" si="11"/>
        <v>39.591836734693878</v>
      </c>
      <c r="U187">
        <f t="shared" si="11"/>
        <v>24.081632653061224</v>
      </c>
      <c r="V187">
        <f t="shared" si="11"/>
        <v>65.306122448979593</v>
      </c>
      <c r="W187">
        <f t="shared" si="11"/>
        <v>182.85714285714286</v>
      </c>
      <c r="X187">
        <f t="shared" si="11"/>
        <v>1813.0612244897959</v>
      </c>
      <c r="Y187">
        <f t="shared" si="11"/>
        <v>582.44897959183675</v>
      </c>
      <c r="Z187">
        <f t="shared" si="11"/>
        <v>2829.795918367347</v>
      </c>
      <c r="AA187">
        <f t="shared" si="11"/>
        <v>1783.2653061224489</v>
      </c>
      <c r="AB187">
        <f t="shared" si="11"/>
        <v>219.99999999999997</v>
      </c>
      <c r="AC187">
        <f t="shared" si="11"/>
        <v>22864.489795918365</v>
      </c>
      <c r="AD187">
        <f t="shared" si="11"/>
        <v>904.48979591836735</v>
      </c>
    </row>
    <row r="188" spans="6:31" x14ac:dyDescent="0.25">
      <c r="F188">
        <v>80</v>
      </c>
      <c r="G188" t="s">
        <v>264</v>
      </c>
      <c r="H188">
        <f t="shared" si="7"/>
        <v>4200.5780346820811</v>
      </c>
      <c r="I188">
        <f t="shared" si="10"/>
        <v>230.34682080924856</v>
      </c>
      <c r="J188">
        <f t="shared" si="10"/>
        <v>0</v>
      </c>
      <c r="K188">
        <f t="shared" si="10"/>
        <v>616.47398843930637</v>
      </c>
      <c r="L188">
        <f t="shared" si="10"/>
        <v>335.83815028901734</v>
      </c>
      <c r="M188">
        <f t="shared" si="10"/>
        <v>19960.115606936419</v>
      </c>
      <c r="N188">
        <f t="shared" si="10"/>
        <v>1344.7976878612717</v>
      </c>
      <c r="O188">
        <f t="shared" si="10"/>
        <v>939.88439306358396</v>
      </c>
      <c r="P188">
        <f t="shared" si="10"/>
        <v>49.710982658959537</v>
      </c>
      <c r="Q188">
        <f t="shared" si="10"/>
        <v>426.58959537572252</v>
      </c>
      <c r="R188">
        <f t="shared" si="10"/>
        <v>67.341040462427756</v>
      </c>
      <c r="S188">
        <f t="shared" si="10"/>
        <v>623.12138728323703</v>
      </c>
      <c r="T188">
        <f t="shared" si="10"/>
        <v>17.341040462427745</v>
      </c>
      <c r="U188">
        <f t="shared" si="10"/>
        <v>2.8901734104046244</v>
      </c>
      <c r="V188">
        <f t="shared" si="10"/>
        <v>34.393063583815028</v>
      </c>
      <c r="W188">
        <f t="shared" si="10"/>
        <v>166.76300578034682</v>
      </c>
      <c r="X188">
        <f t="shared" si="10"/>
        <v>1855.2023121387283</v>
      </c>
      <c r="Y188">
        <f t="shared" si="10"/>
        <v>964.16184971098266</v>
      </c>
      <c r="Z188">
        <f t="shared" si="10"/>
        <v>5705.2023121387283</v>
      </c>
      <c r="AA188">
        <f t="shared" si="10"/>
        <v>2699.7109826589594</v>
      </c>
      <c r="AB188">
        <f t="shared" si="10"/>
        <v>567.63005780346828</v>
      </c>
      <c r="AC188">
        <f t="shared" si="10"/>
        <v>18256.069364161849</v>
      </c>
      <c r="AD188">
        <f t="shared" si="10"/>
        <v>799.4219653179191</v>
      </c>
    </row>
    <row r="191" spans="6:31" x14ac:dyDescent="0.25">
      <c r="G191" t="s">
        <v>315</v>
      </c>
    </row>
    <row r="192" spans="6:31" x14ac:dyDescent="0.25">
      <c r="G192" t="s">
        <v>316</v>
      </c>
      <c r="H192" s="3">
        <f t="shared" ref="H192:AD192" si="12">AVERAGE(H110:H123)</f>
        <v>2878.668710583444</v>
      </c>
      <c r="I192" s="3">
        <f t="shared" si="12"/>
        <v>49.357796856736137</v>
      </c>
      <c r="J192" s="3">
        <f t="shared" si="12"/>
        <v>0</v>
      </c>
      <c r="K192" s="3">
        <f t="shared" si="12"/>
        <v>186.55751804230658</v>
      </c>
      <c r="L192" s="3">
        <f t="shared" si="12"/>
        <v>46.18705736075632</v>
      </c>
      <c r="M192" s="3">
        <f t="shared" si="12"/>
        <v>1064.1822015463499</v>
      </c>
      <c r="N192" s="3">
        <f t="shared" si="12"/>
        <v>1406.4823672191519</v>
      </c>
      <c r="O192" s="3">
        <f t="shared" si="12"/>
        <v>443.54451145780018</v>
      </c>
      <c r="P192" s="3">
        <f t="shared" si="12"/>
        <v>52.987294071365966</v>
      </c>
      <c r="Q192" s="3">
        <f t="shared" si="12"/>
        <v>201.24798305280743</v>
      </c>
      <c r="R192" s="3">
        <f t="shared" si="12"/>
        <v>22.64859656091603</v>
      </c>
      <c r="S192" s="3">
        <f t="shared" si="12"/>
        <v>219.49026731065285</v>
      </c>
      <c r="T192" s="3">
        <f t="shared" si="12"/>
        <v>17.31988041100205</v>
      </c>
      <c r="U192" s="3">
        <f t="shared" si="12"/>
        <v>22.436152166451148</v>
      </c>
      <c r="V192" s="3">
        <f t="shared" si="12"/>
        <v>39.928275987075914</v>
      </c>
      <c r="W192" s="3">
        <f t="shared" si="12"/>
        <v>222.8503019790538</v>
      </c>
      <c r="X192" s="3">
        <f t="shared" si="12"/>
        <v>44.605208590781707</v>
      </c>
      <c r="Y192" s="3">
        <f t="shared" si="12"/>
        <v>452.0036070307255</v>
      </c>
      <c r="Z192" s="3">
        <f t="shared" si="12"/>
        <v>3174.6774750004283</v>
      </c>
      <c r="AA192" s="3">
        <f t="shared" si="12"/>
        <v>868.45537204734569</v>
      </c>
      <c r="AB192" s="3">
        <f t="shared" si="12"/>
        <v>138.38504737521561</v>
      </c>
      <c r="AC192" s="3">
        <f t="shared" si="12"/>
        <v>7709.389116831876</v>
      </c>
      <c r="AD192" s="3">
        <f t="shared" si="12"/>
        <v>320.21993965854296</v>
      </c>
      <c r="AE192" s="3"/>
    </row>
    <row r="193" spans="7:31" x14ac:dyDescent="0.25">
      <c r="G193" t="s">
        <v>80</v>
      </c>
      <c r="H193" s="3">
        <f t="shared" ref="H193:AD193" si="13">AVERAGE(H124:H138)</f>
        <v>3360.3775504946029</v>
      </c>
      <c r="I193" s="3">
        <f t="shared" si="13"/>
        <v>406.61336056514665</v>
      </c>
      <c r="J193" s="3">
        <f t="shared" si="13"/>
        <v>19.916405433646812</v>
      </c>
      <c r="K193" s="3">
        <f t="shared" si="13"/>
        <v>428.90428228540162</v>
      </c>
      <c r="L193" s="3">
        <f t="shared" si="13"/>
        <v>85.289644553116148</v>
      </c>
      <c r="M193" s="3">
        <f t="shared" si="13"/>
        <v>2063.0527905958666</v>
      </c>
      <c r="N193" s="3">
        <f t="shared" si="13"/>
        <v>1593.2243932439815</v>
      </c>
      <c r="O193" s="3">
        <f t="shared" si="13"/>
        <v>944.04975096266071</v>
      </c>
      <c r="P193" s="3">
        <f t="shared" si="13"/>
        <v>56.686813534447722</v>
      </c>
      <c r="Q193" s="3">
        <f t="shared" si="13"/>
        <v>323.19573696713945</v>
      </c>
      <c r="R193" s="3">
        <f t="shared" si="13"/>
        <v>49.112968388765772</v>
      </c>
      <c r="S193" s="3">
        <f t="shared" si="13"/>
        <v>573.29104240956065</v>
      </c>
      <c r="T193" s="3">
        <f t="shared" si="13"/>
        <v>18.917637136732711</v>
      </c>
      <c r="U193" s="3">
        <f t="shared" si="13"/>
        <v>31.595910867148529</v>
      </c>
      <c r="V193" s="3">
        <f t="shared" si="13"/>
        <v>71.728695759450602</v>
      </c>
      <c r="W193" s="3">
        <f t="shared" si="13"/>
        <v>376.28267238514491</v>
      </c>
      <c r="X193" s="3">
        <f t="shared" si="13"/>
        <v>592.35963991814174</v>
      </c>
      <c r="Y193" s="3">
        <f t="shared" si="13"/>
        <v>1211.5519203392544</v>
      </c>
      <c r="Z193" s="3">
        <f t="shared" si="13"/>
        <v>13555.377248134972</v>
      </c>
      <c r="AA193" s="3">
        <f t="shared" si="13"/>
        <v>3287.8350832155757</v>
      </c>
      <c r="AB193" s="3">
        <f t="shared" si="13"/>
        <v>704.91685750250031</v>
      </c>
      <c r="AC193" s="3">
        <f t="shared" si="13"/>
        <v>8110.2131337036444</v>
      </c>
      <c r="AD193" s="3">
        <f t="shared" si="13"/>
        <v>597.83879499374314</v>
      </c>
      <c r="AE193" s="3"/>
    </row>
    <row r="194" spans="7:31" x14ac:dyDescent="0.25">
      <c r="G194" t="s">
        <v>126</v>
      </c>
      <c r="H194" s="3">
        <f t="shared" ref="H194:AD194" si="14">AVERAGE(H139:H153)</f>
        <v>5970.9020186818316</v>
      </c>
      <c r="I194" s="3">
        <f t="shared" si="14"/>
        <v>606.71954828518778</v>
      </c>
      <c r="J194" s="3">
        <f t="shared" si="14"/>
        <v>24.457142857142856</v>
      </c>
      <c r="K194" s="3">
        <f t="shared" si="14"/>
        <v>339.9440823230014</v>
      </c>
      <c r="L194" s="3">
        <f t="shared" si="14"/>
        <v>107.17935655750446</v>
      </c>
      <c r="M194" s="3">
        <f t="shared" si="14"/>
        <v>3275.0530805376902</v>
      </c>
      <c r="N194" s="3">
        <f t="shared" si="14"/>
        <v>2144.5982564546262</v>
      </c>
      <c r="O194" s="3">
        <f t="shared" si="14"/>
        <v>607.68716995076522</v>
      </c>
      <c r="P194" s="3">
        <f t="shared" si="14"/>
        <v>89.51861303065786</v>
      </c>
      <c r="Q194" s="3">
        <f t="shared" si="14"/>
        <v>370.21126820390765</v>
      </c>
      <c r="R194" s="3">
        <f t="shared" si="14"/>
        <v>50.252702163124624</v>
      </c>
      <c r="S194" s="3">
        <f t="shared" si="14"/>
        <v>265.92459238340092</v>
      </c>
      <c r="T194" s="3">
        <f t="shared" si="14"/>
        <v>26.612369554556025</v>
      </c>
      <c r="U194" s="3">
        <f t="shared" si="14"/>
        <v>40.976594741357786</v>
      </c>
      <c r="V194" s="3">
        <f t="shared" si="14"/>
        <v>77.041981080013542</v>
      </c>
      <c r="W194" s="3">
        <f t="shared" si="14"/>
        <v>435.12722474702514</v>
      </c>
      <c r="X194" s="3">
        <f t="shared" si="14"/>
        <v>253.97590834797307</v>
      </c>
      <c r="Y194" s="3">
        <f t="shared" si="14"/>
        <v>1888.6346212077083</v>
      </c>
      <c r="Z194" s="3">
        <f t="shared" si="14"/>
        <v>15572.930277621292</v>
      </c>
      <c r="AA194" s="3">
        <f t="shared" si="14"/>
        <v>3116.9716151879252</v>
      </c>
      <c r="AB194" s="3">
        <f t="shared" si="14"/>
        <v>815.36916993582713</v>
      </c>
      <c r="AC194" s="3">
        <f t="shared" si="14"/>
        <v>15447.102725479817</v>
      </c>
      <c r="AD194" s="3">
        <f t="shared" si="14"/>
        <v>521.40101806046141</v>
      </c>
      <c r="AE194" s="3"/>
    </row>
    <row r="195" spans="7:31" x14ac:dyDescent="0.25">
      <c r="G195" t="s">
        <v>172</v>
      </c>
      <c r="H195" s="3">
        <f t="shared" ref="H195:AD195" si="15">AVERAGE(H154:H168)</f>
        <v>4572.5573279563205</v>
      </c>
      <c r="I195" s="3">
        <f t="shared" si="15"/>
        <v>453.6199102894588</v>
      </c>
      <c r="J195" s="3">
        <f t="shared" si="15"/>
        <v>41.288493332715277</v>
      </c>
      <c r="K195" s="3">
        <f t="shared" si="15"/>
        <v>191.78977175706737</v>
      </c>
      <c r="L195" s="3">
        <f t="shared" si="15"/>
        <v>101.67517772670371</v>
      </c>
      <c r="M195" s="3">
        <f t="shared" si="15"/>
        <v>5237.6650814131863</v>
      </c>
      <c r="N195" s="3">
        <f t="shared" si="15"/>
        <v>1794.4513878720745</v>
      </c>
      <c r="O195" s="3">
        <f t="shared" si="15"/>
        <v>402.50994689455462</v>
      </c>
      <c r="P195" s="3">
        <f t="shared" si="15"/>
        <v>57.101030632180063</v>
      </c>
      <c r="Q195" s="3">
        <f t="shared" si="15"/>
        <v>220.31408680013655</v>
      </c>
      <c r="R195" s="3">
        <f t="shared" si="15"/>
        <v>45.574947161012716</v>
      </c>
      <c r="S195" s="3">
        <f t="shared" si="15"/>
        <v>112.06012070310098</v>
      </c>
      <c r="T195" s="3">
        <f t="shared" si="15"/>
        <v>26.600123913834402</v>
      </c>
      <c r="U195" s="3">
        <f t="shared" si="15"/>
        <v>29.051664048461003</v>
      </c>
      <c r="V195" s="3">
        <f t="shared" si="15"/>
        <v>71.250039637784326</v>
      </c>
      <c r="W195" s="3">
        <f t="shared" si="15"/>
        <v>460.63864918735936</v>
      </c>
      <c r="X195" s="3">
        <f t="shared" si="15"/>
        <v>95.920063521054871</v>
      </c>
      <c r="Y195" s="3">
        <f t="shared" si="15"/>
        <v>2034.0076604988355</v>
      </c>
      <c r="Z195" s="3">
        <f t="shared" si="15"/>
        <v>12007.89033636412</v>
      </c>
      <c r="AA195" s="3">
        <f t="shared" si="15"/>
        <v>4693.5413678823197</v>
      </c>
      <c r="AB195" s="3">
        <f t="shared" si="15"/>
        <v>905.48185328420334</v>
      </c>
      <c r="AC195" s="3">
        <f t="shared" si="15"/>
        <v>18099.643335021956</v>
      </c>
      <c r="AD195" s="3">
        <f t="shared" si="15"/>
        <v>334.93070181981381</v>
      </c>
      <c r="AE195" s="3"/>
    </row>
    <row r="196" spans="7:31" x14ac:dyDescent="0.25">
      <c r="G196" t="s">
        <v>218</v>
      </c>
      <c r="H196" s="3">
        <f t="shared" ref="H196:AD196" si="16">AVERAGE(H169:H183)</f>
        <v>5869.5300391930241</v>
      </c>
      <c r="I196" s="3">
        <f t="shared" si="16"/>
        <v>1302.7761858053807</v>
      </c>
      <c r="J196" s="3">
        <f t="shared" si="16"/>
        <v>82.819454826005042</v>
      </c>
      <c r="K196" s="3">
        <f t="shared" si="16"/>
        <v>239.87448668719236</v>
      </c>
      <c r="L196" s="3">
        <f t="shared" si="16"/>
        <v>294.64164789181729</v>
      </c>
      <c r="M196" s="3">
        <f t="shared" si="16"/>
        <v>9396.8299710430838</v>
      </c>
      <c r="N196" s="3">
        <f t="shared" si="16"/>
        <v>1734.0307798073516</v>
      </c>
      <c r="O196" s="3">
        <f t="shared" si="16"/>
        <v>466.01037393034528</v>
      </c>
      <c r="P196" s="3">
        <f t="shared" si="16"/>
        <v>44.864341690240508</v>
      </c>
      <c r="Q196" s="3">
        <f t="shared" si="16"/>
        <v>263.17725890967716</v>
      </c>
      <c r="R196" s="3">
        <f t="shared" si="16"/>
        <v>152.31497143616022</v>
      </c>
      <c r="S196" s="3">
        <f t="shared" si="16"/>
        <v>142.34437136363186</v>
      </c>
      <c r="T196" s="3">
        <f t="shared" si="16"/>
        <v>32.492645153496269</v>
      </c>
      <c r="U196" s="3">
        <f t="shared" si="16"/>
        <v>39.4921880586013</v>
      </c>
      <c r="V196" s="3">
        <f t="shared" si="16"/>
        <v>133.49085597059937</v>
      </c>
      <c r="W196" s="3">
        <f t="shared" si="16"/>
        <v>542.27833626495465</v>
      </c>
      <c r="X196" s="3">
        <f t="shared" si="16"/>
        <v>156.95277619039237</v>
      </c>
      <c r="Y196" s="3">
        <f t="shared" si="16"/>
        <v>2569.5048256249165</v>
      </c>
      <c r="Z196" s="3">
        <f t="shared" si="16"/>
        <v>19999.785914563316</v>
      </c>
      <c r="AA196" s="3">
        <f t="shared" si="16"/>
        <v>22361.970240321771</v>
      </c>
      <c r="AB196" s="3">
        <f t="shared" si="16"/>
        <v>3949.4045776182279</v>
      </c>
      <c r="AC196" s="3">
        <f t="shared" si="16"/>
        <v>72747.154614855666</v>
      </c>
      <c r="AD196" s="3">
        <f t="shared" si="16"/>
        <v>374.9407650040568</v>
      </c>
      <c r="AE196" s="3"/>
    </row>
  </sheetData>
  <sortState xmlns:xlrd2="http://schemas.microsoft.com/office/spreadsheetml/2017/richdata2" ref="A10:AD97">
    <sortCondition ref="A10:A97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5C57-BF07-4523-9773-D5F331730ECC}">
  <dimension ref="A1:AA80"/>
  <sheetViews>
    <sheetView tabSelected="1" workbookViewId="0">
      <selection activeCell="G8" sqref="G8"/>
    </sheetView>
  </sheetViews>
  <sheetFormatPr defaultRowHeight="15" x14ac:dyDescent="0.25"/>
  <cols>
    <col min="2" max="2" width="18.5703125" bestFit="1" customWidth="1"/>
  </cols>
  <sheetData>
    <row r="1" spans="1:27" x14ac:dyDescent="0.25">
      <c r="A1" t="s">
        <v>375</v>
      </c>
      <c r="B1" t="s">
        <v>402</v>
      </c>
      <c r="C1" t="s">
        <v>376</v>
      </c>
      <c r="D1" t="s">
        <v>30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 x14ac:dyDescent="0.25">
      <c r="A2">
        <v>33.5</v>
      </c>
      <c r="B2" s="4">
        <f>A2/1000</f>
        <v>3.3500000000000002E-2</v>
      </c>
      <c r="C2">
        <v>1</v>
      </c>
      <c r="D2" t="s">
        <v>37</v>
      </c>
      <c r="E2">
        <v>2897.313432835821</v>
      </c>
      <c r="F2">
        <v>0</v>
      </c>
      <c r="G2">
        <v>0</v>
      </c>
      <c r="H2">
        <v>234.92537313432834</v>
      </c>
      <c r="I2">
        <v>21.791044776119403</v>
      </c>
      <c r="J2">
        <v>631.64179104477614</v>
      </c>
      <c r="K2">
        <v>1629.5522388059701</v>
      </c>
      <c r="L2">
        <v>309.25373134328356</v>
      </c>
      <c r="M2">
        <v>30.447761194029848</v>
      </c>
      <c r="N2">
        <v>279.70149253731341</v>
      </c>
      <c r="O2">
        <v>13.134328358208954</v>
      </c>
      <c r="P2">
        <v>310.74626865671638</v>
      </c>
      <c r="Q2">
        <v>23.582089552238806</v>
      </c>
      <c r="R2">
        <v>17.611940298507459</v>
      </c>
      <c r="S2">
        <v>59.701492537313428</v>
      </c>
      <c r="T2">
        <v>361.49253731343282</v>
      </c>
      <c r="U2">
        <v>216.41791044776119</v>
      </c>
      <c r="V2">
        <v>285.37313432835822</v>
      </c>
      <c r="W2">
        <v>3271.3432835820895</v>
      </c>
      <c r="X2">
        <v>858.80597014925365</v>
      </c>
      <c r="Y2">
        <v>160.89552238805967</v>
      </c>
      <c r="Z2">
        <v>2040.5970149253731</v>
      </c>
      <c r="AA2">
        <v>276.41791044776119</v>
      </c>
    </row>
    <row r="3" spans="1:27" x14ac:dyDescent="0.25">
      <c r="A3">
        <v>38.1</v>
      </c>
      <c r="B3" s="4">
        <f t="shared" ref="B3:B66" si="0">A3/1000</f>
        <v>3.8100000000000002E-2</v>
      </c>
      <c r="C3">
        <v>2</v>
      </c>
      <c r="D3" t="s">
        <v>37</v>
      </c>
      <c r="E3">
        <v>3728.0839895013119</v>
      </c>
      <c r="F3">
        <v>44.619422572178472</v>
      </c>
      <c r="G3">
        <v>0</v>
      </c>
      <c r="H3">
        <v>215.74803149606299</v>
      </c>
      <c r="I3">
        <v>65.879265091863502</v>
      </c>
      <c r="J3">
        <v>927.03412073490813</v>
      </c>
      <c r="K3">
        <v>1643.0446194225722</v>
      </c>
      <c r="L3">
        <v>361.94225721784773</v>
      </c>
      <c r="M3">
        <v>50.131233595800524</v>
      </c>
      <c r="N3">
        <v>215.22309711286087</v>
      </c>
      <c r="O3">
        <v>34.908136482939632</v>
      </c>
      <c r="P3">
        <v>287.92650918635172</v>
      </c>
      <c r="Q3">
        <v>20.73490813648294</v>
      </c>
      <c r="R3">
        <v>21.522309711286088</v>
      </c>
      <c r="S3">
        <v>41.99475065616798</v>
      </c>
      <c r="T3">
        <v>223.35958005249341</v>
      </c>
      <c r="U3">
        <v>0</v>
      </c>
      <c r="V3">
        <v>486.35170603674544</v>
      </c>
      <c r="W3">
        <v>4418.8976377952758</v>
      </c>
      <c r="X3">
        <v>973.22834645669286</v>
      </c>
      <c r="Y3">
        <v>149.08136482939631</v>
      </c>
      <c r="Z3">
        <v>7883.202099737533</v>
      </c>
      <c r="AA3">
        <v>329.39632545931761</v>
      </c>
    </row>
    <row r="4" spans="1:27" x14ac:dyDescent="0.25">
      <c r="A4">
        <v>31.5</v>
      </c>
      <c r="B4" s="4">
        <f t="shared" si="0"/>
        <v>3.15E-2</v>
      </c>
      <c r="C4">
        <v>3</v>
      </c>
      <c r="D4" t="s">
        <v>37</v>
      </c>
      <c r="E4">
        <v>2432.6984126984125</v>
      </c>
      <c r="F4">
        <v>53.968253968253968</v>
      </c>
      <c r="G4">
        <v>0</v>
      </c>
      <c r="H4">
        <v>282.53968253968253</v>
      </c>
      <c r="I4">
        <v>150.47619047619048</v>
      </c>
      <c r="J4">
        <v>1070.7936507936506</v>
      </c>
      <c r="K4">
        <v>1941.2698412698412</v>
      </c>
      <c r="L4">
        <v>743.80952380952374</v>
      </c>
      <c r="M4">
        <v>90.476190476190482</v>
      </c>
      <c r="N4">
        <v>289.20634920634916</v>
      </c>
      <c r="O4">
        <v>13.968253968253968</v>
      </c>
      <c r="P4">
        <v>365.71428571428572</v>
      </c>
      <c r="Q4">
        <v>25.079365079365079</v>
      </c>
      <c r="R4">
        <v>40.317460317460316</v>
      </c>
      <c r="S4">
        <v>50.793650793650798</v>
      </c>
      <c r="T4">
        <v>364.76190476190476</v>
      </c>
      <c r="U4">
        <v>0</v>
      </c>
      <c r="V4">
        <v>529.52380952380952</v>
      </c>
      <c r="W4">
        <v>4101.5873015873012</v>
      </c>
      <c r="X4">
        <v>841.90476190476193</v>
      </c>
      <c r="Y4">
        <v>134.60317460317461</v>
      </c>
      <c r="Z4">
        <v>4070.1587301587306</v>
      </c>
      <c r="AA4">
        <v>501.26984126984127</v>
      </c>
    </row>
    <row r="5" spans="1:27" x14ac:dyDescent="0.25">
      <c r="A5">
        <v>33.4</v>
      </c>
      <c r="B5" s="4">
        <f t="shared" si="0"/>
        <v>3.3399999999999999E-2</v>
      </c>
      <c r="C5">
        <v>4</v>
      </c>
      <c r="D5" t="s">
        <v>37</v>
      </c>
      <c r="E5">
        <v>2717.6646706586826</v>
      </c>
      <c r="F5">
        <v>50.898203592814369</v>
      </c>
      <c r="G5">
        <v>0</v>
      </c>
      <c r="H5">
        <v>194.31137724550899</v>
      </c>
      <c r="I5">
        <v>120.65868263473055</v>
      </c>
      <c r="J5">
        <v>1757.7844311377246</v>
      </c>
      <c r="K5">
        <v>1917.9640718562875</v>
      </c>
      <c r="L5">
        <v>412.87425149700596</v>
      </c>
      <c r="M5">
        <v>68.562874251497007</v>
      </c>
      <c r="N5">
        <v>116.16766467065868</v>
      </c>
      <c r="O5">
        <v>22.155688622754493</v>
      </c>
      <c r="P5">
        <v>157.18562874251498</v>
      </c>
      <c r="Q5">
        <v>17.964071856287426</v>
      </c>
      <c r="R5">
        <v>44.610778443113773</v>
      </c>
      <c r="S5">
        <v>35.628742514970057</v>
      </c>
      <c r="T5">
        <v>330.53892215568862</v>
      </c>
      <c r="U5">
        <v>0</v>
      </c>
      <c r="V5">
        <v>382.33532934131739</v>
      </c>
      <c r="W5">
        <v>3868.2634730538921</v>
      </c>
      <c r="X5">
        <v>1335.0299401197606</v>
      </c>
      <c r="Y5">
        <v>218.86227544910179</v>
      </c>
      <c r="Z5">
        <v>6751.19760479042</v>
      </c>
      <c r="AA5">
        <v>277.24550898203591</v>
      </c>
    </row>
    <row r="6" spans="1:27" x14ac:dyDescent="0.25">
      <c r="A6">
        <v>50.9</v>
      </c>
      <c r="B6" s="4">
        <f t="shared" si="0"/>
        <v>5.0900000000000001E-2</v>
      </c>
      <c r="C6">
        <v>6</v>
      </c>
      <c r="D6" t="s">
        <v>37</v>
      </c>
      <c r="E6">
        <v>2690.9626719056973</v>
      </c>
      <c r="F6">
        <v>33.398821218074652</v>
      </c>
      <c r="G6">
        <v>0</v>
      </c>
      <c r="H6">
        <v>273.08447937131632</v>
      </c>
      <c r="I6">
        <v>0</v>
      </c>
      <c r="J6">
        <v>1241.4538310412572</v>
      </c>
      <c r="K6">
        <v>1115.5206286836935</v>
      </c>
      <c r="L6">
        <v>580.35363457760309</v>
      </c>
      <c r="M6">
        <v>26.522593320235757</v>
      </c>
      <c r="N6">
        <v>248.72298624754421</v>
      </c>
      <c r="O6">
        <v>43.025540275049117</v>
      </c>
      <c r="P6">
        <v>372.88801571709234</v>
      </c>
      <c r="Q6">
        <v>11.787819253438114</v>
      </c>
      <c r="R6">
        <v>20.628683693516699</v>
      </c>
      <c r="S6">
        <v>23.379174852652259</v>
      </c>
      <c r="T6">
        <v>126.52259332023576</v>
      </c>
      <c r="U6">
        <v>408.05500982318267</v>
      </c>
      <c r="V6">
        <v>450.49115913555988</v>
      </c>
      <c r="W6">
        <v>3600.7858546168959</v>
      </c>
      <c r="X6">
        <v>649.11591355599217</v>
      </c>
      <c r="Y6">
        <v>90.373280943025534</v>
      </c>
      <c r="Z6">
        <v>4265.6188605108055</v>
      </c>
      <c r="AA6">
        <v>404.32220039292724</v>
      </c>
    </row>
    <row r="7" spans="1:27" x14ac:dyDescent="0.25">
      <c r="A7">
        <v>27.9</v>
      </c>
      <c r="B7" s="4">
        <f t="shared" si="0"/>
        <v>2.7899999999999998E-2</v>
      </c>
      <c r="C7">
        <v>7</v>
      </c>
      <c r="D7" t="s">
        <v>37</v>
      </c>
      <c r="E7">
        <v>3147.3118279569894</v>
      </c>
      <c r="F7">
        <v>285.66308243727599</v>
      </c>
      <c r="G7">
        <v>0</v>
      </c>
      <c r="H7">
        <v>367.3835125448029</v>
      </c>
      <c r="I7">
        <v>287.81362007168457</v>
      </c>
      <c r="J7">
        <v>1308.2437275985665</v>
      </c>
      <c r="K7">
        <v>2400.3584229390681</v>
      </c>
      <c r="L7">
        <v>839.78494623655922</v>
      </c>
      <c r="M7">
        <v>88.530465949820808</v>
      </c>
      <c r="N7">
        <v>349.82078853046596</v>
      </c>
      <c r="O7">
        <v>37.275985663082444</v>
      </c>
      <c r="P7">
        <v>412.90322580645164</v>
      </c>
      <c r="Q7">
        <v>34.767025089605738</v>
      </c>
      <c r="R7">
        <v>45.519713261648747</v>
      </c>
      <c r="S7">
        <v>57.347670250896066</v>
      </c>
      <c r="T7">
        <v>462.36559139784953</v>
      </c>
      <c r="U7">
        <v>0</v>
      </c>
      <c r="V7">
        <v>970.60931899641582</v>
      </c>
      <c r="W7">
        <v>5059.8566308243726</v>
      </c>
      <c r="X7">
        <v>2111.1111111111113</v>
      </c>
      <c r="Y7">
        <v>262.00716845878139</v>
      </c>
      <c r="Z7">
        <v>29765.591397849465</v>
      </c>
      <c r="AA7">
        <v>507.88530465949827</v>
      </c>
    </row>
    <row r="8" spans="1:27" x14ac:dyDescent="0.25">
      <c r="A8">
        <v>38.6</v>
      </c>
      <c r="B8" s="4">
        <f t="shared" si="0"/>
        <v>3.8600000000000002E-2</v>
      </c>
      <c r="C8">
        <v>8</v>
      </c>
      <c r="D8" t="s">
        <v>37</v>
      </c>
      <c r="E8">
        <v>2792.7461139896373</v>
      </c>
      <c r="F8">
        <v>129.27461139896374</v>
      </c>
      <c r="G8">
        <v>0</v>
      </c>
      <c r="H8">
        <v>186.01036269430051</v>
      </c>
      <c r="I8">
        <v>0</v>
      </c>
      <c r="J8">
        <v>1423.5751295336788</v>
      </c>
      <c r="K8">
        <v>1205.4404145077719</v>
      </c>
      <c r="L8">
        <v>357.25388601036263</v>
      </c>
      <c r="M8">
        <v>38.601036269430047</v>
      </c>
      <c r="N8">
        <v>289.11917098445593</v>
      </c>
      <c r="O8">
        <v>34.4559585492228</v>
      </c>
      <c r="P8">
        <v>226.16580310880829</v>
      </c>
      <c r="Q8">
        <v>13.212435233160621</v>
      </c>
      <c r="R8">
        <v>21.243523316062173</v>
      </c>
      <c r="S8">
        <v>20.207253886010363</v>
      </c>
      <c r="T8">
        <v>171.76165803108807</v>
      </c>
      <c r="U8">
        <v>0</v>
      </c>
      <c r="V8">
        <v>701.55440414507768</v>
      </c>
      <c r="W8">
        <v>4227.4611398963734</v>
      </c>
      <c r="X8">
        <v>801.55440414507768</v>
      </c>
      <c r="Y8">
        <v>162.95336787564767</v>
      </c>
      <c r="Z8">
        <v>7555.6994818652838</v>
      </c>
      <c r="AA8">
        <v>282.64248704663208</v>
      </c>
    </row>
    <row r="9" spans="1:27" x14ac:dyDescent="0.25">
      <c r="A9">
        <v>33.4</v>
      </c>
      <c r="B9" s="4">
        <f t="shared" si="0"/>
        <v>3.3399999999999999E-2</v>
      </c>
      <c r="C9">
        <v>9</v>
      </c>
      <c r="D9" t="s">
        <v>37</v>
      </c>
      <c r="E9">
        <v>2123.9520958083831</v>
      </c>
      <c r="F9">
        <v>50.898203592814369</v>
      </c>
      <c r="G9">
        <v>0</v>
      </c>
      <c r="H9">
        <v>173.35329341317365</v>
      </c>
      <c r="I9">
        <v>0</v>
      </c>
      <c r="J9">
        <v>1045.5089820359283</v>
      </c>
      <c r="K9">
        <v>1304.7904191616767</v>
      </c>
      <c r="L9">
        <v>793.71257485029946</v>
      </c>
      <c r="M9">
        <v>93.712574850299404</v>
      </c>
      <c r="N9">
        <v>233.8323353293413</v>
      </c>
      <c r="O9">
        <v>35.32934131736527</v>
      </c>
      <c r="P9">
        <v>286.82634730538922</v>
      </c>
      <c r="Q9">
        <v>26.347305389221557</v>
      </c>
      <c r="R9">
        <v>31.437125748502996</v>
      </c>
      <c r="S9">
        <v>59.880239520958085</v>
      </c>
      <c r="T9">
        <v>152.09580838323353</v>
      </c>
      <c r="U9">
        <v>0</v>
      </c>
      <c r="V9">
        <v>351.19760479041918</v>
      </c>
      <c r="W9">
        <v>1418.8622754491018</v>
      </c>
      <c r="X9">
        <v>861.37724550898201</v>
      </c>
      <c r="Y9">
        <v>137.72455089820357</v>
      </c>
      <c r="Z9">
        <v>12486.82634730539</v>
      </c>
      <c r="AA9">
        <v>448.50299401197606</v>
      </c>
    </row>
    <row r="10" spans="1:27" x14ac:dyDescent="0.25">
      <c r="A10">
        <v>40.200000000000003</v>
      </c>
      <c r="B10" s="4">
        <f t="shared" si="0"/>
        <v>4.02E-2</v>
      </c>
      <c r="C10">
        <v>10</v>
      </c>
      <c r="D10" t="s">
        <v>37</v>
      </c>
      <c r="E10">
        <v>3499.5024875621893</v>
      </c>
      <c r="F10">
        <v>42.288557213930346</v>
      </c>
      <c r="G10">
        <v>0</v>
      </c>
      <c r="H10">
        <v>135.07462686567163</v>
      </c>
      <c r="I10">
        <v>0</v>
      </c>
      <c r="J10">
        <v>442.2885572139304</v>
      </c>
      <c r="K10">
        <v>1029.1044776119402</v>
      </c>
      <c r="L10">
        <v>425.12437810945272</v>
      </c>
      <c r="M10">
        <v>63.930348258706466</v>
      </c>
      <c r="N10">
        <v>154.22885572139305</v>
      </c>
      <c r="O10">
        <v>18.407960199004975</v>
      </c>
      <c r="P10">
        <v>100.24875621890548</v>
      </c>
      <c r="Q10">
        <v>14.925373134328359</v>
      </c>
      <c r="R10">
        <v>14.676616915422885</v>
      </c>
      <c r="S10">
        <v>39.800995024875625</v>
      </c>
      <c r="T10">
        <v>160.19900497512438</v>
      </c>
      <c r="U10">
        <v>0</v>
      </c>
      <c r="V10">
        <v>317.66169154228857</v>
      </c>
      <c r="W10">
        <v>3792.5373134328361</v>
      </c>
      <c r="X10">
        <v>540.04975124378109</v>
      </c>
      <c r="Y10">
        <v>63.184079601990049</v>
      </c>
      <c r="Z10">
        <v>4569.9004975124381</v>
      </c>
      <c r="AA10">
        <v>188.80597014925374</v>
      </c>
    </row>
    <row r="11" spans="1:27" x14ac:dyDescent="0.25">
      <c r="A11">
        <v>36.5</v>
      </c>
      <c r="B11" s="4">
        <f t="shared" si="0"/>
        <v>3.6499999999999998E-2</v>
      </c>
      <c r="C11">
        <v>11</v>
      </c>
      <c r="D11" t="s">
        <v>37</v>
      </c>
      <c r="E11">
        <v>3596.7123287671234</v>
      </c>
      <c r="F11">
        <v>0</v>
      </c>
      <c r="G11">
        <v>0</v>
      </c>
      <c r="H11">
        <v>139.17808219178085</v>
      </c>
      <c r="I11">
        <v>0</v>
      </c>
      <c r="J11">
        <v>1339.178082191781</v>
      </c>
      <c r="K11">
        <v>1475.6164383561645</v>
      </c>
      <c r="L11">
        <v>283.83561643835617</v>
      </c>
      <c r="M11">
        <v>30.410958904109595</v>
      </c>
      <c r="N11">
        <v>158.63013698630138</v>
      </c>
      <c r="O11">
        <v>12.054794520547945</v>
      </c>
      <c r="P11">
        <v>93.424657534246592</v>
      </c>
      <c r="Q11">
        <v>8.7671232876712342</v>
      </c>
      <c r="R11">
        <v>22.465753424657535</v>
      </c>
      <c r="S11">
        <v>54.794520547945211</v>
      </c>
      <c r="T11">
        <v>192.05479452054794</v>
      </c>
      <c r="U11">
        <v>0</v>
      </c>
      <c r="V11">
        <v>456.98630136986304</v>
      </c>
      <c r="W11">
        <v>3188.7671232876714</v>
      </c>
      <c r="X11">
        <v>1120.821917808219</v>
      </c>
      <c r="Y11">
        <v>141.91780821917808</v>
      </c>
      <c r="Z11">
        <v>5745.7534246575342</v>
      </c>
      <c r="AA11">
        <v>253.69863013698631</v>
      </c>
    </row>
    <row r="12" spans="1:27" x14ac:dyDescent="0.25">
      <c r="A12">
        <v>27.7</v>
      </c>
      <c r="B12" s="4">
        <f t="shared" si="0"/>
        <v>2.7699999999999999E-2</v>
      </c>
      <c r="C12">
        <v>12</v>
      </c>
      <c r="D12" t="s">
        <v>37</v>
      </c>
      <c r="E12">
        <v>3891.6967509025271</v>
      </c>
      <c r="F12">
        <v>0</v>
      </c>
      <c r="G12">
        <v>0</v>
      </c>
      <c r="H12">
        <v>170.39711191335741</v>
      </c>
      <c r="I12">
        <v>0</v>
      </c>
      <c r="J12">
        <v>1458.8447653429603</v>
      </c>
      <c r="K12">
        <v>1144.4043321299639</v>
      </c>
      <c r="L12">
        <v>374.00722021660647</v>
      </c>
      <c r="M12">
        <v>62.093862815884478</v>
      </c>
      <c r="N12">
        <v>163.53790613718414</v>
      </c>
      <c r="O12">
        <v>15.884476534296029</v>
      </c>
      <c r="P12">
        <v>145.48736462093865</v>
      </c>
      <c r="Q12">
        <v>14.801444043321299</v>
      </c>
      <c r="R12">
        <v>12.635379061371841</v>
      </c>
      <c r="S12">
        <v>42.960288808664259</v>
      </c>
      <c r="T12">
        <v>154.51263537906138</v>
      </c>
      <c r="U12">
        <v>0</v>
      </c>
      <c r="V12">
        <v>345.12635379061373</v>
      </c>
      <c r="W12">
        <v>3142.5992779783392</v>
      </c>
      <c r="X12">
        <v>690.25270758122747</v>
      </c>
      <c r="Y12">
        <v>110.46931407942239</v>
      </c>
      <c r="Z12">
        <v>5879.0613718411551</v>
      </c>
      <c r="AA12">
        <v>393.86281588447656</v>
      </c>
    </row>
    <row r="13" spans="1:27" x14ac:dyDescent="0.25">
      <c r="A13">
        <v>39.9</v>
      </c>
      <c r="B13" s="4">
        <f t="shared" si="0"/>
        <v>3.9899999999999998E-2</v>
      </c>
      <c r="C13">
        <v>13</v>
      </c>
      <c r="D13" t="s">
        <v>37</v>
      </c>
      <c r="E13">
        <v>1393.483709273183</v>
      </c>
      <c r="F13">
        <v>0</v>
      </c>
      <c r="G13">
        <v>0</v>
      </c>
      <c r="H13">
        <v>0</v>
      </c>
      <c r="I13">
        <v>0</v>
      </c>
      <c r="J13">
        <v>165.66416040100253</v>
      </c>
      <c r="K13">
        <v>547.61904761904771</v>
      </c>
      <c r="L13">
        <v>0</v>
      </c>
      <c r="M13">
        <v>0</v>
      </c>
      <c r="N13">
        <v>69.423558897243112</v>
      </c>
      <c r="O13">
        <v>0</v>
      </c>
      <c r="P13">
        <v>53.132832080200508</v>
      </c>
      <c r="Q13">
        <v>0</v>
      </c>
      <c r="R13">
        <v>0</v>
      </c>
      <c r="S13">
        <v>0</v>
      </c>
      <c r="T13">
        <v>96.992481203007529</v>
      </c>
      <c r="U13">
        <v>0</v>
      </c>
      <c r="V13">
        <v>196.24060150375942</v>
      </c>
      <c r="W13">
        <v>0</v>
      </c>
      <c r="X13">
        <v>575.43859649122817</v>
      </c>
      <c r="Y13">
        <v>119.79949874686719</v>
      </c>
      <c r="Z13">
        <v>5987.4686716791985</v>
      </c>
      <c r="AA13">
        <v>13.283208020050127</v>
      </c>
    </row>
    <row r="14" spans="1:27" x14ac:dyDescent="0.25">
      <c r="A14">
        <v>31.7</v>
      </c>
      <c r="B14" s="4">
        <f t="shared" si="0"/>
        <v>3.1699999999999999E-2</v>
      </c>
      <c r="C14">
        <v>14</v>
      </c>
      <c r="D14" t="s">
        <v>37</v>
      </c>
      <c r="E14">
        <v>3618.6119873817033</v>
      </c>
      <c r="F14">
        <v>0</v>
      </c>
      <c r="G14">
        <v>0</v>
      </c>
      <c r="H14">
        <v>137.53943217665616</v>
      </c>
      <c r="I14">
        <v>0</v>
      </c>
      <c r="J14">
        <v>1200.9463722397477</v>
      </c>
      <c r="K14">
        <v>1188.3280757097793</v>
      </c>
      <c r="L14">
        <v>435.01577287066243</v>
      </c>
      <c r="M14">
        <v>63.09148264984227</v>
      </c>
      <c r="N14">
        <v>171.60883280757099</v>
      </c>
      <c r="O14">
        <v>32.807570977917983</v>
      </c>
      <c r="P14">
        <v>146.37223974763407</v>
      </c>
      <c r="Q14">
        <v>18.927444794952681</v>
      </c>
      <c r="R14">
        <v>18.611987381703468</v>
      </c>
      <c r="S14">
        <v>50.473186119873823</v>
      </c>
      <c r="T14">
        <v>160.25236593059938</v>
      </c>
      <c r="U14">
        <v>0</v>
      </c>
      <c r="V14">
        <v>584.5425867507887</v>
      </c>
      <c r="W14">
        <v>4075.7097791798105</v>
      </c>
      <c r="X14">
        <v>799.68454258675081</v>
      </c>
      <c r="Y14">
        <v>129.02208201892745</v>
      </c>
      <c r="Z14">
        <v>7504.1009463722403</v>
      </c>
      <c r="AA14">
        <v>344.16403785488961</v>
      </c>
    </row>
    <row r="15" spans="1:27" x14ac:dyDescent="0.25">
      <c r="A15">
        <v>35.4</v>
      </c>
      <c r="B15" s="4">
        <f t="shared" si="0"/>
        <v>3.5400000000000001E-2</v>
      </c>
      <c r="C15">
        <v>15</v>
      </c>
      <c r="D15" t="s">
        <v>37</v>
      </c>
      <c r="E15">
        <v>1770.6214689265537</v>
      </c>
      <c r="F15">
        <v>0</v>
      </c>
      <c r="G15">
        <v>0</v>
      </c>
      <c r="H15">
        <v>102.25988700564972</v>
      </c>
      <c r="I15">
        <v>0</v>
      </c>
      <c r="J15">
        <v>885.59322033898309</v>
      </c>
      <c r="K15">
        <v>1147.7401129943503</v>
      </c>
      <c r="L15">
        <v>292.65536723163842</v>
      </c>
      <c r="M15">
        <v>35.310734463276837</v>
      </c>
      <c r="N15">
        <v>78.248587570621467</v>
      </c>
      <c r="O15">
        <v>3.6723163841807911</v>
      </c>
      <c r="P15">
        <v>113.84180790960453</v>
      </c>
      <c r="Q15">
        <v>11.581920903954801</v>
      </c>
      <c r="R15">
        <v>2.8248587570621471</v>
      </c>
      <c r="S15">
        <v>22.033898305084747</v>
      </c>
      <c r="T15">
        <v>162.99435028248587</v>
      </c>
      <c r="U15">
        <v>0</v>
      </c>
      <c r="V15">
        <v>270.05649717514126</v>
      </c>
      <c r="W15">
        <v>278.81355932203388</v>
      </c>
      <c r="X15">
        <v>0</v>
      </c>
      <c r="Y15">
        <v>56.497175141242934</v>
      </c>
      <c r="Z15">
        <v>3426.2711864406779</v>
      </c>
      <c r="AA15">
        <v>261.58192090395477</v>
      </c>
    </row>
    <row r="16" spans="1:27" x14ac:dyDescent="0.25">
      <c r="A16">
        <v>31.9</v>
      </c>
      <c r="B16" s="4">
        <f t="shared" si="0"/>
        <v>3.1899999999999998E-2</v>
      </c>
      <c r="C16">
        <v>16</v>
      </c>
      <c r="D16" t="s">
        <v>80</v>
      </c>
      <c r="E16">
        <v>4989.3416927899689</v>
      </c>
      <c r="F16">
        <v>508.15047021943582</v>
      </c>
      <c r="G16">
        <v>298.7460815047022</v>
      </c>
      <c r="H16">
        <v>1210.6583072100314</v>
      </c>
      <c r="I16">
        <v>520.68965517241384</v>
      </c>
      <c r="J16">
        <v>1242.319749216301</v>
      </c>
      <c r="K16">
        <v>2281.1912225705328</v>
      </c>
      <c r="L16">
        <v>3331.0344827586209</v>
      </c>
      <c r="M16">
        <v>73.040752351097183</v>
      </c>
      <c r="N16">
        <v>615.04702194357378</v>
      </c>
      <c r="O16">
        <v>121.00313479623824</v>
      </c>
      <c r="P16">
        <v>2067.3981191222574</v>
      </c>
      <c r="Q16">
        <v>18.808777429467085</v>
      </c>
      <c r="R16">
        <v>98.746081504702204</v>
      </c>
      <c r="S16">
        <v>271.15987460815052</v>
      </c>
      <c r="T16">
        <v>434.16927899686522</v>
      </c>
      <c r="U16">
        <v>2196.5517241379312</v>
      </c>
      <c r="V16">
        <v>899.37304075235124</v>
      </c>
      <c r="W16">
        <v>2728.8401253918496</v>
      </c>
      <c r="X16">
        <v>1453.9184952978057</v>
      </c>
      <c r="Y16">
        <v>119.12225705329153</v>
      </c>
      <c r="Z16">
        <v>4488.401253918496</v>
      </c>
      <c r="AA16">
        <v>1565.2037617554861</v>
      </c>
    </row>
    <row r="17" spans="1:27" x14ac:dyDescent="0.25">
      <c r="A17">
        <v>31.7</v>
      </c>
      <c r="B17" s="4">
        <f t="shared" si="0"/>
        <v>3.1699999999999999E-2</v>
      </c>
      <c r="C17">
        <v>17</v>
      </c>
      <c r="D17" t="s">
        <v>80</v>
      </c>
      <c r="E17">
        <v>3166.8769716088327</v>
      </c>
      <c r="F17">
        <v>107.25552050473186</v>
      </c>
      <c r="G17">
        <v>0</v>
      </c>
      <c r="H17">
        <v>248.26498422712936</v>
      </c>
      <c r="I17">
        <v>0</v>
      </c>
      <c r="J17">
        <v>1274.7634069400631</v>
      </c>
      <c r="K17">
        <v>2249.8422712933752</v>
      </c>
      <c r="L17">
        <v>435.01577287066243</v>
      </c>
      <c r="M17">
        <v>63.09148264984227</v>
      </c>
      <c r="N17">
        <v>208.20189274447949</v>
      </c>
      <c r="O17">
        <v>18.611987381703468</v>
      </c>
      <c r="P17">
        <v>193.69085173501577</v>
      </c>
      <c r="Q17">
        <v>27.760252365930601</v>
      </c>
      <c r="R17">
        <v>33.123028391167196</v>
      </c>
      <c r="S17">
        <v>56.782334384858046</v>
      </c>
      <c r="T17">
        <v>256.78233438485807</v>
      </c>
      <c r="U17">
        <v>0</v>
      </c>
      <c r="V17">
        <v>892.42902208201895</v>
      </c>
      <c r="W17">
        <v>7575.394321766561</v>
      </c>
      <c r="X17">
        <v>3145.4258675078863</v>
      </c>
      <c r="Y17">
        <v>522.39747634069397</v>
      </c>
      <c r="Z17">
        <v>10658.044164037856</v>
      </c>
      <c r="AA17">
        <v>447.00315457413251</v>
      </c>
    </row>
    <row r="18" spans="1:27" x14ac:dyDescent="0.25">
      <c r="A18">
        <v>37.700000000000003</v>
      </c>
      <c r="B18" s="4">
        <f t="shared" si="0"/>
        <v>3.7700000000000004E-2</v>
      </c>
      <c r="C18">
        <v>18</v>
      </c>
      <c r="D18" t="s">
        <v>80</v>
      </c>
      <c r="E18">
        <v>1968.9655172413793</v>
      </c>
      <c r="F18">
        <v>499.20424403183017</v>
      </c>
      <c r="G18">
        <v>0</v>
      </c>
      <c r="H18">
        <v>280.90185676392571</v>
      </c>
      <c r="I18">
        <v>0</v>
      </c>
      <c r="J18">
        <v>2115.3846153846152</v>
      </c>
      <c r="K18">
        <v>1350.9283819628645</v>
      </c>
      <c r="L18">
        <v>365.78249336870022</v>
      </c>
      <c r="M18">
        <v>44.562334217506624</v>
      </c>
      <c r="N18">
        <v>199.99999999999997</v>
      </c>
      <c r="O18">
        <v>42.970822281167109</v>
      </c>
      <c r="P18">
        <v>261.53846153846149</v>
      </c>
      <c r="Q18">
        <v>20.95490716180371</v>
      </c>
      <c r="R18">
        <v>27.851458885941643</v>
      </c>
      <c r="S18">
        <v>74.535809018567633</v>
      </c>
      <c r="T18">
        <v>353.58090185676389</v>
      </c>
      <c r="U18">
        <v>118.03713527851458</v>
      </c>
      <c r="V18">
        <v>1652.5198938992039</v>
      </c>
      <c r="W18">
        <v>17528.116710875329</v>
      </c>
      <c r="X18">
        <v>3344.5623342175063</v>
      </c>
      <c r="Y18">
        <v>1013.7931034482757</v>
      </c>
      <c r="Z18">
        <v>8284.8806366047738</v>
      </c>
      <c r="AA18">
        <v>332.89124668435011</v>
      </c>
    </row>
    <row r="19" spans="1:27" x14ac:dyDescent="0.25">
      <c r="A19">
        <v>47.2</v>
      </c>
      <c r="B19" s="4">
        <f t="shared" si="0"/>
        <v>4.7200000000000006E-2</v>
      </c>
      <c r="C19">
        <v>19</v>
      </c>
      <c r="D19" t="s">
        <v>80</v>
      </c>
      <c r="E19">
        <v>3270.9745762711859</v>
      </c>
      <c r="F19">
        <v>137.92372881355931</v>
      </c>
      <c r="G19">
        <v>0</v>
      </c>
      <c r="H19">
        <v>451.90677966101686</v>
      </c>
      <c r="I19">
        <v>0</v>
      </c>
      <c r="J19">
        <v>905.29661016949137</v>
      </c>
      <c r="K19">
        <v>1048.093220338983</v>
      </c>
      <c r="L19">
        <v>1053.8135593220338</v>
      </c>
      <c r="M19">
        <v>50.423728813559315</v>
      </c>
      <c r="N19">
        <v>307.41525423728808</v>
      </c>
      <c r="O19">
        <v>34.322033898305079</v>
      </c>
      <c r="P19">
        <v>585.16949152542372</v>
      </c>
      <c r="Q19">
        <v>16.737288135593218</v>
      </c>
      <c r="R19">
        <v>26.906779661016945</v>
      </c>
      <c r="S19">
        <v>33.898305084745758</v>
      </c>
      <c r="T19">
        <v>124.15254237288134</v>
      </c>
      <c r="U19">
        <v>1412.2881355932202</v>
      </c>
      <c r="V19">
        <v>607.83898305084745</v>
      </c>
      <c r="W19">
        <v>4828.389830508474</v>
      </c>
      <c r="X19">
        <v>1056.3559322033898</v>
      </c>
      <c r="Y19">
        <v>188.9830508474576</v>
      </c>
      <c r="Z19">
        <v>6586.8644067796595</v>
      </c>
      <c r="AA19">
        <v>569.49152542372872</v>
      </c>
    </row>
    <row r="20" spans="1:27" x14ac:dyDescent="0.25">
      <c r="A20">
        <v>31</v>
      </c>
      <c r="B20" s="4">
        <f t="shared" si="0"/>
        <v>3.1E-2</v>
      </c>
      <c r="C20">
        <v>20</v>
      </c>
      <c r="D20" t="s">
        <v>80</v>
      </c>
      <c r="E20">
        <v>4049.3548387096776</v>
      </c>
      <c r="F20">
        <v>607.09677419354841</v>
      </c>
      <c r="G20">
        <v>0</v>
      </c>
      <c r="H20">
        <v>667.74193548387098</v>
      </c>
      <c r="I20">
        <v>130</v>
      </c>
      <c r="J20">
        <v>2725.161290322581</v>
      </c>
      <c r="K20">
        <v>1784.516129032258</v>
      </c>
      <c r="L20">
        <v>2475.8064516129034</v>
      </c>
      <c r="M20">
        <v>52.58064516129032</v>
      </c>
      <c r="N20">
        <v>424.51612903225805</v>
      </c>
      <c r="O20">
        <v>88.709677419354833</v>
      </c>
      <c r="P20">
        <v>866.77419354838719</v>
      </c>
      <c r="Q20">
        <v>25.483870967741936</v>
      </c>
      <c r="R20">
        <v>48.064516129032256</v>
      </c>
      <c r="S20">
        <v>77.741935483870975</v>
      </c>
      <c r="T20">
        <v>543.22580645161293</v>
      </c>
      <c r="U20">
        <v>1287.741935483871</v>
      </c>
      <c r="V20">
        <v>2292.5806451612902</v>
      </c>
      <c r="W20">
        <v>27273.225806451614</v>
      </c>
      <c r="X20">
        <v>3606.1290322580649</v>
      </c>
      <c r="Y20">
        <v>793.54838709677426</v>
      </c>
      <c r="Z20">
        <v>10450.967741935485</v>
      </c>
      <c r="AA20">
        <v>1117.4193548387098</v>
      </c>
    </row>
    <row r="21" spans="1:27" x14ac:dyDescent="0.25">
      <c r="A21">
        <v>37</v>
      </c>
      <c r="B21" s="4">
        <f t="shared" si="0"/>
        <v>3.6999999999999998E-2</v>
      </c>
      <c r="C21">
        <v>21</v>
      </c>
      <c r="D21" t="s">
        <v>80</v>
      </c>
      <c r="E21">
        <v>3849.45945945946</v>
      </c>
      <c r="F21">
        <v>254.32432432432435</v>
      </c>
      <c r="G21">
        <v>0</v>
      </c>
      <c r="H21">
        <v>198.91891891891893</v>
      </c>
      <c r="I21">
        <v>0</v>
      </c>
      <c r="J21">
        <v>2391.0810810810813</v>
      </c>
      <c r="K21">
        <v>1098.1081081081081</v>
      </c>
      <c r="L21">
        <v>372.70270270270271</v>
      </c>
      <c r="M21">
        <v>66.756756756756772</v>
      </c>
      <c r="N21">
        <v>203.7837837837838</v>
      </c>
      <c r="O21">
        <v>24.054054054054056</v>
      </c>
      <c r="P21">
        <v>108.91891891891893</v>
      </c>
      <c r="Q21">
        <v>16.216216216216218</v>
      </c>
      <c r="R21">
        <v>15.945945945945946</v>
      </c>
      <c r="S21">
        <v>43.243243243243249</v>
      </c>
      <c r="T21">
        <v>181.8918918918919</v>
      </c>
      <c r="U21">
        <v>0</v>
      </c>
      <c r="V21">
        <v>860.27027027027032</v>
      </c>
      <c r="W21">
        <v>10242.162162162162</v>
      </c>
      <c r="X21">
        <v>3437.8378378378379</v>
      </c>
      <c r="Y21">
        <v>714.05405405405418</v>
      </c>
      <c r="Z21">
        <v>11429.45945945946</v>
      </c>
      <c r="AA21">
        <v>339.18918918918922</v>
      </c>
    </row>
    <row r="22" spans="1:27" x14ac:dyDescent="0.25">
      <c r="A22">
        <v>44.3</v>
      </c>
      <c r="B22" s="4">
        <f t="shared" si="0"/>
        <v>4.4299999999999999E-2</v>
      </c>
      <c r="C22">
        <v>22</v>
      </c>
      <c r="D22" t="s">
        <v>80</v>
      </c>
      <c r="E22">
        <v>2602.9345372460498</v>
      </c>
      <c r="F22">
        <v>511.28668171557558</v>
      </c>
      <c r="G22">
        <v>0</v>
      </c>
      <c r="H22">
        <v>741.53498871331828</v>
      </c>
      <c r="I22">
        <v>362.75395033860048</v>
      </c>
      <c r="J22">
        <v>3769.7516930022575</v>
      </c>
      <c r="K22">
        <v>1511.7381489841987</v>
      </c>
      <c r="L22">
        <v>1309.7065462753951</v>
      </c>
      <c r="M22">
        <v>41.083521444695265</v>
      </c>
      <c r="N22">
        <v>420.0902934537246</v>
      </c>
      <c r="O22">
        <v>81.038374717832951</v>
      </c>
      <c r="P22">
        <v>915.34988713318285</v>
      </c>
      <c r="Q22">
        <v>24.153498871331831</v>
      </c>
      <c r="R22">
        <v>54.853273137697521</v>
      </c>
      <c r="S22">
        <v>76.74943566591422</v>
      </c>
      <c r="T22">
        <v>438.82618510158017</v>
      </c>
      <c r="U22">
        <v>1554.4018058690745</v>
      </c>
      <c r="V22">
        <v>1333.6343115124153</v>
      </c>
      <c r="W22">
        <v>20574.492099322801</v>
      </c>
      <c r="X22">
        <v>8001.580135440181</v>
      </c>
      <c r="Y22">
        <v>1876.5237020316026</v>
      </c>
      <c r="Z22">
        <v>12679.006772009028</v>
      </c>
      <c r="AA22">
        <v>886.23024830699774</v>
      </c>
    </row>
    <row r="23" spans="1:27" x14ac:dyDescent="0.25">
      <c r="A23">
        <v>29.8</v>
      </c>
      <c r="B23" s="4">
        <f t="shared" si="0"/>
        <v>2.98E-2</v>
      </c>
      <c r="C23">
        <v>23</v>
      </c>
      <c r="D23" t="s">
        <v>80</v>
      </c>
      <c r="E23">
        <v>4365.4362416107388</v>
      </c>
      <c r="F23">
        <v>167.4496644295302</v>
      </c>
      <c r="G23">
        <v>0</v>
      </c>
      <c r="H23">
        <v>252.68456375838926</v>
      </c>
      <c r="I23">
        <v>0</v>
      </c>
      <c r="J23">
        <v>984.56375838926169</v>
      </c>
      <c r="K23">
        <v>1856.3758389261745</v>
      </c>
      <c r="L23">
        <v>462.75167785234896</v>
      </c>
      <c r="M23">
        <v>57.718120805369125</v>
      </c>
      <c r="N23">
        <v>253.02013422818791</v>
      </c>
      <c r="O23">
        <v>24.832214765100669</v>
      </c>
      <c r="P23">
        <v>312.08053691275171</v>
      </c>
      <c r="Q23">
        <v>20.134228187919462</v>
      </c>
      <c r="R23">
        <v>19.798657718120804</v>
      </c>
      <c r="S23">
        <v>53.691275167785236</v>
      </c>
      <c r="T23">
        <v>459.06040268456377</v>
      </c>
      <c r="U23">
        <v>0</v>
      </c>
      <c r="V23">
        <v>1343.2885906040269</v>
      </c>
      <c r="W23">
        <v>12315.771812080537</v>
      </c>
      <c r="X23">
        <v>3091.6107382550335</v>
      </c>
      <c r="Y23">
        <v>532.88590604026854</v>
      </c>
      <c r="Z23">
        <v>10942.95302013423</v>
      </c>
      <c r="AA23">
        <v>366.10738255033556</v>
      </c>
    </row>
    <row r="24" spans="1:27" x14ac:dyDescent="0.25">
      <c r="A24">
        <v>25.2</v>
      </c>
      <c r="B24" s="4">
        <f t="shared" si="0"/>
        <v>2.52E-2</v>
      </c>
      <c r="C24">
        <v>24</v>
      </c>
      <c r="D24" t="s">
        <v>80</v>
      </c>
      <c r="E24">
        <v>2478.1746031746034</v>
      </c>
      <c r="F24">
        <v>1289.6825396825398</v>
      </c>
      <c r="G24">
        <v>0</v>
      </c>
      <c r="H24">
        <v>257.53968253968253</v>
      </c>
      <c r="I24">
        <v>28.968253968253968</v>
      </c>
      <c r="J24">
        <v>4009.9206349206347</v>
      </c>
      <c r="K24">
        <v>1582.936507936508</v>
      </c>
      <c r="L24">
        <v>411.11111111111109</v>
      </c>
      <c r="M24">
        <v>46.031746031746032</v>
      </c>
      <c r="N24">
        <v>325.39682539682536</v>
      </c>
      <c r="O24">
        <v>52.777777777777779</v>
      </c>
      <c r="P24">
        <v>543.2539682539682</v>
      </c>
      <c r="Q24">
        <v>8.7301587301587293</v>
      </c>
      <c r="R24">
        <v>0</v>
      </c>
      <c r="S24">
        <v>95.634920634920647</v>
      </c>
      <c r="T24">
        <v>921.82539682539687</v>
      </c>
      <c r="U24">
        <v>102.38095238095238</v>
      </c>
      <c r="V24">
        <v>2083.7301587301586</v>
      </c>
      <c r="W24">
        <v>28808.333333333336</v>
      </c>
      <c r="X24">
        <v>5834.5238095238092</v>
      </c>
      <c r="Y24">
        <v>1200.3968253968253</v>
      </c>
      <c r="Z24">
        <v>10481.349206349207</v>
      </c>
      <c r="AA24">
        <v>432.93650793650795</v>
      </c>
    </row>
    <row r="25" spans="1:27" x14ac:dyDescent="0.25">
      <c r="A25">
        <v>36.700000000000003</v>
      </c>
      <c r="B25" s="4">
        <f t="shared" si="0"/>
        <v>3.6700000000000003E-2</v>
      </c>
      <c r="C25">
        <v>25</v>
      </c>
      <c r="D25" t="s">
        <v>80</v>
      </c>
      <c r="E25">
        <v>3673.5694822888277</v>
      </c>
      <c r="F25">
        <v>46.321525885558579</v>
      </c>
      <c r="G25">
        <v>0</v>
      </c>
      <c r="H25">
        <v>324.79564032697544</v>
      </c>
      <c r="I25">
        <v>19.891008174386918</v>
      </c>
      <c r="J25">
        <v>1568.9373297002724</v>
      </c>
      <c r="K25">
        <v>1407.6294277929153</v>
      </c>
      <c r="L25">
        <v>509.53678474114434</v>
      </c>
      <c r="M25">
        <v>57.220708446866482</v>
      </c>
      <c r="N25">
        <v>329.70027247956398</v>
      </c>
      <c r="O25">
        <v>32.152588555858308</v>
      </c>
      <c r="P25">
        <v>343.59673024523158</v>
      </c>
      <c r="Q25">
        <v>16.348773841961851</v>
      </c>
      <c r="R25">
        <v>34.604904632152589</v>
      </c>
      <c r="S25">
        <v>43.596730245231605</v>
      </c>
      <c r="T25">
        <v>206.53950953678472</v>
      </c>
      <c r="U25">
        <v>524.79564032697544</v>
      </c>
      <c r="V25">
        <v>919.34604904632147</v>
      </c>
      <c r="W25">
        <v>10644.959128065395</v>
      </c>
      <c r="X25">
        <v>2184.741144414169</v>
      </c>
      <c r="Y25">
        <v>467.57493188010898</v>
      </c>
      <c r="Z25">
        <v>4484.1961852861032</v>
      </c>
      <c r="AA25">
        <v>473.841961852861</v>
      </c>
    </row>
    <row r="26" spans="1:27" x14ac:dyDescent="0.25">
      <c r="A26">
        <v>31.1</v>
      </c>
      <c r="B26" s="4">
        <f t="shared" si="0"/>
        <v>3.1100000000000003E-2</v>
      </c>
      <c r="C26">
        <v>26</v>
      </c>
      <c r="D26" t="s">
        <v>80</v>
      </c>
      <c r="E26">
        <v>4081.028938906752</v>
      </c>
      <c r="F26">
        <v>728.29581993569116</v>
      </c>
      <c r="G26">
        <v>0</v>
      </c>
      <c r="H26">
        <v>788.1028938906752</v>
      </c>
      <c r="I26">
        <v>217.04180064308679</v>
      </c>
      <c r="J26">
        <v>2127.3311897106105</v>
      </c>
      <c r="K26">
        <v>1825.7234726688102</v>
      </c>
      <c r="L26">
        <v>1644.0514469453376</v>
      </c>
      <c r="M26">
        <v>74.919614147909968</v>
      </c>
      <c r="N26">
        <v>579.09967845659162</v>
      </c>
      <c r="O26">
        <v>106.43086816720256</v>
      </c>
      <c r="P26">
        <v>1327.0096463022508</v>
      </c>
      <c r="Q26">
        <v>19.292604501607716</v>
      </c>
      <c r="R26">
        <v>33.762057877813504</v>
      </c>
      <c r="S26">
        <v>90.35369774919613</v>
      </c>
      <c r="T26">
        <v>436.97749196141473</v>
      </c>
      <c r="U26">
        <v>1645.3376205787781</v>
      </c>
      <c r="V26">
        <v>1072.6688102893891</v>
      </c>
      <c r="W26">
        <v>12747.266881028938</v>
      </c>
      <c r="X26">
        <v>5296.4630225080382</v>
      </c>
      <c r="Y26">
        <v>919.61414790996787</v>
      </c>
      <c r="Z26">
        <v>5960.1286173633443</v>
      </c>
      <c r="AA26">
        <v>964.30868167202561</v>
      </c>
    </row>
    <row r="27" spans="1:27" x14ac:dyDescent="0.25">
      <c r="A27">
        <v>30.6</v>
      </c>
      <c r="B27" s="4">
        <f t="shared" si="0"/>
        <v>3.0600000000000002E-2</v>
      </c>
      <c r="C27">
        <v>27</v>
      </c>
      <c r="D27" t="s">
        <v>80</v>
      </c>
      <c r="E27">
        <v>1816.9934640522874</v>
      </c>
      <c r="F27">
        <v>111.1111111111111</v>
      </c>
      <c r="G27">
        <v>0</v>
      </c>
      <c r="H27">
        <v>223.52941176470586</v>
      </c>
      <c r="I27">
        <v>0</v>
      </c>
      <c r="J27">
        <v>411.11111111111109</v>
      </c>
      <c r="K27">
        <v>1760.1307189542483</v>
      </c>
      <c r="L27">
        <v>338.56209150326794</v>
      </c>
      <c r="M27">
        <v>56.209150326797378</v>
      </c>
      <c r="N27">
        <v>211.43790849673201</v>
      </c>
      <c r="O27">
        <v>24.183006535947712</v>
      </c>
      <c r="P27">
        <v>456.20915032679738</v>
      </c>
      <c r="Q27">
        <v>16.666666666666664</v>
      </c>
      <c r="R27">
        <v>26.79738562091503</v>
      </c>
      <c r="S27">
        <v>52.287581699346404</v>
      </c>
      <c r="T27">
        <v>250.65359477124181</v>
      </c>
      <c r="U27">
        <v>0</v>
      </c>
      <c r="V27">
        <v>450.32679738562086</v>
      </c>
      <c r="W27">
        <v>2844.7712418300653</v>
      </c>
      <c r="X27">
        <v>1427.7777777777776</v>
      </c>
      <c r="Y27">
        <v>236.60130718954247</v>
      </c>
      <c r="Z27">
        <v>5151.6339869281037</v>
      </c>
      <c r="AA27">
        <v>410.13071895424838</v>
      </c>
    </row>
    <row r="28" spans="1:27" x14ac:dyDescent="0.25">
      <c r="A28">
        <v>28.5</v>
      </c>
      <c r="B28" s="4">
        <f t="shared" si="0"/>
        <v>2.8500000000000001E-2</v>
      </c>
      <c r="C28">
        <v>28</v>
      </c>
      <c r="D28" t="s">
        <v>80</v>
      </c>
      <c r="E28">
        <v>3485.9649122807014</v>
      </c>
      <c r="F28">
        <v>59.649122807017541</v>
      </c>
      <c r="G28">
        <v>0</v>
      </c>
      <c r="H28">
        <v>359.64912280701753</v>
      </c>
      <c r="I28">
        <v>0</v>
      </c>
      <c r="J28">
        <v>2605.9649122807014</v>
      </c>
      <c r="K28">
        <v>1709.8245614035086</v>
      </c>
      <c r="L28">
        <v>599.64912280701753</v>
      </c>
      <c r="M28">
        <v>57.192982456140342</v>
      </c>
      <c r="N28">
        <v>315.08771929824564</v>
      </c>
      <c r="O28">
        <v>25.964912280701753</v>
      </c>
      <c r="P28">
        <v>345.9649122807017</v>
      </c>
      <c r="Q28">
        <v>17.894736842105264</v>
      </c>
      <c r="R28">
        <v>20.701754385964911</v>
      </c>
      <c r="S28">
        <v>27.368421052631579</v>
      </c>
      <c r="T28">
        <v>185.26315789473685</v>
      </c>
      <c r="U28">
        <v>43.859649122807014</v>
      </c>
      <c r="V28">
        <v>774.38596491228066</v>
      </c>
      <c r="W28">
        <v>9110.5263157894733</v>
      </c>
      <c r="X28">
        <v>1867.7192982456138</v>
      </c>
      <c r="Y28">
        <v>552.63157894736844</v>
      </c>
      <c r="Z28">
        <v>8810.5263157894733</v>
      </c>
      <c r="AA28">
        <v>382.80701754385962</v>
      </c>
    </row>
    <row r="29" spans="1:27" x14ac:dyDescent="0.25">
      <c r="A29">
        <v>38</v>
      </c>
      <c r="B29" s="4">
        <f t="shared" si="0"/>
        <v>3.7999999999999999E-2</v>
      </c>
      <c r="C29">
        <v>29</v>
      </c>
      <c r="D29" t="s">
        <v>80</v>
      </c>
      <c r="E29">
        <v>3172.105263157895</v>
      </c>
      <c r="F29">
        <v>1012.3684210526316</v>
      </c>
      <c r="G29">
        <v>0</v>
      </c>
      <c r="H29">
        <v>207.10526315789474</v>
      </c>
      <c r="I29">
        <v>0</v>
      </c>
      <c r="J29">
        <v>3690.5263157894742</v>
      </c>
      <c r="K29">
        <v>1378.6842105263158</v>
      </c>
      <c r="L29">
        <v>534.21052631578948</v>
      </c>
      <c r="M29">
        <v>67.631578947368425</v>
      </c>
      <c r="N29">
        <v>239.73684210526315</v>
      </c>
      <c r="O29">
        <v>42.631578947368425</v>
      </c>
      <c r="P29">
        <v>138.15789473684211</v>
      </c>
      <c r="Q29">
        <v>20.789473684210527</v>
      </c>
      <c r="R29">
        <v>24.736842105263158</v>
      </c>
      <c r="S29">
        <v>42.10526315789474</v>
      </c>
      <c r="T29">
        <v>696.57894736842104</v>
      </c>
      <c r="U29">
        <v>0</v>
      </c>
      <c r="V29">
        <v>2349.7368421052633</v>
      </c>
      <c r="W29">
        <v>29881.05263157895</v>
      </c>
      <c r="X29">
        <v>4628.4210526315792</v>
      </c>
      <c r="Y29">
        <v>1216.3157894736842</v>
      </c>
      <c r="Z29">
        <v>7534.21052631579</v>
      </c>
      <c r="AA29">
        <v>372.89473684210526</v>
      </c>
    </row>
    <row r="30" spans="1:27" x14ac:dyDescent="0.25">
      <c r="A30">
        <v>43.5</v>
      </c>
      <c r="B30" s="4">
        <f t="shared" si="0"/>
        <v>4.3499999999999997E-2</v>
      </c>
      <c r="C30">
        <v>30</v>
      </c>
      <c r="D30" t="s">
        <v>80</v>
      </c>
      <c r="E30">
        <v>3434.4827586206902</v>
      </c>
      <c r="F30">
        <v>59.080459770114942</v>
      </c>
      <c r="G30">
        <v>0</v>
      </c>
      <c r="H30">
        <v>220.22988505747128</v>
      </c>
      <c r="I30">
        <v>0</v>
      </c>
      <c r="J30">
        <v>1123.6781609195405</v>
      </c>
      <c r="K30">
        <v>1052.6436781609195</v>
      </c>
      <c r="L30">
        <v>317.01149425287355</v>
      </c>
      <c r="M30">
        <v>41.839080459770116</v>
      </c>
      <c r="N30">
        <v>215.40229885057471</v>
      </c>
      <c r="O30">
        <v>17.011494252873565</v>
      </c>
      <c r="P30">
        <v>134.2528735632184</v>
      </c>
      <c r="Q30">
        <v>13.793103448275863</v>
      </c>
      <c r="R30">
        <v>8.0459770114942533</v>
      </c>
      <c r="S30">
        <v>36.781609195402304</v>
      </c>
      <c r="T30">
        <v>154.71264367816093</v>
      </c>
      <c r="U30">
        <v>0</v>
      </c>
      <c r="V30">
        <v>641.14942528735639</v>
      </c>
      <c r="W30">
        <v>6227.3563218390809</v>
      </c>
      <c r="X30">
        <v>940.45977011494256</v>
      </c>
      <c r="Y30">
        <v>219.31034482758619</v>
      </c>
      <c r="Z30">
        <v>3710.5747126436781</v>
      </c>
      <c r="AA30">
        <v>307.12643678160919</v>
      </c>
    </row>
    <row r="31" spans="1:27" x14ac:dyDescent="0.25">
      <c r="A31">
        <v>42.2</v>
      </c>
      <c r="B31" s="4">
        <f t="shared" si="0"/>
        <v>4.2200000000000001E-2</v>
      </c>
      <c r="C31">
        <v>31</v>
      </c>
      <c r="D31" t="s">
        <v>126</v>
      </c>
      <c r="E31">
        <v>7813.0331753554492</v>
      </c>
      <c r="F31">
        <v>288.86255924170615</v>
      </c>
      <c r="G31">
        <v>0</v>
      </c>
      <c r="H31">
        <v>667.06161137440756</v>
      </c>
      <c r="I31">
        <v>17.29857819905213</v>
      </c>
      <c r="J31">
        <v>2656.1611374407585</v>
      </c>
      <c r="K31">
        <v>1172.2748815165876</v>
      </c>
      <c r="L31">
        <v>909.47867298578205</v>
      </c>
      <c r="M31">
        <v>54.265402843601898</v>
      </c>
      <c r="N31">
        <v>365.63981042654029</v>
      </c>
      <c r="O31">
        <v>51.895734597156398</v>
      </c>
      <c r="P31">
        <v>583.17535545023691</v>
      </c>
      <c r="Q31">
        <v>14.218009478672984</v>
      </c>
      <c r="R31">
        <v>24.881516587677726</v>
      </c>
      <c r="S31">
        <v>47.393364928909953</v>
      </c>
      <c r="T31">
        <v>311.84834123222748</v>
      </c>
      <c r="U31">
        <v>1317.7725118483411</v>
      </c>
      <c r="V31">
        <v>1032.9383886255926</v>
      </c>
      <c r="W31">
        <v>12140.521327014219</v>
      </c>
      <c r="X31">
        <v>3360.1895734597156</v>
      </c>
      <c r="Y31">
        <v>824.64454976303307</v>
      </c>
      <c r="Z31">
        <v>14212.085308056872</v>
      </c>
      <c r="AA31">
        <v>636.96682464454977</v>
      </c>
    </row>
    <row r="32" spans="1:27" x14ac:dyDescent="0.25">
      <c r="A32">
        <v>37.9</v>
      </c>
      <c r="B32" s="4">
        <f t="shared" si="0"/>
        <v>3.7899999999999996E-2</v>
      </c>
      <c r="C32">
        <v>32</v>
      </c>
      <c r="D32" t="s">
        <v>126</v>
      </c>
      <c r="E32">
        <v>6560.6860158311356</v>
      </c>
      <c r="F32">
        <v>210.29023746701847</v>
      </c>
      <c r="G32">
        <v>0</v>
      </c>
      <c r="H32">
        <v>646.70184696569936</v>
      </c>
      <c r="I32">
        <v>0</v>
      </c>
      <c r="J32">
        <v>983.64116094986821</v>
      </c>
      <c r="K32">
        <v>1555.6728232189976</v>
      </c>
      <c r="L32">
        <v>1530.8707124010557</v>
      </c>
      <c r="M32">
        <v>62.796833773087073</v>
      </c>
      <c r="N32">
        <v>337.46701846965698</v>
      </c>
      <c r="O32">
        <v>61.477572559366763</v>
      </c>
      <c r="P32">
        <v>774.67018469657</v>
      </c>
      <c r="Q32">
        <v>20.844327176781007</v>
      </c>
      <c r="R32">
        <v>39.313984168865439</v>
      </c>
      <c r="S32">
        <v>63.588390501319275</v>
      </c>
      <c r="T32">
        <v>212.40105540897102</v>
      </c>
      <c r="U32">
        <v>1279.9472295514513</v>
      </c>
      <c r="V32">
        <v>627.44063324538263</v>
      </c>
      <c r="W32">
        <v>4576.2532981530348</v>
      </c>
      <c r="X32">
        <v>1176.5171503957786</v>
      </c>
      <c r="Y32">
        <v>158.31134564643801</v>
      </c>
      <c r="Z32">
        <v>12084.432717678101</v>
      </c>
      <c r="AA32">
        <v>709.23482849604227</v>
      </c>
    </row>
    <row r="33" spans="1:27" x14ac:dyDescent="0.25">
      <c r="A33">
        <v>33.4</v>
      </c>
      <c r="B33" s="4">
        <f t="shared" si="0"/>
        <v>3.3399999999999999E-2</v>
      </c>
      <c r="C33">
        <v>33</v>
      </c>
      <c r="D33" t="s">
        <v>126</v>
      </c>
      <c r="E33">
        <v>7291.9161676646709</v>
      </c>
      <c r="F33">
        <v>149.40119760479044</v>
      </c>
      <c r="G33">
        <v>0</v>
      </c>
      <c r="H33">
        <v>214.97005988023952</v>
      </c>
      <c r="I33">
        <v>0</v>
      </c>
      <c r="J33">
        <v>2896.7065868263476</v>
      </c>
      <c r="K33">
        <v>1612.5748502994013</v>
      </c>
      <c r="L33">
        <v>310.17964071856289</v>
      </c>
      <c r="M33">
        <v>45.808383233532936</v>
      </c>
      <c r="N33">
        <v>225.74850299401197</v>
      </c>
      <c r="O33">
        <v>22.155688622754493</v>
      </c>
      <c r="P33">
        <v>183.8323353293413</v>
      </c>
      <c r="Q33">
        <v>17.964071856287426</v>
      </c>
      <c r="R33">
        <v>24.550898203592812</v>
      </c>
      <c r="S33">
        <v>35.628742514970057</v>
      </c>
      <c r="T33">
        <v>249.10179640718565</v>
      </c>
      <c r="U33">
        <v>0</v>
      </c>
      <c r="V33">
        <v>1088.9221556886228</v>
      </c>
      <c r="W33">
        <v>6698.2035928143714</v>
      </c>
      <c r="X33">
        <v>1857.1856287425151</v>
      </c>
      <c r="Y33">
        <v>461.37724550898207</v>
      </c>
      <c r="Z33">
        <v>18702.095808383234</v>
      </c>
      <c r="AA33">
        <v>424.25149700598803</v>
      </c>
    </row>
    <row r="34" spans="1:27" x14ac:dyDescent="0.25">
      <c r="A34">
        <v>28.1</v>
      </c>
      <c r="B34" s="4">
        <f t="shared" si="0"/>
        <v>2.81E-2</v>
      </c>
      <c r="C34">
        <v>34</v>
      </c>
      <c r="D34" t="s">
        <v>126</v>
      </c>
      <c r="E34">
        <v>4650.5338078291816</v>
      </c>
      <c r="F34">
        <v>177.58007117437722</v>
      </c>
      <c r="G34">
        <v>0</v>
      </c>
      <c r="H34">
        <v>218.5053380782918</v>
      </c>
      <c r="I34">
        <v>0</v>
      </c>
      <c r="J34">
        <v>2008.8967971530251</v>
      </c>
      <c r="K34">
        <v>1655.8718861209966</v>
      </c>
      <c r="L34">
        <v>368.6832740213523</v>
      </c>
      <c r="M34">
        <v>101.42348754448399</v>
      </c>
      <c r="N34">
        <v>282.56227758007117</v>
      </c>
      <c r="O34">
        <v>37.010676156583628</v>
      </c>
      <c r="P34">
        <v>165.12455516014234</v>
      </c>
      <c r="Q34">
        <v>18.14946619217082</v>
      </c>
      <c r="R34">
        <v>12.455516014234874</v>
      </c>
      <c r="S34">
        <v>85.765124555160142</v>
      </c>
      <c r="T34">
        <v>424.55516014234877</v>
      </c>
      <c r="U34">
        <v>0</v>
      </c>
      <c r="V34">
        <v>1526.3345195729537</v>
      </c>
      <c r="W34">
        <v>14513.167259786476</v>
      </c>
      <c r="X34">
        <v>2179.7153024911031</v>
      </c>
      <c r="Y34">
        <v>449.46619217081854</v>
      </c>
      <c r="Z34">
        <v>5443.7722419928823</v>
      </c>
      <c r="AA34">
        <v>329.53736654804271</v>
      </c>
    </row>
    <row r="35" spans="1:27" x14ac:dyDescent="0.25">
      <c r="A35">
        <v>26.9</v>
      </c>
      <c r="B35" s="4">
        <f t="shared" si="0"/>
        <v>2.69E-2</v>
      </c>
      <c r="C35">
        <v>35</v>
      </c>
      <c r="D35" t="s">
        <v>126</v>
      </c>
      <c r="E35">
        <v>4784.758364312268</v>
      </c>
      <c r="F35">
        <v>602.60223048327146</v>
      </c>
      <c r="G35">
        <v>0</v>
      </c>
      <c r="H35">
        <v>273.60594795539032</v>
      </c>
      <c r="I35">
        <v>0</v>
      </c>
      <c r="J35">
        <v>2390.3345724907063</v>
      </c>
      <c r="K35">
        <v>1620.0743494423791</v>
      </c>
      <c r="L35">
        <v>754.64684014869886</v>
      </c>
      <c r="M35">
        <v>105.94795539033457</v>
      </c>
      <c r="N35">
        <v>456.87732342007433</v>
      </c>
      <c r="O35">
        <v>81.412639405204459</v>
      </c>
      <c r="P35">
        <v>303.34572490706319</v>
      </c>
      <c r="Q35">
        <v>15.241635687732341</v>
      </c>
      <c r="R35">
        <v>39.033457249070636</v>
      </c>
      <c r="S35">
        <v>59.479553903345725</v>
      </c>
      <c r="T35">
        <v>553.5315985130112</v>
      </c>
      <c r="U35">
        <v>0</v>
      </c>
      <c r="V35">
        <v>3178.4386617100372</v>
      </c>
      <c r="W35">
        <v>18680.669144981413</v>
      </c>
      <c r="X35">
        <v>2558.3643122676576</v>
      </c>
      <c r="Y35">
        <v>572.86245353159848</v>
      </c>
      <c r="Z35">
        <v>3182.5278810408922</v>
      </c>
      <c r="AA35">
        <v>466.54275092936803</v>
      </c>
    </row>
    <row r="36" spans="1:27" x14ac:dyDescent="0.25">
      <c r="A36">
        <v>43.4</v>
      </c>
      <c r="B36" s="4">
        <f t="shared" si="0"/>
        <v>4.3400000000000001E-2</v>
      </c>
      <c r="C36">
        <v>36</v>
      </c>
      <c r="D36" t="s">
        <v>126</v>
      </c>
      <c r="E36">
        <v>4323.9631336405528</v>
      </c>
      <c r="F36">
        <v>114.97695852534562</v>
      </c>
      <c r="G36">
        <v>0</v>
      </c>
      <c r="H36">
        <v>212.90322580645162</v>
      </c>
      <c r="I36">
        <v>0</v>
      </c>
      <c r="J36">
        <v>1761.9815668202764</v>
      </c>
      <c r="K36">
        <v>1207.1428571428571</v>
      </c>
      <c r="L36">
        <v>317.74193548387092</v>
      </c>
      <c r="M36">
        <v>37.557603686635943</v>
      </c>
      <c r="N36">
        <v>147.46543778801845</v>
      </c>
      <c r="O36">
        <v>23.963133640552996</v>
      </c>
      <c r="P36">
        <v>100</v>
      </c>
      <c r="Q36">
        <v>9.4470046082949306</v>
      </c>
      <c r="R36">
        <v>31.79723502304147</v>
      </c>
      <c r="S36">
        <v>46.082949308755758</v>
      </c>
      <c r="T36">
        <v>137.32718894009216</v>
      </c>
      <c r="U36">
        <v>0</v>
      </c>
      <c r="V36">
        <v>750.9216589861752</v>
      </c>
      <c r="W36">
        <v>3996.3133640552992</v>
      </c>
      <c r="X36">
        <v>2438.4792626728108</v>
      </c>
      <c r="Y36">
        <v>432.4884792626728</v>
      </c>
      <c r="Z36">
        <v>12664.516129032258</v>
      </c>
      <c r="AA36">
        <v>289.17050691244242</v>
      </c>
    </row>
    <row r="37" spans="1:27" x14ac:dyDescent="0.25">
      <c r="A37">
        <v>29.1</v>
      </c>
      <c r="B37" s="4">
        <f t="shared" si="0"/>
        <v>2.9100000000000001E-2</v>
      </c>
      <c r="C37">
        <v>37</v>
      </c>
      <c r="D37" t="s">
        <v>126</v>
      </c>
      <c r="E37">
        <v>3955.6701030927834</v>
      </c>
      <c r="F37">
        <v>171.47766323024055</v>
      </c>
      <c r="G37">
        <v>0</v>
      </c>
      <c r="H37">
        <v>198.96907216494844</v>
      </c>
      <c r="I37">
        <v>0</v>
      </c>
      <c r="J37">
        <v>2915.8075601374567</v>
      </c>
      <c r="K37">
        <v>1548.4536082474226</v>
      </c>
      <c r="L37">
        <v>473.88316151202747</v>
      </c>
      <c r="M37">
        <v>86.597938144329902</v>
      </c>
      <c r="N37">
        <v>321.9931271477663</v>
      </c>
      <c r="O37">
        <v>30.584192439862541</v>
      </c>
      <c r="P37">
        <v>117.18213058419244</v>
      </c>
      <c r="Q37">
        <v>20.618556701030926</v>
      </c>
      <c r="R37">
        <v>28.178694158075597</v>
      </c>
      <c r="S37">
        <v>54.982817869415811</v>
      </c>
      <c r="T37">
        <v>317.5257731958763</v>
      </c>
      <c r="U37">
        <v>0</v>
      </c>
      <c r="V37">
        <v>1093.8144329896907</v>
      </c>
      <c r="W37">
        <v>7395.1890034364251</v>
      </c>
      <c r="X37">
        <v>1274.2268041237112</v>
      </c>
      <c r="Y37">
        <v>349.14089347079039</v>
      </c>
      <c r="Z37">
        <v>4827.1477663230235</v>
      </c>
      <c r="AA37">
        <v>318.21305841924396</v>
      </c>
    </row>
    <row r="38" spans="1:27" x14ac:dyDescent="0.25">
      <c r="A38">
        <v>52.7</v>
      </c>
      <c r="B38" s="4">
        <f t="shared" si="0"/>
        <v>5.2700000000000004E-2</v>
      </c>
      <c r="C38">
        <v>38</v>
      </c>
      <c r="D38" t="s">
        <v>126</v>
      </c>
      <c r="E38">
        <v>3002.0872865275142</v>
      </c>
      <c r="F38">
        <v>178.55787476280832</v>
      </c>
      <c r="G38">
        <v>0</v>
      </c>
      <c r="H38">
        <v>139.6584440227704</v>
      </c>
      <c r="I38">
        <v>0</v>
      </c>
      <c r="J38">
        <v>2361.6698292220112</v>
      </c>
      <c r="K38">
        <v>938.70967741935476</v>
      </c>
      <c r="L38">
        <v>196.58444022770396</v>
      </c>
      <c r="M38">
        <v>27.324478178368118</v>
      </c>
      <c r="N38">
        <v>120.11385199240986</v>
      </c>
      <c r="O38">
        <v>19.734345351043643</v>
      </c>
      <c r="P38">
        <v>99.620493358633766</v>
      </c>
      <c r="Q38">
        <v>18.406072106261856</v>
      </c>
      <c r="R38">
        <v>11.195445920303603</v>
      </c>
      <c r="S38">
        <v>37.950664136622386</v>
      </c>
      <c r="T38">
        <v>171.91650853889942</v>
      </c>
      <c r="U38">
        <v>0</v>
      </c>
      <c r="V38">
        <v>1526.7552182163186</v>
      </c>
      <c r="W38">
        <v>12697.533206831118</v>
      </c>
      <c r="X38">
        <v>2945.5407969639464</v>
      </c>
      <c r="Y38">
        <v>817.07779886148001</v>
      </c>
      <c r="Z38">
        <v>19566.223908918408</v>
      </c>
      <c r="AA38">
        <v>238.14041745730549</v>
      </c>
    </row>
    <row r="39" spans="1:27" x14ac:dyDescent="0.25">
      <c r="A39">
        <v>37.4</v>
      </c>
      <c r="B39" s="4">
        <f t="shared" si="0"/>
        <v>3.7399999999999996E-2</v>
      </c>
      <c r="C39">
        <v>39</v>
      </c>
      <c r="D39" t="s">
        <v>126</v>
      </c>
      <c r="E39">
        <v>3313.9037433155086</v>
      </c>
      <c r="F39">
        <v>45.45454545454546</v>
      </c>
      <c r="G39">
        <v>0</v>
      </c>
      <c r="H39">
        <v>340.90909090909093</v>
      </c>
      <c r="I39">
        <v>0</v>
      </c>
      <c r="J39">
        <v>543.31550802139043</v>
      </c>
      <c r="K39">
        <v>1145.7219251336901</v>
      </c>
      <c r="L39">
        <v>542.78074866310169</v>
      </c>
      <c r="M39">
        <v>58.556149732620327</v>
      </c>
      <c r="N39">
        <v>267.64705882352945</v>
      </c>
      <c r="O39">
        <v>35.561497326203217</v>
      </c>
      <c r="P39">
        <v>278.34224598930484</v>
      </c>
      <c r="Q39">
        <v>16.042780748663102</v>
      </c>
      <c r="R39">
        <v>28.074866310160431</v>
      </c>
      <c r="S39">
        <v>53.475935828877013</v>
      </c>
      <c r="T39">
        <v>141.1764705882353</v>
      </c>
      <c r="U39">
        <v>0</v>
      </c>
      <c r="V39">
        <v>543.31550802139043</v>
      </c>
      <c r="W39">
        <v>3454.5454545454545</v>
      </c>
      <c r="X39">
        <v>1017.379679144385</v>
      </c>
      <c r="Y39">
        <v>157.48663101604279</v>
      </c>
      <c r="Z39">
        <v>7836.898395721927</v>
      </c>
      <c r="AA39">
        <v>464.97326203208564</v>
      </c>
    </row>
    <row r="40" spans="1:27" x14ac:dyDescent="0.25">
      <c r="A40">
        <v>27.8</v>
      </c>
      <c r="B40" s="4">
        <f t="shared" si="0"/>
        <v>2.7800000000000002E-2</v>
      </c>
      <c r="C40">
        <v>40</v>
      </c>
      <c r="D40" t="s">
        <v>126</v>
      </c>
      <c r="E40">
        <v>5137.410071942445</v>
      </c>
      <c r="F40">
        <v>4798.9208633093522</v>
      </c>
      <c r="G40">
        <v>0</v>
      </c>
      <c r="H40">
        <v>320.14388489208631</v>
      </c>
      <c r="I40">
        <v>438.48920863309348</v>
      </c>
      <c r="J40">
        <v>8006.8345323741005</v>
      </c>
      <c r="K40">
        <v>2930.2158273381292</v>
      </c>
      <c r="L40">
        <v>496.04316546762584</v>
      </c>
      <c r="M40">
        <v>78.776978417266179</v>
      </c>
      <c r="N40">
        <v>859.35251798561148</v>
      </c>
      <c r="O40">
        <v>108.99280575539566</v>
      </c>
      <c r="P40">
        <v>166.90647482014387</v>
      </c>
      <c r="Q40">
        <v>48.201438848920866</v>
      </c>
      <c r="R40">
        <v>45.68345323741007</v>
      </c>
      <c r="S40">
        <v>122.30215827338128</v>
      </c>
      <c r="T40">
        <v>1229.1366906474821</v>
      </c>
      <c r="U40">
        <v>0</v>
      </c>
      <c r="V40">
        <v>9622.30215827338</v>
      </c>
      <c r="W40">
        <v>82976.978417266189</v>
      </c>
      <c r="X40">
        <v>9534.5323741007196</v>
      </c>
      <c r="Y40">
        <v>4037.0503597122301</v>
      </c>
      <c r="Z40">
        <v>26255.755395683449</v>
      </c>
      <c r="AA40">
        <v>683.09352517985599</v>
      </c>
    </row>
    <row r="41" spans="1:27" x14ac:dyDescent="0.25">
      <c r="A41">
        <v>35</v>
      </c>
      <c r="B41" s="4">
        <f t="shared" si="0"/>
        <v>3.5000000000000003E-2</v>
      </c>
      <c r="C41">
        <v>41</v>
      </c>
      <c r="D41" t="s">
        <v>126</v>
      </c>
      <c r="E41">
        <v>8056.5714285714284</v>
      </c>
      <c r="F41">
        <v>500.5714285714285</v>
      </c>
      <c r="G41">
        <v>366.85714285714283</v>
      </c>
      <c r="H41">
        <v>273.71428571428567</v>
      </c>
      <c r="I41">
        <v>0</v>
      </c>
      <c r="J41">
        <v>3293.7142857142853</v>
      </c>
      <c r="K41">
        <v>1933.9999999999998</v>
      </c>
      <c r="L41">
        <v>295.99999999999994</v>
      </c>
      <c r="M41">
        <v>62.571428571428562</v>
      </c>
      <c r="N41">
        <v>249.14285714285714</v>
      </c>
      <c r="O41">
        <v>29.714285714285712</v>
      </c>
      <c r="P41">
        <v>149.99999999999997</v>
      </c>
      <c r="Q41">
        <v>22.571428571428569</v>
      </c>
      <c r="R41">
        <v>26.857142857142854</v>
      </c>
      <c r="S41">
        <v>57.142857142857139</v>
      </c>
      <c r="T41">
        <v>320.57142857142856</v>
      </c>
      <c r="U41">
        <v>127.14285714285714</v>
      </c>
      <c r="V41">
        <v>842.28571428571422</v>
      </c>
      <c r="W41">
        <v>7844.8571428571422</v>
      </c>
      <c r="X41">
        <v>2329.9999999999995</v>
      </c>
      <c r="Y41">
        <v>453.71428571428567</v>
      </c>
      <c r="Z41">
        <v>15697.999999999996</v>
      </c>
      <c r="AA41">
        <v>358.57142857142856</v>
      </c>
    </row>
    <row r="42" spans="1:27" x14ac:dyDescent="0.25">
      <c r="A42">
        <v>32.799999999999997</v>
      </c>
      <c r="B42" s="4">
        <f t="shared" si="0"/>
        <v>3.2799999999999996E-2</v>
      </c>
      <c r="C42">
        <v>42</v>
      </c>
      <c r="D42" t="s">
        <v>126</v>
      </c>
      <c r="E42">
        <v>7085.3658536585381</v>
      </c>
      <c r="F42">
        <v>242.98780487804879</v>
      </c>
      <c r="G42">
        <v>0</v>
      </c>
      <c r="H42">
        <v>276.52439024390247</v>
      </c>
      <c r="I42">
        <v>122.86585365853661</v>
      </c>
      <c r="J42">
        <v>1812.5000000000002</v>
      </c>
      <c r="K42">
        <v>2593.5975609756097</v>
      </c>
      <c r="L42">
        <v>570.1219512195122</v>
      </c>
      <c r="M42">
        <v>101.21951219512196</v>
      </c>
      <c r="N42">
        <v>221.95121951219517</v>
      </c>
      <c r="O42">
        <v>40.548780487804883</v>
      </c>
      <c r="P42">
        <v>178.04878048780489</v>
      </c>
      <c r="Q42">
        <v>35.365853658536587</v>
      </c>
      <c r="R42">
        <v>38.719512195121958</v>
      </c>
      <c r="S42">
        <v>85.670731707317088</v>
      </c>
      <c r="T42">
        <v>379.87804878048786</v>
      </c>
      <c r="U42">
        <v>307.31707317073176</v>
      </c>
      <c r="V42">
        <v>1153.6585365853662</v>
      </c>
      <c r="W42">
        <v>8258.8414634146357</v>
      </c>
      <c r="X42">
        <v>1747.2560975609758</v>
      </c>
      <c r="Y42">
        <v>257.01219512195127</v>
      </c>
      <c r="Z42">
        <v>11875.609756097561</v>
      </c>
      <c r="AA42">
        <v>432.01219512195127</v>
      </c>
    </row>
    <row r="43" spans="1:27" x14ac:dyDescent="0.25">
      <c r="A43">
        <v>34.299999999999997</v>
      </c>
      <c r="B43" s="4">
        <f t="shared" si="0"/>
        <v>3.4299999999999997E-2</v>
      </c>
      <c r="C43">
        <v>43</v>
      </c>
      <c r="D43" t="s">
        <v>126</v>
      </c>
      <c r="E43">
        <v>9602.9154518950436</v>
      </c>
      <c r="F43">
        <v>453.35276967930037</v>
      </c>
      <c r="G43">
        <v>0</v>
      </c>
      <c r="H43">
        <v>284.25655976676387</v>
      </c>
      <c r="I43">
        <v>234.11078717201167</v>
      </c>
      <c r="J43">
        <v>5891.8367346938785</v>
      </c>
      <c r="K43">
        <v>2543.4402332361515</v>
      </c>
      <c r="L43">
        <v>352.47813411078721</v>
      </c>
      <c r="M43">
        <v>92.711370262390687</v>
      </c>
      <c r="N43">
        <v>260.05830903790087</v>
      </c>
      <c r="O43">
        <v>42.857142857142861</v>
      </c>
      <c r="P43">
        <v>187.46355685131195</v>
      </c>
      <c r="Q43">
        <v>23.032069970845484</v>
      </c>
      <c r="R43">
        <v>61.807580174927125</v>
      </c>
      <c r="S43">
        <v>99.125364431486886</v>
      </c>
      <c r="T43">
        <v>478.71720116618087</v>
      </c>
      <c r="U43">
        <v>309.03790087463557</v>
      </c>
      <c r="V43">
        <v>893.87755102040819</v>
      </c>
      <c r="W43">
        <v>13543.731778425657</v>
      </c>
      <c r="X43">
        <v>2996.7930029154522</v>
      </c>
      <c r="Y43">
        <v>815.45189504373184</v>
      </c>
      <c r="Z43">
        <v>19718.36734693878</v>
      </c>
      <c r="AA43">
        <v>341.98250728862979</v>
      </c>
    </row>
    <row r="44" spans="1:27" x14ac:dyDescent="0.25">
      <c r="A44">
        <v>9.5</v>
      </c>
      <c r="B44" s="4">
        <f t="shared" si="0"/>
        <v>9.4999999999999998E-3</v>
      </c>
      <c r="C44">
        <v>44</v>
      </c>
      <c r="D44" t="s">
        <v>126</v>
      </c>
      <c r="E44">
        <v>10871.578947368422</v>
      </c>
      <c r="F44">
        <v>838.9473684210526</v>
      </c>
      <c r="G44">
        <v>0</v>
      </c>
      <c r="H44">
        <v>792.63157894736844</v>
      </c>
      <c r="I44">
        <v>498.94736842105266</v>
      </c>
      <c r="J44">
        <v>9729.4736842105267</v>
      </c>
      <c r="K44">
        <v>7430.5263157894742</v>
      </c>
      <c r="L44">
        <v>1451.578947368421</v>
      </c>
      <c r="M44">
        <v>349.4736842105263</v>
      </c>
      <c r="N44">
        <v>1134.7368421052631</v>
      </c>
      <c r="O44">
        <v>140</v>
      </c>
      <c r="P44">
        <v>552.63157894736844</v>
      </c>
      <c r="Q44">
        <v>83.15789473684211</v>
      </c>
      <c r="R44">
        <v>145.26315789473682</v>
      </c>
      <c r="S44">
        <v>210.5263157894737</v>
      </c>
      <c r="T44">
        <v>1255.7894736842106</v>
      </c>
      <c r="U44">
        <v>468.42105263157896</v>
      </c>
      <c r="V44">
        <v>3186.3157894736842</v>
      </c>
      <c r="W44">
        <v>28514.736842105263</v>
      </c>
      <c r="X44">
        <v>8868.4210526315783</v>
      </c>
      <c r="Y44">
        <v>2088.4210526315792</v>
      </c>
      <c r="Z44">
        <v>46858.947368421053</v>
      </c>
      <c r="AA44">
        <v>1662.1052631578948</v>
      </c>
    </row>
    <row r="45" spans="1:27" x14ac:dyDescent="0.25">
      <c r="A45">
        <v>37.299999999999997</v>
      </c>
      <c r="B45" s="4">
        <f t="shared" si="0"/>
        <v>3.73E-2</v>
      </c>
      <c r="C45">
        <v>45</v>
      </c>
      <c r="D45" t="s">
        <v>126</v>
      </c>
      <c r="E45">
        <v>3113.1367292225204</v>
      </c>
      <c r="F45">
        <v>326.80965147453082</v>
      </c>
      <c r="G45">
        <v>0</v>
      </c>
      <c r="H45">
        <v>238.60589812332441</v>
      </c>
      <c r="I45">
        <v>295.97855227882036</v>
      </c>
      <c r="J45">
        <v>1872.9222520107239</v>
      </c>
      <c r="K45">
        <v>2280.6970509383377</v>
      </c>
      <c r="L45">
        <v>544.23592493297588</v>
      </c>
      <c r="M45">
        <v>77.747989276139407</v>
      </c>
      <c r="N45">
        <v>302.41286863270778</v>
      </c>
      <c r="O45">
        <v>27.882037533512065</v>
      </c>
      <c r="P45">
        <v>148.5254691689008</v>
      </c>
      <c r="Q45">
        <v>35.924932975871315</v>
      </c>
      <c r="R45">
        <v>56.836461126005368</v>
      </c>
      <c r="S45">
        <v>96.514745308310992</v>
      </c>
      <c r="T45">
        <v>343.43163538873995</v>
      </c>
      <c r="U45">
        <v>0</v>
      </c>
      <c r="V45">
        <v>1262.1983914209115</v>
      </c>
      <c r="W45">
        <v>8302.4128686327076</v>
      </c>
      <c r="X45">
        <v>2469.9731903485253</v>
      </c>
      <c r="Y45">
        <v>356.03217158176943</v>
      </c>
      <c r="Z45">
        <v>12780.160857908846</v>
      </c>
      <c r="AA45">
        <v>466.21983914209119</v>
      </c>
    </row>
    <row r="46" spans="1:27" x14ac:dyDescent="0.25">
      <c r="A46">
        <v>27.8</v>
      </c>
      <c r="B46" s="4">
        <f t="shared" si="0"/>
        <v>2.7800000000000002E-2</v>
      </c>
      <c r="C46">
        <v>46</v>
      </c>
      <c r="D46" t="s">
        <v>172</v>
      </c>
      <c r="E46">
        <v>4307.1942446043158</v>
      </c>
      <c r="F46">
        <v>413.66906474820144</v>
      </c>
      <c r="G46">
        <v>0</v>
      </c>
      <c r="H46">
        <v>283.0935251798561</v>
      </c>
      <c r="I46">
        <v>310.79136690647482</v>
      </c>
      <c r="J46">
        <v>3298.9208633093522</v>
      </c>
      <c r="K46">
        <v>2852.1582733812952</v>
      </c>
      <c r="L46">
        <v>243.16546762589925</v>
      </c>
      <c r="M46">
        <v>61.870503597122294</v>
      </c>
      <c r="N46">
        <v>323.02158273381292</v>
      </c>
      <c r="O46">
        <v>47.841726618705039</v>
      </c>
      <c r="P46">
        <v>111.15107913669064</v>
      </c>
      <c r="Q46">
        <v>61.510791366906467</v>
      </c>
      <c r="R46">
        <v>53.597122302158269</v>
      </c>
      <c r="S46">
        <v>122.30215827338128</v>
      </c>
      <c r="T46">
        <v>791.3669064748201</v>
      </c>
      <c r="U46">
        <v>0</v>
      </c>
      <c r="V46">
        <v>1606.1151079136689</v>
      </c>
      <c r="W46">
        <v>11260.431654676258</v>
      </c>
      <c r="X46">
        <v>5024.4604316546765</v>
      </c>
      <c r="Y46">
        <v>847.84172661870502</v>
      </c>
      <c r="Z46">
        <v>24815.107913669064</v>
      </c>
      <c r="AA46">
        <v>567.98561151079127</v>
      </c>
    </row>
    <row r="47" spans="1:27" x14ac:dyDescent="0.25">
      <c r="A47">
        <v>45.9</v>
      </c>
      <c r="B47" s="4">
        <f t="shared" si="0"/>
        <v>4.5899999999999996E-2</v>
      </c>
      <c r="C47">
        <v>47</v>
      </c>
      <c r="D47" t="s">
        <v>172</v>
      </c>
      <c r="E47">
        <v>7241.3943355119827</v>
      </c>
      <c r="F47">
        <v>205.01089324618738</v>
      </c>
      <c r="G47">
        <v>207.62527233115469</v>
      </c>
      <c r="H47">
        <v>266.88453159041399</v>
      </c>
      <c r="I47">
        <v>302.39651416122007</v>
      </c>
      <c r="J47">
        <v>2403.2679738562092</v>
      </c>
      <c r="K47">
        <v>2184.0958605664491</v>
      </c>
      <c r="L47">
        <v>372.33115468409591</v>
      </c>
      <c r="M47">
        <v>68.191721132897612</v>
      </c>
      <c r="N47">
        <v>178.64923747276688</v>
      </c>
      <c r="O47">
        <v>47.712418300653596</v>
      </c>
      <c r="P47">
        <v>114.37908496732027</v>
      </c>
      <c r="Q47">
        <v>29.19389978213508</v>
      </c>
      <c r="R47">
        <v>50.76252723311547</v>
      </c>
      <c r="S47">
        <v>52.50544662309369</v>
      </c>
      <c r="T47">
        <v>377.99564270152513</v>
      </c>
      <c r="U47">
        <v>208.06100217864926</v>
      </c>
      <c r="V47">
        <v>776.03485838779955</v>
      </c>
      <c r="W47">
        <v>6746.840958605665</v>
      </c>
      <c r="X47">
        <v>2996.7320261437912</v>
      </c>
      <c r="Y47">
        <v>496.07843137254906</v>
      </c>
      <c r="Z47">
        <v>21216.557734204795</v>
      </c>
      <c r="AA47">
        <v>413.72549019607845</v>
      </c>
    </row>
    <row r="48" spans="1:27" x14ac:dyDescent="0.25">
      <c r="A48">
        <v>20</v>
      </c>
      <c r="B48" s="4">
        <f t="shared" si="0"/>
        <v>0.02</v>
      </c>
      <c r="C48">
        <v>48</v>
      </c>
      <c r="D48" t="s">
        <v>172</v>
      </c>
      <c r="E48">
        <v>4790.5</v>
      </c>
      <c r="F48">
        <v>170</v>
      </c>
      <c r="G48">
        <v>0</v>
      </c>
      <c r="H48">
        <v>271.5</v>
      </c>
      <c r="I48">
        <v>0</v>
      </c>
      <c r="J48">
        <v>1627</v>
      </c>
      <c r="K48">
        <v>2766</v>
      </c>
      <c r="L48">
        <v>772.5</v>
      </c>
      <c r="M48">
        <v>147</v>
      </c>
      <c r="N48">
        <v>261.5</v>
      </c>
      <c r="O48">
        <v>22</v>
      </c>
      <c r="P48">
        <v>186</v>
      </c>
      <c r="Q48">
        <v>48.5</v>
      </c>
      <c r="R48">
        <v>52.5</v>
      </c>
      <c r="S48">
        <v>160</v>
      </c>
      <c r="T48">
        <v>411.5</v>
      </c>
      <c r="U48">
        <v>0</v>
      </c>
      <c r="V48">
        <v>1189</v>
      </c>
      <c r="W48">
        <v>493.49999999999994</v>
      </c>
      <c r="X48">
        <v>1951.0000000000002</v>
      </c>
      <c r="Y48">
        <v>287.5</v>
      </c>
      <c r="Z48">
        <v>9240.5</v>
      </c>
      <c r="AA48">
        <v>627.5</v>
      </c>
    </row>
    <row r="49" spans="1:27" x14ac:dyDescent="0.25">
      <c r="A49">
        <v>43.5</v>
      </c>
      <c r="B49" s="4">
        <f t="shared" si="0"/>
        <v>4.3499999999999997E-2</v>
      </c>
      <c r="C49">
        <v>49</v>
      </c>
      <c r="D49" t="s">
        <v>172</v>
      </c>
      <c r="E49">
        <v>2590.3448275862074</v>
      </c>
      <c r="F49">
        <v>248.5057471264368</v>
      </c>
      <c r="G49">
        <v>0</v>
      </c>
      <c r="H49">
        <v>173.10344827586209</v>
      </c>
      <c r="I49">
        <v>0</v>
      </c>
      <c r="J49">
        <v>1673.5632183908046</v>
      </c>
      <c r="K49">
        <v>1103.4482758620691</v>
      </c>
      <c r="L49">
        <v>238.16091954022988</v>
      </c>
      <c r="M49">
        <v>47.126436781609193</v>
      </c>
      <c r="N49">
        <v>118.62068965517243</v>
      </c>
      <c r="O49">
        <v>17.011494252873565</v>
      </c>
      <c r="P49">
        <v>63.678160919540232</v>
      </c>
      <c r="Q49">
        <v>22.298850574712645</v>
      </c>
      <c r="R49">
        <v>24.137931034482762</v>
      </c>
      <c r="S49">
        <v>27.356321839080461</v>
      </c>
      <c r="T49">
        <v>243.67816091954023</v>
      </c>
      <c r="U49">
        <v>0</v>
      </c>
      <c r="V49">
        <v>895.17241379310349</v>
      </c>
      <c r="W49">
        <v>5427.8160919540232</v>
      </c>
      <c r="X49">
        <v>1204.3678160919542</v>
      </c>
      <c r="Y49">
        <v>225.74712643678163</v>
      </c>
      <c r="Z49">
        <v>5749.1954022988511</v>
      </c>
      <c r="AA49">
        <v>174.48275862068965</v>
      </c>
    </row>
    <row r="50" spans="1:27" x14ac:dyDescent="0.25">
      <c r="A50">
        <v>34.9</v>
      </c>
      <c r="B50" s="4">
        <f t="shared" si="0"/>
        <v>3.49E-2</v>
      </c>
      <c r="C50">
        <v>50</v>
      </c>
      <c r="D50" t="s">
        <v>172</v>
      </c>
      <c r="E50">
        <v>3997.421203438395</v>
      </c>
      <c r="F50">
        <v>142.97994269340975</v>
      </c>
      <c r="G50">
        <v>0</v>
      </c>
      <c r="H50">
        <v>98.567335243553003</v>
      </c>
      <c r="I50">
        <v>0</v>
      </c>
      <c r="J50">
        <v>2096.5616045845272</v>
      </c>
      <c r="K50">
        <v>1291.1174785100286</v>
      </c>
      <c r="L50">
        <v>193.69627507163324</v>
      </c>
      <c r="M50">
        <v>38.681948424068771</v>
      </c>
      <c r="N50">
        <v>83.667621776504291</v>
      </c>
      <c r="O50">
        <v>21.203438395415471</v>
      </c>
      <c r="P50">
        <v>20.916905444126073</v>
      </c>
      <c r="Q50">
        <v>22.636103151862464</v>
      </c>
      <c r="R50">
        <v>13.467048710601718</v>
      </c>
      <c r="S50">
        <v>51.575931232091691</v>
      </c>
      <c r="T50">
        <v>259.59885386819485</v>
      </c>
      <c r="U50">
        <v>0</v>
      </c>
      <c r="V50">
        <v>504.58452722063038</v>
      </c>
      <c r="W50">
        <v>4044.9856733524352</v>
      </c>
      <c r="X50">
        <v>1595.702005730659</v>
      </c>
      <c r="Y50">
        <v>220.63037249283667</v>
      </c>
      <c r="Z50">
        <v>8908.3094555873922</v>
      </c>
      <c r="AA50">
        <v>265.32951289398278</v>
      </c>
    </row>
    <row r="51" spans="1:27" x14ac:dyDescent="0.25">
      <c r="A51">
        <v>29.3</v>
      </c>
      <c r="B51" s="4">
        <f t="shared" si="0"/>
        <v>2.93E-2</v>
      </c>
      <c r="C51">
        <v>51</v>
      </c>
      <c r="D51" t="s">
        <v>172</v>
      </c>
      <c r="E51">
        <v>4674.7440273037546</v>
      </c>
      <c r="F51">
        <v>686.00682593856664</v>
      </c>
      <c r="G51">
        <v>0</v>
      </c>
      <c r="H51">
        <v>221.50170648464166</v>
      </c>
      <c r="I51">
        <v>0</v>
      </c>
      <c r="J51">
        <v>3740.6143344709894</v>
      </c>
      <c r="K51">
        <v>1863.1399317406144</v>
      </c>
      <c r="L51">
        <v>470.6484641638225</v>
      </c>
      <c r="M51">
        <v>60.409556313993178</v>
      </c>
      <c r="N51">
        <v>288.73720136518773</v>
      </c>
      <c r="O51">
        <v>74.744027303754265</v>
      </c>
      <c r="P51">
        <v>72.354948805460751</v>
      </c>
      <c r="Q51">
        <v>26.962457337883961</v>
      </c>
      <c r="R51">
        <v>27.986348122866893</v>
      </c>
      <c r="S51">
        <v>75.426621160409553</v>
      </c>
      <c r="T51">
        <v>407.16723549488052</v>
      </c>
      <c r="U51">
        <v>0</v>
      </c>
      <c r="V51">
        <v>2817.0648464163824</v>
      </c>
      <c r="W51">
        <v>14582.252559726963</v>
      </c>
      <c r="X51">
        <v>6499.6587030716728</v>
      </c>
      <c r="Y51">
        <v>1158.3617747440273</v>
      </c>
      <c r="Z51">
        <v>10250.85324232082</v>
      </c>
      <c r="AA51">
        <v>316.0409556313993</v>
      </c>
    </row>
    <row r="52" spans="1:27" x14ac:dyDescent="0.25">
      <c r="A52">
        <v>39.4</v>
      </c>
      <c r="B52" s="4">
        <f t="shared" si="0"/>
        <v>3.9399999999999998E-2</v>
      </c>
      <c r="C52">
        <v>52</v>
      </c>
      <c r="D52" t="s">
        <v>172</v>
      </c>
      <c r="E52">
        <v>4237.0558375634519</v>
      </c>
      <c r="F52">
        <v>43.147208121827411</v>
      </c>
      <c r="G52">
        <v>0</v>
      </c>
      <c r="H52">
        <v>110.65989847715737</v>
      </c>
      <c r="I52">
        <v>0</v>
      </c>
      <c r="J52">
        <v>1866.4974619289344</v>
      </c>
      <c r="K52">
        <v>1478.1725888324875</v>
      </c>
      <c r="L52">
        <v>262.9441624365482</v>
      </c>
      <c r="M52">
        <v>36.548223350253807</v>
      </c>
      <c r="N52">
        <v>104.06091370558376</v>
      </c>
      <c r="O52">
        <v>11.167512690355331</v>
      </c>
      <c r="P52">
        <v>86.548223350253821</v>
      </c>
      <c r="Q52">
        <v>8.1218274111675139</v>
      </c>
      <c r="R52">
        <v>8.8832487309644677</v>
      </c>
      <c r="S52">
        <v>25.126903553299492</v>
      </c>
      <c r="T52">
        <v>177.91878172588832</v>
      </c>
      <c r="U52">
        <v>0</v>
      </c>
      <c r="V52">
        <v>362.18274111675129</v>
      </c>
      <c r="W52">
        <v>3279.1878172588831</v>
      </c>
      <c r="X52">
        <v>1802.2842639593912</v>
      </c>
      <c r="Y52">
        <v>249.23857868020306</v>
      </c>
      <c r="Z52">
        <v>10681.979695431473</v>
      </c>
      <c r="AA52">
        <v>276.90355329949239</v>
      </c>
    </row>
    <row r="53" spans="1:27" x14ac:dyDescent="0.25">
      <c r="A53">
        <v>41.3</v>
      </c>
      <c r="B53" s="4">
        <f t="shared" si="0"/>
        <v>4.1299999999999996E-2</v>
      </c>
      <c r="C53">
        <v>53</v>
      </c>
      <c r="D53" t="s">
        <v>172</v>
      </c>
      <c r="E53">
        <v>5948.1840193704602</v>
      </c>
      <c r="F53">
        <v>192.97820823244552</v>
      </c>
      <c r="G53">
        <v>0</v>
      </c>
      <c r="H53">
        <v>280.62953995157386</v>
      </c>
      <c r="I53">
        <v>60.774818401937047</v>
      </c>
      <c r="J53">
        <v>807.26392251815992</v>
      </c>
      <c r="K53">
        <v>1445.2784503631963</v>
      </c>
      <c r="L53">
        <v>529.53995157384998</v>
      </c>
      <c r="M53">
        <v>53.026634382566591</v>
      </c>
      <c r="N53">
        <v>250.12106537530269</v>
      </c>
      <c r="O53">
        <v>39.22518159806296</v>
      </c>
      <c r="P53">
        <v>292.00968523002427</v>
      </c>
      <c r="Q53">
        <v>25.907990314769979</v>
      </c>
      <c r="R53">
        <v>30.750605326876517</v>
      </c>
      <c r="S53">
        <v>53.510895883777245</v>
      </c>
      <c r="T53">
        <v>165.13317191283295</v>
      </c>
      <c r="U53">
        <v>647.21549636803877</v>
      </c>
      <c r="V53">
        <v>655.69007263922515</v>
      </c>
      <c r="W53">
        <v>5314.5278450363203</v>
      </c>
      <c r="X53">
        <v>1771.6707021791769</v>
      </c>
      <c r="Y53">
        <v>222.51815980629542</v>
      </c>
      <c r="Z53">
        <v>18407.263922518163</v>
      </c>
      <c r="AA53">
        <v>421.06537530266348</v>
      </c>
    </row>
    <row r="54" spans="1:27" x14ac:dyDescent="0.25">
      <c r="A54">
        <v>46.8</v>
      </c>
      <c r="B54" s="4">
        <f t="shared" si="0"/>
        <v>4.6799999999999994E-2</v>
      </c>
      <c r="C54">
        <v>54</v>
      </c>
      <c r="D54" t="s">
        <v>172</v>
      </c>
      <c r="E54">
        <v>2320.7264957264961</v>
      </c>
      <c r="F54">
        <v>0</v>
      </c>
      <c r="G54">
        <v>0</v>
      </c>
      <c r="H54">
        <v>0</v>
      </c>
      <c r="I54">
        <v>0</v>
      </c>
      <c r="J54">
        <v>2021.1538461538464</v>
      </c>
      <c r="K54">
        <v>1057.0512820512822</v>
      </c>
      <c r="L54">
        <v>221.36752136752139</v>
      </c>
      <c r="M54">
        <v>21.794871794871799</v>
      </c>
      <c r="N54">
        <v>68.803418803418822</v>
      </c>
      <c r="O54">
        <v>9.4017094017094021</v>
      </c>
      <c r="P54">
        <v>52.35042735042736</v>
      </c>
      <c r="Q54">
        <v>0.42735042735042739</v>
      </c>
      <c r="R54">
        <v>0</v>
      </c>
      <c r="S54">
        <v>7.6923076923076925</v>
      </c>
      <c r="T54">
        <v>78.205128205128219</v>
      </c>
      <c r="U54">
        <v>0</v>
      </c>
      <c r="V54">
        <v>434.18803418803424</v>
      </c>
      <c r="W54">
        <v>2760.6837606837607</v>
      </c>
      <c r="X54">
        <v>952.77777777777794</v>
      </c>
      <c r="Y54">
        <v>138.03418803418805</v>
      </c>
      <c r="Z54">
        <v>10583.11965811966</v>
      </c>
      <c r="AA54">
        <v>162.17948717948718</v>
      </c>
    </row>
    <row r="55" spans="1:27" x14ac:dyDescent="0.25">
      <c r="A55">
        <v>35.700000000000003</v>
      </c>
      <c r="B55" s="4">
        <f t="shared" si="0"/>
        <v>3.5700000000000003E-2</v>
      </c>
      <c r="C55">
        <v>55</v>
      </c>
      <c r="D55" t="s">
        <v>172</v>
      </c>
      <c r="E55">
        <v>2973.6694677871146</v>
      </c>
      <c r="F55">
        <v>47.619047619047613</v>
      </c>
      <c r="G55">
        <v>0</v>
      </c>
      <c r="H55">
        <v>162.18487394957981</v>
      </c>
      <c r="I55">
        <v>0</v>
      </c>
      <c r="J55">
        <v>4435.2941176470586</v>
      </c>
      <c r="K55">
        <v>1508.6834733893556</v>
      </c>
      <c r="L55">
        <v>290.19607843137248</v>
      </c>
      <c r="M55">
        <v>37.815126050420169</v>
      </c>
      <c r="N55">
        <v>160.22408963585431</v>
      </c>
      <c r="O55">
        <v>12.324929971988794</v>
      </c>
      <c r="P55">
        <v>49.859943977591037</v>
      </c>
      <c r="Q55">
        <v>6.1624649859943972</v>
      </c>
      <c r="R55">
        <v>9.8039215686274499</v>
      </c>
      <c r="S55">
        <v>67.50700280112045</v>
      </c>
      <c r="T55">
        <v>180.39215686274508</v>
      </c>
      <c r="U55">
        <v>0</v>
      </c>
      <c r="V55">
        <v>912.88515406162469</v>
      </c>
      <c r="W55">
        <v>4570.8683473389356</v>
      </c>
      <c r="X55">
        <v>1038.6554621848738</v>
      </c>
      <c r="Y55">
        <v>157.14285714285714</v>
      </c>
      <c r="Z55">
        <v>6691.8767507002794</v>
      </c>
      <c r="AA55">
        <v>259.38375350140052</v>
      </c>
    </row>
    <row r="56" spans="1:27" x14ac:dyDescent="0.25">
      <c r="A56">
        <v>27.4</v>
      </c>
      <c r="B56" s="4">
        <f t="shared" si="0"/>
        <v>2.7399999999999997E-2</v>
      </c>
      <c r="C56">
        <v>56</v>
      </c>
      <c r="D56" t="s">
        <v>172</v>
      </c>
      <c r="E56">
        <v>2756.9343065693438</v>
      </c>
      <c r="F56">
        <v>0</v>
      </c>
      <c r="G56">
        <v>0</v>
      </c>
      <c r="H56">
        <v>105.1094890510949</v>
      </c>
      <c r="I56">
        <v>0</v>
      </c>
      <c r="J56">
        <v>2333.2116788321168</v>
      </c>
      <c r="K56">
        <v>1751.8248175182484</v>
      </c>
      <c r="L56">
        <v>378.10218978102193</v>
      </c>
      <c r="M56">
        <v>55.839416058394164</v>
      </c>
      <c r="N56">
        <v>78.467153284671539</v>
      </c>
      <c r="O56">
        <v>4.7445255474452557</v>
      </c>
      <c r="P56">
        <v>52.554744525547449</v>
      </c>
      <c r="Q56">
        <v>21.897810218978105</v>
      </c>
      <c r="R56">
        <v>0</v>
      </c>
      <c r="S56">
        <v>28.467153284671536</v>
      </c>
      <c r="T56">
        <v>178.10218978102191</v>
      </c>
      <c r="U56">
        <v>0</v>
      </c>
      <c r="V56">
        <v>263.50364963503654</v>
      </c>
      <c r="W56">
        <v>0</v>
      </c>
      <c r="X56">
        <v>1205.8394160583944</v>
      </c>
      <c r="Y56">
        <v>214.96350364963504</v>
      </c>
      <c r="Z56">
        <v>12339.416058394163</v>
      </c>
      <c r="AA56">
        <v>277.00729927007302</v>
      </c>
    </row>
    <row r="57" spans="1:27" x14ac:dyDescent="0.25">
      <c r="A57">
        <v>38.5</v>
      </c>
      <c r="B57" s="4">
        <f t="shared" si="0"/>
        <v>3.85E-2</v>
      </c>
      <c r="C57">
        <v>57</v>
      </c>
      <c r="D57" t="s">
        <v>172</v>
      </c>
      <c r="E57">
        <v>4783.1168831168834</v>
      </c>
      <c r="F57">
        <v>937.66233766233768</v>
      </c>
      <c r="G57">
        <v>0</v>
      </c>
      <c r="H57">
        <v>213.50649350649351</v>
      </c>
      <c r="I57">
        <v>240.51948051948051</v>
      </c>
      <c r="J57">
        <v>18830.909090909092</v>
      </c>
      <c r="K57">
        <v>1814.805194805195</v>
      </c>
      <c r="L57">
        <v>608.57142857142856</v>
      </c>
      <c r="M57">
        <v>37.402597402597401</v>
      </c>
      <c r="N57">
        <v>330.38961038961043</v>
      </c>
      <c r="O57">
        <v>146.49350649350649</v>
      </c>
      <c r="P57">
        <v>151.6883116883117</v>
      </c>
      <c r="Q57">
        <v>49.090909090909086</v>
      </c>
      <c r="R57">
        <v>60.519480519480524</v>
      </c>
      <c r="S57">
        <v>98.701298701298697</v>
      </c>
      <c r="T57">
        <v>1019.2207792207793</v>
      </c>
      <c r="U57">
        <v>288.31168831168833</v>
      </c>
      <c r="V57">
        <v>2711.6883116883118</v>
      </c>
      <c r="W57">
        <v>49747.532467532466</v>
      </c>
      <c r="X57">
        <v>19135.064935064936</v>
      </c>
      <c r="Y57">
        <v>3718.1818181818185</v>
      </c>
      <c r="Z57">
        <v>60328.831168831166</v>
      </c>
      <c r="AA57">
        <v>283.3766233766234</v>
      </c>
    </row>
    <row r="58" spans="1:27" x14ac:dyDescent="0.25">
      <c r="A58">
        <v>37.6</v>
      </c>
      <c r="B58" s="4">
        <f t="shared" si="0"/>
        <v>3.7600000000000001E-2</v>
      </c>
      <c r="C58">
        <v>58</v>
      </c>
      <c r="D58" t="s">
        <v>172</v>
      </c>
      <c r="E58">
        <v>7654.5212765957449</v>
      </c>
      <c r="F58">
        <v>3548.13829787234</v>
      </c>
      <c r="G58">
        <v>411.70212765957444</v>
      </c>
      <c r="H58">
        <v>334.57446808510639</v>
      </c>
      <c r="I58">
        <v>339.36170212765956</v>
      </c>
      <c r="J58">
        <v>18531.91489361702</v>
      </c>
      <c r="K58">
        <v>2166.4893617021276</v>
      </c>
      <c r="L58">
        <v>539.89361702127655</v>
      </c>
      <c r="M58">
        <v>48.404255319148938</v>
      </c>
      <c r="N58">
        <v>778.72340425531911</v>
      </c>
      <c r="O58">
        <v>160.63829787234042</v>
      </c>
      <c r="P58">
        <v>139.62765957446808</v>
      </c>
      <c r="Q58">
        <v>33.244680851063826</v>
      </c>
      <c r="R58">
        <v>56.382978723404257</v>
      </c>
      <c r="S58">
        <v>178.72340425531914</v>
      </c>
      <c r="T58">
        <v>2140.4255319148938</v>
      </c>
      <c r="U58">
        <v>295.21276595744678</v>
      </c>
      <c r="V58">
        <v>14557.446808510638</v>
      </c>
      <c r="W58">
        <v>56445.212765957447</v>
      </c>
      <c r="X58">
        <v>16723.138297872338</v>
      </c>
      <c r="Y58">
        <v>3006.9148936170213</v>
      </c>
      <c r="Z58">
        <v>30451.59574468085</v>
      </c>
      <c r="AA58">
        <v>419.94680851063828</v>
      </c>
    </row>
    <row r="59" spans="1:27" x14ac:dyDescent="0.25">
      <c r="A59">
        <v>30.6</v>
      </c>
      <c r="B59" s="4">
        <f t="shared" si="0"/>
        <v>3.0600000000000002E-2</v>
      </c>
      <c r="C59">
        <v>59</v>
      </c>
      <c r="D59" t="s">
        <v>172</v>
      </c>
      <c r="E59">
        <v>6078.4313725490192</v>
      </c>
      <c r="F59">
        <v>0</v>
      </c>
      <c r="G59">
        <v>0</v>
      </c>
      <c r="H59">
        <v>136.27450980392155</v>
      </c>
      <c r="I59">
        <v>0</v>
      </c>
      <c r="J59">
        <v>3395.4248366013071</v>
      </c>
      <c r="K59">
        <v>1568.627450980392</v>
      </c>
      <c r="L59">
        <v>450.65359477124179</v>
      </c>
      <c r="M59">
        <v>74.83660130718954</v>
      </c>
      <c r="N59">
        <v>110.13071895424837</v>
      </c>
      <c r="O59">
        <v>24.183006535947712</v>
      </c>
      <c r="P59">
        <v>151.63398692810455</v>
      </c>
      <c r="Q59">
        <v>25.816993464052288</v>
      </c>
      <c r="R59">
        <v>19.281045751633986</v>
      </c>
      <c r="S59">
        <v>52.287581699346404</v>
      </c>
      <c r="T59">
        <v>185.29411764705881</v>
      </c>
      <c r="U59">
        <v>0</v>
      </c>
      <c r="V59">
        <v>763.07189542483661</v>
      </c>
      <c r="W59">
        <v>4982.3529411764703</v>
      </c>
      <c r="X59">
        <v>1367.6470588235293</v>
      </c>
      <c r="Y59">
        <v>213.3986928104575</v>
      </c>
      <c r="Z59">
        <v>18880.718954248365</v>
      </c>
      <c r="AA59">
        <v>302.61437908496731</v>
      </c>
    </row>
    <row r="60" spans="1:27" x14ac:dyDescent="0.25">
      <c r="A60">
        <v>29.6</v>
      </c>
      <c r="B60" s="4">
        <f t="shared" si="0"/>
        <v>2.9600000000000001E-2</v>
      </c>
      <c r="C60">
        <v>60</v>
      </c>
      <c r="D60" t="s">
        <v>172</v>
      </c>
      <c r="E60">
        <v>4234.1216216216217</v>
      </c>
      <c r="F60">
        <v>168.58108108108109</v>
      </c>
      <c r="G60">
        <v>0</v>
      </c>
      <c r="H60">
        <v>219.25675675675674</v>
      </c>
      <c r="I60">
        <v>271.28378378378375</v>
      </c>
      <c r="J60">
        <v>11503.378378378378</v>
      </c>
      <c r="K60">
        <v>2065.8783783783783</v>
      </c>
      <c r="L60">
        <v>465.87837837837833</v>
      </c>
      <c r="M60">
        <v>67.567567567567565</v>
      </c>
      <c r="N60">
        <v>169.59459459459458</v>
      </c>
      <c r="O60">
        <v>44.932432432432435</v>
      </c>
      <c r="P60">
        <v>136.14864864864865</v>
      </c>
      <c r="Q60">
        <v>17.22972972972973</v>
      </c>
      <c r="R60">
        <v>27.702702702702698</v>
      </c>
      <c r="S60">
        <v>67.567567567567565</v>
      </c>
      <c r="T60">
        <v>293.58108108108104</v>
      </c>
      <c r="U60">
        <v>0</v>
      </c>
      <c r="V60">
        <v>2061.4864864864867</v>
      </c>
      <c r="W60">
        <v>10462.162162162162</v>
      </c>
      <c r="X60">
        <v>7134.1216216216208</v>
      </c>
      <c r="Y60">
        <v>2425.6756756756754</v>
      </c>
      <c r="Z60">
        <v>22949.324324324323</v>
      </c>
      <c r="AA60">
        <v>256.41891891891891</v>
      </c>
    </row>
    <row r="61" spans="1:27" x14ac:dyDescent="0.25">
      <c r="A61">
        <v>45</v>
      </c>
      <c r="B61" s="4">
        <f t="shared" si="0"/>
        <v>4.4999999999999998E-2</v>
      </c>
      <c r="C61">
        <v>61</v>
      </c>
      <c r="D61" t="s">
        <v>218</v>
      </c>
      <c r="E61">
        <v>12058.444444444445</v>
      </c>
      <c r="F61">
        <v>1831.7777777777781</v>
      </c>
      <c r="G61">
        <v>211.77777777777777</v>
      </c>
      <c r="H61">
        <v>212.88888888888889</v>
      </c>
      <c r="I61">
        <v>150</v>
      </c>
      <c r="J61">
        <v>7994.2222222222226</v>
      </c>
      <c r="K61">
        <v>1180.6666666666667</v>
      </c>
      <c r="L61">
        <v>451.11111111111114</v>
      </c>
      <c r="M61">
        <v>32</v>
      </c>
      <c r="N61">
        <v>387.11111111111114</v>
      </c>
      <c r="O61">
        <v>155.33333333333334</v>
      </c>
      <c r="P61">
        <v>110.00000000000001</v>
      </c>
      <c r="Q61">
        <v>21.555555555555557</v>
      </c>
      <c r="R61">
        <v>114.22222222222221</v>
      </c>
      <c r="S61">
        <v>526.66666666666663</v>
      </c>
      <c r="T61">
        <v>926.88888888888891</v>
      </c>
      <c r="U61">
        <v>187.55555555555554</v>
      </c>
      <c r="V61">
        <v>5044.8888888888896</v>
      </c>
      <c r="W61">
        <v>13097.777777777777</v>
      </c>
      <c r="X61">
        <v>11284.888888888889</v>
      </c>
      <c r="Y61">
        <v>1466.8888888888891</v>
      </c>
      <c r="Z61">
        <v>56136.666666666672</v>
      </c>
      <c r="AA61">
        <v>260.66666666666669</v>
      </c>
    </row>
    <row r="62" spans="1:27" x14ac:dyDescent="0.25">
      <c r="A62">
        <v>45.8</v>
      </c>
      <c r="B62" s="4">
        <f t="shared" si="0"/>
        <v>4.58E-2</v>
      </c>
      <c r="C62">
        <v>62</v>
      </c>
      <c r="D62" t="s">
        <v>218</v>
      </c>
      <c r="E62">
        <v>3735.3711790393018</v>
      </c>
      <c r="F62">
        <v>1656.5502183406115</v>
      </c>
      <c r="G62">
        <v>0</v>
      </c>
      <c r="H62">
        <v>186.8995633187773</v>
      </c>
      <c r="I62">
        <v>202.1834061135371</v>
      </c>
      <c r="J62">
        <v>5023.7991266375548</v>
      </c>
      <c r="K62">
        <v>1430.3493449781661</v>
      </c>
      <c r="L62">
        <v>373.14410480349346</v>
      </c>
      <c r="M62">
        <v>23.144104803493452</v>
      </c>
      <c r="N62">
        <v>186.24454148471614</v>
      </c>
      <c r="O62">
        <v>114.19213973799127</v>
      </c>
      <c r="P62">
        <v>94.75982532751091</v>
      </c>
      <c r="Q62">
        <v>21.179039301310041</v>
      </c>
      <c r="R62">
        <v>32.532751091703055</v>
      </c>
      <c r="S62">
        <v>95.851528384279462</v>
      </c>
      <c r="T62">
        <v>310.04366812227073</v>
      </c>
      <c r="U62">
        <v>0</v>
      </c>
      <c r="V62">
        <v>1955.8951965065501</v>
      </c>
      <c r="W62">
        <v>18618.558951965068</v>
      </c>
      <c r="X62">
        <v>14798.908296943231</v>
      </c>
      <c r="Y62">
        <v>2788.2096069868994</v>
      </c>
      <c r="Z62">
        <v>46276.200873362439</v>
      </c>
      <c r="AA62">
        <v>274.0174672489083</v>
      </c>
    </row>
    <row r="63" spans="1:27" x14ac:dyDescent="0.25">
      <c r="A63">
        <v>40</v>
      </c>
      <c r="B63" s="4">
        <f t="shared" si="0"/>
        <v>0.04</v>
      </c>
      <c r="C63">
        <v>63</v>
      </c>
      <c r="D63" t="s">
        <v>218</v>
      </c>
      <c r="E63">
        <v>7726.25</v>
      </c>
      <c r="F63">
        <v>1522.25</v>
      </c>
      <c r="G63">
        <v>321</v>
      </c>
      <c r="H63">
        <v>314.5</v>
      </c>
      <c r="I63">
        <v>374.5</v>
      </c>
      <c r="J63">
        <v>6805.2499999999991</v>
      </c>
      <c r="K63">
        <v>1837.2499999999998</v>
      </c>
      <c r="L63">
        <v>507.5</v>
      </c>
      <c r="M63">
        <v>31.25</v>
      </c>
      <c r="N63">
        <v>382.5</v>
      </c>
      <c r="O63">
        <v>290.75</v>
      </c>
      <c r="P63">
        <v>168</v>
      </c>
      <c r="Q63">
        <v>40.5</v>
      </c>
      <c r="R63">
        <v>42.5</v>
      </c>
      <c r="S63">
        <v>60.25</v>
      </c>
      <c r="T63">
        <v>836.5</v>
      </c>
      <c r="U63">
        <v>348</v>
      </c>
      <c r="V63">
        <v>5494.25</v>
      </c>
      <c r="W63">
        <v>35698.25</v>
      </c>
      <c r="X63">
        <v>40382.25</v>
      </c>
      <c r="Y63">
        <v>7634.5</v>
      </c>
      <c r="Z63">
        <v>102754.74999999999</v>
      </c>
      <c r="AA63">
        <v>394.74999999999994</v>
      </c>
    </row>
    <row r="64" spans="1:27" x14ac:dyDescent="0.25">
      <c r="A64">
        <v>30.1</v>
      </c>
      <c r="B64" s="4">
        <f t="shared" si="0"/>
        <v>3.0100000000000002E-2</v>
      </c>
      <c r="C64">
        <v>64</v>
      </c>
      <c r="D64" t="s">
        <v>218</v>
      </c>
      <c r="E64">
        <v>4511.6279069767443</v>
      </c>
      <c r="F64">
        <v>1929.5681063122922</v>
      </c>
      <c r="G64">
        <v>0</v>
      </c>
      <c r="H64">
        <v>329.2358803986711</v>
      </c>
      <c r="I64">
        <v>774.08637873754151</v>
      </c>
      <c r="J64">
        <v>4181.7275747508302</v>
      </c>
      <c r="K64">
        <v>2417.6079734219265</v>
      </c>
      <c r="L64">
        <v>458.1395348837209</v>
      </c>
      <c r="M64">
        <v>60.465116279069768</v>
      </c>
      <c r="N64">
        <v>349.50166112956805</v>
      </c>
      <c r="O64">
        <v>146.51162790697674</v>
      </c>
      <c r="P64">
        <v>232.89036544850495</v>
      </c>
      <c r="Q64">
        <v>41.528239202657808</v>
      </c>
      <c r="R64">
        <v>56.478405315614616</v>
      </c>
      <c r="S64">
        <v>66.44518272425249</v>
      </c>
      <c r="T64">
        <v>788.03986710963443</v>
      </c>
      <c r="U64">
        <v>280.39867109634548</v>
      </c>
      <c r="V64">
        <v>1941.1960132890365</v>
      </c>
      <c r="W64">
        <v>56744.518272425245</v>
      </c>
      <c r="X64">
        <v>81391.694352159466</v>
      </c>
      <c r="Y64">
        <v>19425.249169435217</v>
      </c>
      <c r="Z64">
        <v>35418.272425249168</v>
      </c>
      <c r="AA64">
        <v>470.7641196013289</v>
      </c>
    </row>
    <row r="65" spans="1:27" x14ac:dyDescent="0.25">
      <c r="A65">
        <v>32.5</v>
      </c>
      <c r="B65" s="4">
        <f t="shared" si="0"/>
        <v>3.2500000000000001E-2</v>
      </c>
      <c r="C65">
        <v>65</v>
      </c>
      <c r="D65" t="s">
        <v>218</v>
      </c>
      <c r="E65">
        <v>4118.1538461538457</v>
      </c>
      <c r="F65">
        <v>52.307692307692307</v>
      </c>
      <c r="G65">
        <v>0</v>
      </c>
      <c r="H65">
        <v>178.15384615384616</v>
      </c>
      <c r="I65">
        <v>0</v>
      </c>
      <c r="J65">
        <v>1480.3076923076922</v>
      </c>
      <c r="K65">
        <v>1612</v>
      </c>
      <c r="L65">
        <v>318.76923076923072</v>
      </c>
      <c r="M65">
        <v>60.307692307692307</v>
      </c>
      <c r="N65">
        <v>130.46153846153845</v>
      </c>
      <c r="O65">
        <v>40.923076923076927</v>
      </c>
      <c r="P65">
        <v>65.230769230769226</v>
      </c>
      <c r="Q65">
        <v>29.846153846153843</v>
      </c>
      <c r="R65">
        <v>0</v>
      </c>
      <c r="S65">
        <v>61.538461538461533</v>
      </c>
      <c r="T65">
        <v>147.07692307692307</v>
      </c>
      <c r="U65">
        <v>0</v>
      </c>
      <c r="V65">
        <v>1061.5384615384614</v>
      </c>
      <c r="W65">
        <v>1014.7692307692306</v>
      </c>
      <c r="X65">
        <v>1079.6923076923078</v>
      </c>
      <c r="Y65">
        <v>185.84615384615384</v>
      </c>
      <c r="Z65">
        <v>11253.23076923077</v>
      </c>
      <c r="AA65">
        <v>284.92307692307691</v>
      </c>
    </row>
    <row r="66" spans="1:27" x14ac:dyDescent="0.25">
      <c r="A66">
        <v>28.9</v>
      </c>
      <c r="B66" s="4">
        <f t="shared" si="0"/>
        <v>2.8899999999999999E-2</v>
      </c>
      <c r="C66">
        <v>66</v>
      </c>
      <c r="D66" t="s">
        <v>218</v>
      </c>
      <c r="E66">
        <v>13984.083044982699</v>
      </c>
      <c r="F66">
        <v>3449.1349480968861</v>
      </c>
      <c r="G66">
        <v>0</v>
      </c>
      <c r="H66">
        <v>435.29411764705884</v>
      </c>
      <c r="I66">
        <v>1007.612456747405</v>
      </c>
      <c r="J66">
        <v>31249.134948096889</v>
      </c>
      <c r="K66">
        <v>2668.166089965398</v>
      </c>
      <c r="L66">
        <v>917.30103806228385</v>
      </c>
      <c r="M66">
        <v>67.820069204152247</v>
      </c>
      <c r="N66">
        <v>688.92733564013849</v>
      </c>
      <c r="O66">
        <v>393.42560553633217</v>
      </c>
      <c r="P66">
        <v>321.79930795847753</v>
      </c>
      <c r="Q66">
        <v>71.972318339100354</v>
      </c>
      <c r="R66">
        <v>87.889273356401389</v>
      </c>
      <c r="S66">
        <v>417.9930795847751</v>
      </c>
      <c r="T66">
        <v>1179.5847750865053</v>
      </c>
      <c r="U66">
        <v>526.98961937716263</v>
      </c>
      <c r="V66">
        <v>4810.7266435986157</v>
      </c>
      <c r="W66">
        <v>41477.508650519034</v>
      </c>
      <c r="X66">
        <v>26762.975778546715</v>
      </c>
      <c r="Y66">
        <v>5318.6851211072672</v>
      </c>
      <c r="Z66">
        <v>168738.40830449827</v>
      </c>
      <c r="AA66">
        <v>657.09342560553625</v>
      </c>
    </row>
    <row r="67" spans="1:27" x14ac:dyDescent="0.25">
      <c r="A67">
        <v>33.9</v>
      </c>
      <c r="B67" s="4">
        <f t="shared" ref="B67:B75" si="1">A67/1000</f>
        <v>3.39E-2</v>
      </c>
      <c r="C67">
        <v>67</v>
      </c>
      <c r="D67" t="s">
        <v>218</v>
      </c>
      <c r="E67">
        <v>3478.7610619469028</v>
      </c>
      <c r="F67">
        <v>50.147492625368734</v>
      </c>
      <c r="G67">
        <v>0</v>
      </c>
      <c r="H67">
        <v>170.79646017699116</v>
      </c>
      <c r="I67">
        <v>74.041297935103245</v>
      </c>
      <c r="J67">
        <v>3702.3598820059001</v>
      </c>
      <c r="K67">
        <v>1760.7669616519174</v>
      </c>
      <c r="L67">
        <v>406.78466076696162</v>
      </c>
      <c r="M67">
        <v>50.737463126843657</v>
      </c>
      <c r="N67">
        <v>56.342182890855455</v>
      </c>
      <c r="O67">
        <v>21.828908554572273</v>
      </c>
      <c r="P67">
        <v>118.87905604719765</v>
      </c>
      <c r="Q67">
        <v>17.699115044247787</v>
      </c>
      <c r="R67">
        <v>17.404129793510325</v>
      </c>
      <c r="S67">
        <v>35.103244837758112</v>
      </c>
      <c r="T67">
        <v>269.9115044247788</v>
      </c>
      <c r="U67">
        <v>0</v>
      </c>
      <c r="V67">
        <v>464.01179941002954</v>
      </c>
      <c r="W67">
        <v>2567.8466076696163</v>
      </c>
      <c r="X67">
        <v>1942.1828908554573</v>
      </c>
      <c r="Y67">
        <v>257.81710914454277</v>
      </c>
      <c r="Z67">
        <v>17080.825958702066</v>
      </c>
      <c r="AA67">
        <v>370.20648967551625</v>
      </c>
    </row>
    <row r="68" spans="1:27" x14ac:dyDescent="0.25">
      <c r="A68">
        <v>34.200000000000003</v>
      </c>
      <c r="B68" s="4">
        <f t="shared" si="1"/>
        <v>3.4200000000000001E-2</v>
      </c>
      <c r="C68">
        <v>68</v>
      </c>
      <c r="D68" t="s">
        <v>218</v>
      </c>
      <c r="E68">
        <v>3849.9999999999995</v>
      </c>
      <c r="F68">
        <v>49.707602339181285</v>
      </c>
      <c r="G68">
        <v>0</v>
      </c>
      <c r="H68">
        <v>200</v>
      </c>
      <c r="I68">
        <v>0</v>
      </c>
      <c r="J68">
        <v>3038.0116959064326</v>
      </c>
      <c r="K68">
        <v>1489.1812865497075</v>
      </c>
      <c r="L68">
        <v>302.9239766081871</v>
      </c>
      <c r="M68">
        <v>25.438596491228068</v>
      </c>
      <c r="N68">
        <v>96.491228070175424</v>
      </c>
      <c r="O68">
        <v>47.368421052631582</v>
      </c>
      <c r="P68">
        <v>99.707602339181292</v>
      </c>
      <c r="Q68">
        <v>23.099415204678362</v>
      </c>
      <c r="R68">
        <v>2.9239766081871346</v>
      </c>
      <c r="S68">
        <v>46.783625730994153</v>
      </c>
      <c r="T68">
        <v>154.38596491228071</v>
      </c>
      <c r="U68">
        <v>0</v>
      </c>
      <c r="V68">
        <v>731.87134502923982</v>
      </c>
      <c r="W68">
        <v>2027.1929824561403</v>
      </c>
      <c r="X68">
        <v>1880.9941520467835</v>
      </c>
      <c r="Y68">
        <v>246.49122807017542</v>
      </c>
      <c r="Z68">
        <v>35147.368421052626</v>
      </c>
      <c r="AA68">
        <v>221.92982456140351</v>
      </c>
    </row>
    <row r="69" spans="1:27" x14ac:dyDescent="0.25">
      <c r="A69">
        <v>45</v>
      </c>
      <c r="B69" s="4">
        <f t="shared" si="1"/>
        <v>4.4999999999999998E-2</v>
      </c>
      <c r="C69">
        <v>69</v>
      </c>
      <c r="D69" t="s">
        <v>218</v>
      </c>
      <c r="E69">
        <v>5537.3333333333339</v>
      </c>
      <c r="F69">
        <v>933.33333333333337</v>
      </c>
      <c r="G69">
        <v>0</v>
      </c>
      <c r="H69">
        <v>144.22222222222223</v>
      </c>
      <c r="I69">
        <v>89.555555555555571</v>
      </c>
      <c r="J69">
        <v>4124.666666666667</v>
      </c>
      <c r="K69">
        <v>1148</v>
      </c>
      <c r="L69">
        <v>306.44444444444446</v>
      </c>
      <c r="M69">
        <v>32</v>
      </c>
      <c r="N69">
        <v>202.44444444444443</v>
      </c>
      <c r="O69">
        <v>110.22222222222223</v>
      </c>
      <c r="P69">
        <v>61.555555555555557</v>
      </c>
      <c r="Q69">
        <v>25.777777777777779</v>
      </c>
      <c r="R69">
        <v>18.222222222222221</v>
      </c>
      <c r="S69">
        <v>71.111111111111114</v>
      </c>
      <c r="T69">
        <v>443.11111111111114</v>
      </c>
      <c r="U69">
        <v>57.333333333333336</v>
      </c>
      <c r="V69">
        <v>2220</v>
      </c>
      <c r="W69">
        <v>12337.333333333332</v>
      </c>
      <c r="X69">
        <v>8324.6666666666679</v>
      </c>
      <c r="Y69">
        <v>1307.7777777777778</v>
      </c>
      <c r="Z69">
        <v>50795.111111111117</v>
      </c>
      <c r="AA69">
        <v>278.88888888888891</v>
      </c>
    </row>
    <row r="70" spans="1:27" x14ac:dyDescent="0.25">
      <c r="A70">
        <v>29.6</v>
      </c>
      <c r="B70" s="4">
        <f t="shared" si="1"/>
        <v>2.9600000000000001E-2</v>
      </c>
      <c r="C70">
        <v>70</v>
      </c>
      <c r="D70" t="s">
        <v>218</v>
      </c>
      <c r="E70">
        <v>7483.4459459459449</v>
      </c>
      <c r="F70">
        <v>2894.9324324324321</v>
      </c>
      <c r="G70">
        <v>321.95945945945942</v>
      </c>
      <c r="H70">
        <v>352.02702702702703</v>
      </c>
      <c r="I70">
        <v>468.91891891891891</v>
      </c>
      <c r="J70">
        <v>15573.986486486487</v>
      </c>
      <c r="K70">
        <v>2580.7432432432433</v>
      </c>
      <c r="L70">
        <v>685.81081081081084</v>
      </c>
      <c r="M70">
        <v>53.378378378378379</v>
      </c>
      <c r="N70">
        <v>364.18918918918916</v>
      </c>
      <c r="O70">
        <v>339.52702702702703</v>
      </c>
      <c r="P70">
        <v>197.29729729729729</v>
      </c>
      <c r="Q70">
        <v>57.770270270270267</v>
      </c>
      <c r="R70">
        <v>99.662162162162161</v>
      </c>
      <c r="S70">
        <v>161.48648648648648</v>
      </c>
      <c r="T70">
        <v>1398.6486486486485</v>
      </c>
      <c r="U70">
        <v>514.52702702702697</v>
      </c>
      <c r="V70">
        <v>4221.6216216216217</v>
      </c>
      <c r="W70">
        <v>28991.89189189189</v>
      </c>
      <c r="X70">
        <v>46527.7027027027</v>
      </c>
      <c r="Y70">
        <v>6728.3783783783783</v>
      </c>
      <c r="Z70">
        <v>218899.99999999997</v>
      </c>
      <c r="AA70">
        <v>614.52702702702709</v>
      </c>
    </row>
    <row r="71" spans="1:27" x14ac:dyDescent="0.25">
      <c r="A71">
        <v>26.9</v>
      </c>
      <c r="B71" s="4">
        <f t="shared" si="1"/>
        <v>2.69E-2</v>
      </c>
      <c r="C71">
        <v>71</v>
      </c>
      <c r="D71" t="s">
        <v>218</v>
      </c>
      <c r="E71">
        <v>2686.2453531598517</v>
      </c>
      <c r="F71">
        <v>0</v>
      </c>
      <c r="G71">
        <v>0</v>
      </c>
      <c r="H71">
        <v>141.63568773234201</v>
      </c>
      <c r="I71">
        <v>0</v>
      </c>
      <c r="J71">
        <v>2349.0706319702599</v>
      </c>
      <c r="K71">
        <v>1455.3903345724907</v>
      </c>
      <c r="L71">
        <v>512.6394052044609</v>
      </c>
      <c r="M71">
        <v>78.066914498141273</v>
      </c>
      <c r="N71">
        <v>130.8550185873606</v>
      </c>
      <c r="O71">
        <v>49.442379182156138</v>
      </c>
      <c r="P71">
        <v>78.810408921933089</v>
      </c>
      <c r="Q71">
        <v>15.241635687732341</v>
      </c>
      <c r="R71">
        <v>0</v>
      </c>
      <c r="S71">
        <v>44.237918215613384</v>
      </c>
      <c r="T71">
        <v>128.25278810408923</v>
      </c>
      <c r="U71">
        <v>0</v>
      </c>
      <c r="V71">
        <v>1379.5539033457248</v>
      </c>
      <c r="W71">
        <v>13189.96282527881</v>
      </c>
      <c r="X71">
        <v>3889.2193308550186</v>
      </c>
      <c r="Y71">
        <v>807.06319702602229</v>
      </c>
      <c r="Z71">
        <v>38189.96282527881</v>
      </c>
      <c r="AA71">
        <v>250.92936802973978</v>
      </c>
    </row>
    <row r="72" spans="1:27" x14ac:dyDescent="0.25">
      <c r="A72">
        <v>30.6</v>
      </c>
      <c r="B72" s="4">
        <f t="shared" si="1"/>
        <v>3.0600000000000002E-2</v>
      </c>
      <c r="C72">
        <v>72</v>
      </c>
      <c r="D72" t="s">
        <v>218</v>
      </c>
      <c r="E72">
        <v>4869.6078431372543</v>
      </c>
      <c r="F72">
        <v>163.07189542483658</v>
      </c>
      <c r="G72">
        <v>0</v>
      </c>
      <c r="H72">
        <v>142.48366013071896</v>
      </c>
      <c r="I72">
        <v>0</v>
      </c>
      <c r="J72">
        <v>2973.5294117647054</v>
      </c>
      <c r="K72">
        <v>1568.627450980392</v>
      </c>
      <c r="L72">
        <v>558.49673202614372</v>
      </c>
      <c r="M72">
        <v>40.849673202614376</v>
      </c>
      <c r="N72">
        <v>115.03267973856208</v>
      </c>
      <c r="O72">
        <v>52.941176470588232</v>
      </c>
      <c r="P72">
        <v>111.43790849673202</v>
      </c>
      <c r="Q72">
        <v>25.816993464052288</v>
      </c>
      <c r="R72">
        <v>3.2679738562091503</v>
      </c>
      <c r="S72">
        <v>65.359477124183002</v>
      </c>
      <c r="T72">
        <v>152.9411764705882</v>
      </c>
      <c r="U72">
        <v>0</v>
      </c>
      <c r="V72">
        <v>1052.6143790849674</v>
      </c>
      <c r="W72">
        <v>4222.2222222222217</v>
      </c>
      <c r="X72">
        <v>2127.124183006536</v>
      </c>
      <c r="Y72">
        <v>286.92810457516333</v>
      </c>
      <c r="Z72">
        <v>22185.294117647056</v>
      </c>
      <c r="AA72">
        <v>329.73856209150324</v>
      </c>
    </row>
    <row r="73" spans="1:27" x14ac:dyDescent="0.25">
      <c r="A73">
        <v>31.8</v>
      </c>
      <c r="B73" s="4">
        <f t="shared" si="1"/>
        <v>3.1800000000000002E-2</v>
      </c>
      <c r="C73">
        <v>73</v>
      </c>
      <c r="D73" t="s">
        <v>218</v>
      </c>
      <c r="E73">
        <v>5638.6792452830186</v>
      </c>
      <c r="F73">
        <v>0</v>
      </c>
      <c r="G73">
        <v>0</v>
      </c>
      <c r="H73">
        <v>220.44025157232701</v>
      </c>
      <c r="I73">
        <v>0</v>
      </c>
      <c r="J73">
        <v>1147.7987421383648</v>
      </c>
      <c r="K73">
        <v>1324.2138364779873</v>
      </c>
      <c r="L73">
        <v>212.57861635220124</v>
      </c>
      <c r="M73">
        <v>42.452830188679243</v>
      </c>
      <c r="N73">
        <v>122.01257861635219</v>
      </c>
      <c r="O73">
        <v>32.704402515723267</v>
      </c>
      <c r="P73">
        <v>55.974842767295598</v>
      </c>
      <c r="Q73">
        <v>12.893081761006288</v>
      </c>
      <c r="R73">
        <v>11.006289308176099</v>
      </c>
      <c r="S73">
        <v>24.528301886792452</v>
      </c>
      <c r="T73">
        <v>172.01257861635219</v>
      </c>
      <c r="U73">
        <v>0</v>
      </c>
      <c r="V73">
        <v>877.04402515723268</v>
      </c>
      <c r="W73">
        <v>2737.4213836477984</v>
      </c>
      <c r="X73">
        <v>760.06289308176099</v>
      </c>
      <c r="Y73">
        <v>160.69182389937106</v>
      </c>
      <c r="Z73">
        <v>12520.12578616352</v>
      </c>
      <c r="AA73">
        <v>291.19496855345909</v>
      </c>
    </row>
    <row r="74" spans="1:27" x14ac:dyDescent="0.25">
      <c r="A74">
        <v>45.8</v>
      </c>
      <c r="B74" s="4">
        <f t="shared" si="1"/>
        <v>4.58E-2</v>
      </c>
      <c r="C74">
        <v>74</v>
      </c>
      <c r="D74" t="s">
        <v>218</v>
      </c>
      <c r="E74">
        <v>4973.144104803494</v>
      </c>
      <c r="F74">
        <v>2741.9213973799124</v>
      </c>
      <c r="G74">
        <v>387.5545851528384</v>
      </c>
      <c r="H74">
        <v>271.17903930131001</v>
      </c>
      <c r="I74">
        <v>615.06550218340612</v>
      </c>
      <c r="J74">
        <v>18095.196506550219</v>
      </c>
      <c r="K74">
        <v>1588.8646288209607</v>
      </c>
      <c r="L74">
        <v>511.5720524017467</v>
      </c>
      <c r="M74">
        <v>25.327510917030565</v>
      </c>
      <c r="N74">
        <v>475.9825327510917</v>
      </c>
      <c r="O74">
        <v>207.8602620087336</v>
      </c>
      <c r="P74">
        <v>227.29257641921399</v>
      </c>
      <c r="Q74">
        <v>53.275109170305676</v>
      </c>
      <c r="R74">
        <v>59.825327510917035</v>
      </c>
      <c r="S74">
        <v>167.90393013100439</v>
      </c>
      <c r="T74">
        <v>798.90829694323156</v>
      </c>
      <c r="U74">
        <v>368.99563318777291</v>
      </c>
      <c r="V74">
        <v>4065.5021834061131</v>
      </c>
      <c r="W74">
        <v>41845.851528384279</v>
      </c>
      <c r="X74">
        <v>49120.087336244535</v>
      </c>
      <c r="Y74">
        <v>8413.9737991266375</v>
      </c>
      <c r="Z74">
        <v>161891.70305676857</v>
      </c>
      <c r="AA74">
        <v>449.34497816593881</v>
      </c>
    </row>
    <row r="75" spans="1:27" x14ac:dyDescent="0.25">
      <c r="A75">
        <v>36.6</v>
      </c>
      <c r="B75" s="4">
        <f t="shared" si="1"/>
        <v>3.6600000000000001E-2</v>
      </c>
      <c r="C75">
        <v>75</v>
      </c>
      <c r="D75" t="s">
        <v>218</v>
      </c>
      <c r="E75">
        <v>3391.8032786885246</v>
      </c>
      <c r="F75">
        <v>2266.9398907103823</v>
      </c>
      <c r="G75">
        <v>0</v>
      </c>
      <c r="H75">
        <v>298.36065573770492</v>
      </c>
      <c r="I75">
        <v>663.66120218579226</v>
      </c>
      <c r="J75">
        <v>33213.387978142076</v>
      </c>
      <c r="K75">
        <v>1948.6338797814205</v>
      </c>
      <c r="L75">
        <v>466.93989071038249</v>
      </c>
      <c r="M75">
        <v>49.72677595628415</v>
      </c>
      <c r="N75">
        <v>259.56284153005464</v>
      </c>
      <c r="O75">
        <v>281.69398907103829</v>
      </c>
      <c r="P75">
        <v>191.53005464480873</v>
      </c>
      <c r="Q75">
        <v>29.234972677595628</v>
      </c>
      <c r="R75">
        <v>46.448087431693985</v>
      </c>
      <c r="S75">
        <v>157.10382513661202</v>
      </c>
      <c r="T75">
        <v>427.86885245901641</v>
      </c>
      <c r="U75">
        <v>70.491803278688522</v>
      </c>
      <c r="V75">
        <v>3221.8579234972676</v>
      </c>
      <c r="W75">
        <v>25425.683060109292</v>
      </c>
      <c r="X75">
        <v>45157.103825136612</v>
      </c>
      <c r="Y75">
        <v>4212.5683060109295</v>
      </c>
      <c r="Z75">
        <v>113919.39890710382</v>
      </c>
      <c r="AA75">
        <v>475.13661202185796</v>
      </c>
    </row>
    <row r="76" spans="1:27" x14ac:dyDescent="0.25">
      <c r="B76" s="4"/>
    </row>
    <row r="77" spans="1:27" x14ac:dyDescent="0.25">
      <c r="B77" s="4"/>
    </row>
    <row r="78" spans="1:27" x14ac:dyDescent="0.25">
      <c r="B78" s="4"/>
    </row>
    <row r="79" spans="1:27" x14ac:dyDescent="0.25">
      <c r="B79" s="4"/>
    </row>
    <row r="80" spans="1:27" x14ac:dyDescent="0.25">
      <c r="B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workbookViewId="0">
      <selection activeCell="L2" sqref="L2"/>
    </sheetView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8.85546875" bestFit="1" customWidth="1"/>
    <col min="8" max="8" width="9" bestFit="1" customWidth="1"/>
    <col min="9" max="10" width="12.140625" bestFit="1" customWidth="1"/>
    <col min="11" max="11" width="9" bestFit="1" customWidth="1"/>
    <col min="12" max="12" width="10.28515625" bestFit="1" customWidth="1"/>
    <col min="13" max="13" width="9" bestFit="1" customWidth="1"/>
    <col min="15" max="21" width="8" bestFit="1" customWidth="1"/>
    <col min="22" max="22" width="10.7109375" bestFit="1" customWidth="1"/>
    <col min="23" max="23" width="11.28515625" bestFit="1" customWidth="1"/>
    <col min="24" max="24" width="11.140625" bestFit="1" customWidth="1"/>
    <col min="25" max="25" width="11.7109375" bestFit="1" customWidth="1"/>
    <col min="26" max="26" width="9.285156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317</v>
      </c>
      <c r="E9" s="1" t="s">
        <v>317</v>
      </c>
      <c r="F9" s="1" t="s">
        <v>317</v>
      </c>
      <c r="G9" s="1" t="s">
        <v>317</v>
      </c>
      <c r="H9" s="1" t="s">
        <v>317</v>
      </c>
      <c r="I9" s="1" t="s">
        <v>317</v>
      </c>
      <c r="J9" s="1" t="s">
        <v>317</v>
      </c>
      <c r="K9" s="1" t="s">
        <v>317</v>
      </c>
      <c r="L9" s="1" t="s">
        <v>317</v>
      </c>
      <c r="M9" s="1" t="s">
        <v>317</v>
      </c>
      <c r="N9" s="1" t="s">
        <v>317</v>
      </c>
      <c r="O9" s="1" t="s">
        <v>317</v>
      </c>
      <c r="P9" s="1" t="s">
        <v>317</v>
      </c>
      <c r="Q9" s="1" t="s">
        <v>317</v>
      </c>
      <c r="R9" s="1" t="s">
        <v>317</v>
      </c>
      <c r="S9" s="1" t="s">
        <v>317</v>
      </c>
      <c r="T9" s="1" t="s">
        <v>317</v>
      </c>
      <c r="U9" s="1" t="s">
        <v>317</v>
      </c>
      <c r="V9" s="1" t="s">
        <v>317</v>
      </c>
      <c r="W9" s="1" t="s">
        <v>317</v>
      </c>
      <c r="X9" s="1" t="s">
        <v>317</v>
      </c>
      <c r="Y9" s="1" t="s">
        <v>317</v>
      </c>
      <c r="Z9" s="1" t="s">
        <v>317</v>
      </c>
    </row>
    <row r="10" spans="1:26" x14ac:dyDescent="0.25">
      <c r="A10" t="s">
        <v>281</v>
      </c>
      <c r="B10" t="s">
        <v>282</v>
      </c>
      <c r="C10" t="s">
        <v>283</v>
      </c>
      <c r="D10">
        <v>9</v>
      </c>
      <c r="E10">
        <v>9</v>
      </c>
      <c r="F10">
        <v>8</v>
      </c>
      <c r="G10">
        <v>8</v>
      </c>
      <c r="H10">
        <v>7</v>
      </c>
      <c r="I10">
        <v>9</v>
      </c>
      <c r="J10">
        <v>10</v>
      </c>
      <c r="K10">
        <v>8</v>
      </c>
      <c r="L10">
        <v>10</v>
      </c>
      <c r="M10">
        <v>9</v>
      </c>
      <c r="N10">
        <v>8</v>
      </c>
      <c r="O10">
        <v>6</v>
      </c>
      <c r="P10">
        <v>10</v>
      </c>
      <c r="Q10">
        <v>10</v>
      </c>
      <c r="R10">
        <v>10</v>
      </c>
      <c r="S10">
        <v>10</v>
      </c>
      <c r="T10">
        <v>8</v>
      </c>
      <c r="U10">
        <v>8</v>
      </c>
      <c r="V10">
        <v>10</v>
      </c>
      <c r="W10">
        <v>8</v>
      </c>
      <c r="X10">
        <v>9</v>
      </c>
      <c r="Y10">
        <v>10</v>
      </c>
      <c r="Z10">
        <v>7</v>
      </c>
    </row>
    <row r="11" spans="1:26" x14ac:dyDescent="0.25">
      <c r="A11" t="s">
        <v>306</v>
      </c>
      <c r="B11" t="s">
        <v>307</v>
      </c>
      <c r="C11" t="s">
        <v>308</v>
      </c>
      <c r="D11" t="s">
        <v>318</v>
      </c>
      <c r="E11">
        <v>24979.5</v>
      </c>
      <c r="F11">
        <v>17845.8</v>
      </c>
      <c r="G11">
        <v>11748</v>
      </c>
      <c r="H11">
        <v>23529.5</v>
      </c>
      <c r="I11">
        <v>31243</v>
      </c>
      <c r="J11">
        <v>15148.8</v>
      </c>
      <c r="K11">
        <v>25684</v>
      </c>
      <c r="L11">
        <v>22658</v>
      </c>
      <c r="M11">
        <v>24876</v>
      </c>
      <c r="N11">
        <v>17677.5</v>
      </c>
      <c r="O11">
        <v>22120.3</v>
      </c>
      <c r="P11">
        <v>15613.3</v>
      </c>
      <c r="Q11">
        <v>17913.8</v>
      </c>
      <c r="R11">
        <v>21599.8</v>
      </c>
      <c r="S11">
        <v>22753</v>
      </c>
      <c r="T11">
        <v>9246.5</v>
      </c>
      <c r="U11">
        <v>12268.5</v>
      </c>
      <c r="V11">
        <v>15296.5</v>
      </c>
      <c r="W11" t="s">
        <v>318</v>
      </c>
      <c r="X11">
        <v>19330</v>
      </c>
      <c r="Y11">
        <v>17426</v>
      </c>
      <c r="Z11">
        <v>19719</v>
      </c>
    </row>
    <row r="12" spans="1:26" x14ac:dyDescent="0.25">
      <c r="A12" t="s">
        <v>284</v>
      </c>
      <c r="B12" t="s">
        <v>285</v>
      </c>
      <c r="C12" t="s">
        <v>286</v>
      </c>
      <c r="D12">
        <v>15396.3</v>
      </c>
      <c r="E12">
        <v>12128.8</v>
      </c>
      <c r="F12">
        <v>16601</v>
      </c>
      <c r="G12">
        <v>7721</v>
      </c>
      <c r="H12">
        <v>17795.3</v>
      </c>
      <c r="I12">
        <v>23831.8</v>
      </c>
      <c r="J12">
        <v>7097.8</v>
      </c>
      <c r="K12">
        <v>15300.8</v>
      </c>
      <c r="L12">
        <v>14543.5</v>
      </c>
      <c r="M12">
        <v>13999</v>
      </c>
      <c r="N12">
        <v>12907</v>
      </c>
      <c r="O12">
        <v>11871.3</v>
      </c>
      <c r="P12">
        <v>7393.5</v>
      </c>
      <c r="Q12">
        <v>9248</v>
      </c>
      <c r="R12">
        <v>10831.3</v>
      </c>
      <c r="S12">
        <v>13547</v>
      </c>
      <c r="T12">
        <v>6853.5</v>
      </c>
      <c r="U12">
        <v>8929.5</v>
      </c>
      <c r="V12">
        <v>12247.5</v>
      </c>
      <c r="W12">
        <v>9739.5</v>
      </c>
      <c r="X12">
        <v>13500.8</v>
      </c>
      <c r="Y12">
        <v>13902.3</v>
      </c>
      <c r="Z12">
        <v>8221.7999999999993</v>
      </c>
    </row>
    <row r="13" spans="1:26" x14ac:dyDescent="0.25">
      <c r="A13" t="s">
        <v>288</v>
      </c>
      <c r="B13" t="s">
        <v>289</v>
      </c>
      <c r="C13" t="s">
        <v>290</v>
      </c>
      <c r="D13">
        <v>7260.5</v>
      </c>
      <c r="E13">
        <v>4261.5</v>
      </c>
      <c r="F13">
        <v>12157.5</v>
      </c>
      <c r="G13">
        <v>3084</v>
      </c>
      <c r="H13">
        <v>7543.5</v>
      </c>
      <c r="I13">
        <v>11944.5</v>
      </c>
      <c r="J13">
        <v>2282</v>
      </c>
      <c r="K13">
        <v>5834.3</v>
      </c>
      <c r="L13">
        <v>5356.5</v>
      </c>
      <c r="M13">
        <v>5064</v>
      </c>
      <c r="N13">
        <v>6261</v>
      </c>
      <c r="O13">
        <v>3751.5</v>
      </c>
      <c r="P13">
        <v>2268</v>
      </c>
      <c r="Q13">
        <v>2974.8</v>
      </c>
      <c r="R13">
        <v>2880.5</v>
      </c>
      <c r="S13">
        <v>5170</v>
      </c>
      <c r="T13">
        <v>4097</v>
      </c>
      <c r="U13">
        <v>3988</v>
      </c>
      <c r="V13">
        <v>6703.5</v>
      </c>
      <c r="W13">
        <v>5514.3</v>
      </c>
      <c r="X13">
        <v>6505.8</v>
      </c>
      <c r="Y13">
        <v>6355</v>
      </c>
      <c r="Z13">
        <v>2169.3000000000002</v>
      </c>
    </row>
    <row r="14" spans="1:26" x14ac:dyDescent="0.25">
      <c r="A14" t="s">
        <v>291</v>
      </c>
      <c r="B14" t="s">
        <v>292</v>
      </c>
      <c r="C14" t="s">
        <v>293</v>
      </c>
      <c r="D14">
        <v>1562.3</v>
      </c>
      <c r="E14">
        <v>1211</v>
      </c>
      <c r="F14">
        <v>4682.5</v>
      </c>
      <c r="G14">
        <v>1087.3</v>
      </c>
      <c r="H14">
        <v>1969.5</v>
      </c>
      <c r="I14">
        <v>4987.8</v>
      </c>
      <c r="J14">
        <v>848.3</v>
      </c>
      <c r="K14">
        <v>1671.3</v>
      </c>
      <c r="L14">
        <v>1583</v>
      </c>
      <c r="M14">
        <v>1410</v>
      </c>
      <c r="N14">
        <v>2142</v>
      </c>
      <c r="O14">
        <v>940.8</v>
      </c>
      <c r="P14">
        <v>775.8</v>
      </c>
      <c r="Q14">
        <v>997.5</v>
      </c>
      <c r="R14">
        <v>817.3</v>
      </c>
      <c r="S14">
        <v>1569.5</v>
      </c>
      <c r="T14">
        <v>1684</v>
      </c>
      <c r="U14">
        <v>1095.8</v>
      </c>
      <c r="V14">
        <v>1802</v>
      </c>
      <c r="W14">
        <v>1131.5</v>
      </c>
      <c r="X14">
        <v>1967</v>
      </c>
      <c r="Y14">
        <v>1731.5</v>
      </c>
      <c r="Z14">
        <v>683.5</v>
      </c>
    </row>
    <row r="15" spans="1:26" x14ac:dyDescent="0.25">
      <c r="A15" t="s">
        <v>294</v>
      </c>
      <c r="B15" t="s">
        <v>295</v>
      </c>
      <c r="C15" t="s">
        <v>296</v>
      </c>
      <c r="D15">
        <v>326.5</v>
      </c>
      <c r="E15">
        <v>293</v>
      </c>
      <c r="F15">
        <v>555.29999999999995</v>
      </c>
      <c r="G15">
        <v>291.8</v>
      </c>
      <c r="H15">
        <v>413.5</v>
      </c>
      <c r="I15">
        <v>1310.5</v>
      </c>
      <c r="J15">
        <v>253.5</v>
      </c>
      <c r="K15">
        <v>363.3</v>
      </c>
      <c r="L15">
        <v>414</v>
      </c>
      <c r="M15">
        <v>337.5</v>
      </c>
      <c r="N15">
        <v>556</v>
      </c>
      <c r="O15">
        <v>209.3</v>
      </c>
      <c r="P15">
        <v>197.5</v>
      </c>
      <c r="Q15">
        <v>257.3</v>
      </c>
      <c r="R15">
        <v>194.5</v>
      </c>
      <c r="S15">
        <v>414</v>
      </c>
      <c r="T15">
        <v>410.5</v>
      </c>
      <c r="U15">
        <v>218.8</v>
      </c>
      <c r="V15">
        <v>252</v>
      </c>
      <c r="W15">
        <v>179</v>
      </c>
      <c r="X15">
        <v>486.5</v>
      </c>
      <c r="Y15">
        <v>305.3</v>
      </c>
      <c r="Z15">
        <v>173.5</v>
      </c>
    </row>
    <row r="16" spans="1:26" x14ac:dyDescent="0.25">
      <c r="A16" t="s">
        <v>297</v>
      </c>
      <c r="B16" t="s">
        <v>298</v>
      </c>
      <c r="C16" t="s">
        <v>299</v>
      </c>
      <c r="D16">
        <v>85</v>
      </c>
      <c r="E16">
        <v>77</v>
      </c>
      <c r="F16">
        <v>65</v>
      </c>
      <c r="G16">
        <v>79.5</v>
      </c>
      <c r="H16">
        <v>103</v>
      </c>
      <c r="I16">
        <v>334.5</v>
      </c>
      <c r="J16">
        <v>95.5</v>
      </c>
      <c r="K16">
        <v>84</v>
      </c>
      <c r="L16">
        <v>119.5</v>
      </c>
      <c r="M16">
        <v>87</v>
      </c>
      <c r="N16">
        <v>138.5</v>
      </c>
      <c r="O16">
        <v>52.8</v>
      </c>
      <c r="P16">
        <v>56.3</v>
      </c>
      <c r="Q16">
        <v>68</v>
      </c>
      <c r="R16">
        <v>52.5</v>
      </c>
      <c r="S16">
        <v>140</v>
      </c>
      <c r="T16">
        <v>108</v>
      </c>
      <c r="U16">
        <v>51.8</v>
      </c>
      <c r="V16">
        <v>42.8</v>
      </c>
      <c r="W16">
        <v>50.5</v>
      </c>
      <c r="X16">
        <v>126.3</v>
      </c>
      <c r="Y16">
        <v>69.5</v>
      </c>
      <c r="Z16">
        <v>44.5</v>
      </c>
    </row>
    <row r="17" spans="1:26" x14ac:dyDescent="0.25">
      <c r="A17" t="s">
        <v>300</v>
      </c>
      <c r="B17" t="s">
        <v>301</v>
      </c>
      <c r="C17" t="s">
        <v>302</v>
      </c>
      <c r="D17">
        <v>38.5</v>
      </c>
      <c r="E17">
        <v>35</v>
      </c>
      <c r="F17">
        <v>22</v>
      </c>
      <c r="G17">
        <v>32.5</v>
      </c>
      <c r="H17">
        <v>45.3</v>
      </c>
      <c r="I17">
        <v>88.3</v>
      </c>
      <c r="J17">
        <v>62.8</v>
      </c>
      <c r="K17">
        <v>28</v>
      </c>
      <c r="L17">
        <v>45</v>
      </c>
      <c r="M17">
        <v>42</v>
      </c>
      <c r="N17">
        <v>46.8</v>
      </c>
      <c r="O17">
        <v>23.5</v>
      </c>
      <c r="P17">
        <v>24.5</v>
      </c>
      <c r="Q17">
        <v>32.5</v>
      </c>
      <c r="R17">
        <v>26.5</v>
      </c>
      <c r="S17">
        <v>88.5</v>
      </c>
      <c r="T17">
        <v>49</v>
      </c>
      <c r="U17">
        <v>23</v>
      </c>
      <c r="V17">
        <v>19</v>
      </c>
      <c r="W17">
        <v>32.5</v>
      </c>
      <c r="X17">
        <v>48</v>
      </c>
      <c r="Y17">
        <v>33.5</v>
      </c>
      <c r="Z17">
        <v>18.8</v>
      </c>
    </row>
    <row r="18" spans="1:26" x14ac:dyDescent="0.25">
      <c r="A18" t="s">
        <v>303</v>
      </c>
      <c r="B18" t="s">
        <v>304</v>
      </c>
      <c r="C18" t="s">
        <v>305</v>
      </c>
      <c r="D18" t="s">
        <v>318</v>
      </c>
      <c r="E18">
        <v>22</v>
      </c>
      <c r="F18" t="s">
        <v>318</v>
      </c>
      <c r="G18">
        <v>22.3</v>
      </c>
      <c r="H18" t="s">
        <v>318</v>
      </c>
      <c r="I18">
        <v>33</v>
      </c>
      <c r="J18">
        <v>52.8</v>
      </c>
      <c r="K18">
        <v>13.3</v>
      </c>
      <c r="L18">
        <v>28.3</v>
      </c>
      <c r="M18">
        <v>28</v>
      </c>
      <c r="N18">
        <v>19.5</v>
      </c>
      <c r="O18">
        <v>13.5</v>
      </c>
      <c r="P18">
        <v>15.5</v>
      </c>
      <c r="Q18">
        <v>21</v>
      </c>
      <c r="R18">
        <v>17.5</v>
      </c>
      <c r="S18">
        <v>74</v>
      </c>
      <c r="T18" t="s">
        <v>318</v>
      </c>
      <c r="U18" t="s">
        <v>318</v>
      </c>
      <c r="V18" t="s">
        <v>318</v>
      </c>
      <c r="W18" t="s">
        <v>318</v>
      </c>
      <c r="X18">
        <v>24.5</v>
      </c>
      <c r="Y18" t="s">
        <v>318</v>
      </c>
      <c r="Z18">
        <v>13</v>
      </c>
    </row>
    <row r="19" spans="1:26" x14ac:dyDescent="0.25">
      <c r="A19" t="s">
        <v>38</v>
      </c>
      <c r="B19" t="s">
        <v>39</v>
      </c>
      <c r="C19" t="s">
        <v>40</v>
      </c>
      <c r="D19">
        <v>224</v>
      </c>
      <c r="E19">
        <v>20</v>
      </c>
      <c r="F19">
        <v>18</v>
      </c>
      <c r="G19">
        <v>40</v>
      </c>
      <c r="H19">
        <v>32</v>
      </c>
      <c r="I19">
        <v>41</v>
      </c>
      <c r="J19">
        <v>85.5</v>
      </c>
      <c r="K19">
        <v>13</v>
      </c>
      <c r="L19">
        <v>32.5</v>
      </c>
      <c r="M19">
        <v>90</v>
      </c>
      <c r="N19">
        <v>14</v>
      </c>
      <c r="O19">
        <v>29</v>
      </c>
      <c r="P19">
        <v>17</v>
      </c>
      <c r="Q19">
        <v>21</v>
      </c>
      <c r="R19">
        <v>20</v>
      </c>
      <c r="S19">
        <v>132</v>
      </c>
      <c r="T19">
        <v>45</v>
      </c>
      <c r="U19">
        <v>24</v>
      </c>
      <c r="V19">
        <v>21.5</v>
      </c>
      <c r="W19">
        <v>39</v>
      </c>
      <c r="X19">
        <v>90</v>
      </c>
      <c r="Y19">
        <v>90</v>
      </c>
      <c r="Z19">
        <v>16</v>
      </c>
    </row>
    <row r="20" spans="1:26" x14ac:dyDescent="0.25">
      <c r="A20" t="s">
        <v>41</v>
      </c>
      <c r="B20" t="s">
        <v>42</v>
      </c>
      <c r="C20" t="s">
        <v>43</v>
      </c>
      <c r="D20">
        <v>336</v>
      </c>
      <c r="E20">
        <v>21</v>
      </c>
      <c r="F20">
        <v>19</v>
      </c>
      <c r="G20">
        <v>41</v>
      </c>
      <c r="H20">
        <v>33</v>
      </c>
      <c r="I20">
        <v>58.5</v>
      </c>
      <c r="J20">
        <v>91</v>
      </c>
      <c r="K20">
        <v>14</v>
      </c>
      <c r="L20">
        <v>42</v>
      </c>
      <c r="M20">
        <v>81</v>
      </c>
      <c r="N20">
        <v>17</v>
      </c>
      <c r="O20">
        <v>30</v>
      </c>
      <c r="P20">
        <v>17</v>
      </c>
      <c r="Q20">
        <v>22</v>
      </c>
      <c r="R20">
        <v>19</v>
      </c>
      <c r="S20">
        <v>112</v>
      </c>
      <c r="T20">
        <v>40</v>
      </c>
      <c r="U20">
        <v>33</v>
      </c>
      <c r="V20">
        <v>26.5</v>
      </c>
      <c r="W20">
        <v>43</v>
      </c>
      <c r="X20">
        <v>94</v>
      </c>
      <c r="Y20">
        <v>500</v>
      </c>
      <c r="Z20">
        <v>18</v>
      </c>
    </row>
    <row r="21" spans="1:26" x14ac:dyDescent="0.25">
      <c r="A21" t="s">
        <v>44</v>
      </c>
      <c r="B21" t="s">
        <v>45</v>
      </c>
      <c r="C21" t="s">
        <v>46</v>
      </c>
      <c r="D21">
        <v>176</v>
      </c>
      <c r="E21">
        <v>21</v>
      </c>
      <c r="F21">
        <v>17</v>
      </c>
      <c r="G21">
        <v>43</v>
      </c>
      <c r="H21">
        <v>34.5</v>
      </c>
      <c r="I21">
        <v>56.5</v>
      </c>
      <c r="J21">
        <v>90</v>
      </c>
      <c r="K21">
        <v>17</v>
      </c>
      <c r="L21">
        <v>52</v>
      </c>
      <c r="M21">
        <v>88</v>
      </c>
      <c r="N21">
        <v>14</v>
      </c>
      <c r="O21">
        <v>31</v>
      </c>
      <c r="P21">
        <v>17</v>
      </c>
      <c r="Q21">
        <v>24</v>
      </c>
      <c r="R21">
        <v>19</v>
      </c>
      <c r="S21">
        <v>128.5</v>
      </c>
      <c r="T21">
        <v>39</v>
      </c>
      <c r="U21">
        <v>31</v>
      </c>
      <c r="V21">
        <v>23</v>
      </c>
      <c r="W21">
        <v>38</v>
      </c>
      <c r="X21">
        <v>74</v>
      </c>
      <c r="Y21">
        <v>177</v>
      </c>
      <c r="Z21">
        <v>20</v>
      </c>
    </row>
    <row r="22" spans="1:26" x14ac:dyDescent="0.25">
      <c r="A22" t="s">
        <v>47</v>
      </c>
      <c r="B22" t="s">
        <v>48</v>
      </c>
      <c r="C22" t="s">
        <v>49</v>
      </c>
      <c r="D22">
        <v>209</v>
      </c>
      <c r="E22">
        <v>21</v>
      </c>
      <c r="F22">
        <v>14.5</v>
      </c>
      <c r="G22">
        <v>36</v>
      </c>
      <c r="H22">
        <v>34</v>
      </c>
      <c r="I22">
        <v>89</v>
      </c>
      <c r="J22">
        <v>92</v>
      </c>
      <c r="K22">
        <v>14</v>
      </c>
      <c r="L22">
        <v>46</v>
      </c>
      <c r="M22">
        <v>49.5</v>
      </c>
      <c r="N22">
        <v>15</v>
      </c>
      <c r="O22">
        <v>20</v>
      </c>
      <c r="P22">
        <v>16</v>
      </c>
      <c r="Q22">
        <v>25</v>
      </c>
      <c r="R22">
        <v>18</v>
      </c>
      <c r="S22">
        <v>126</v>
      </c>
      <c r="T22">
        <v>36</v>
      </c>
      <c r="U22">
        <v>27</v>
      </c>
      <c r="V22">
        <v>23</v>
      </c>
      <c r="W22">
        <v>47</v>
      </c>
      <c r="X22">
        <v>117</v>
      </c>
      <c r="Y22">
        <v>350</v>
      </c>
      <c r="Z22">
        <v>16</v>
      </c>
    </row>
    <row r="23" spans="1:26" x14ac:dyDescent="0.25">
      <c r="A23" t="s">
        <v>50</v>
      </c>
      <c r="B23" t="s">
        <v>51</v>
      </c>
      <c r="C23" t="s">
        <v>52</v>
      </c>
      <c r="D23">
        <v>323</v>
      </c>
      <c r="E23">
        <v>21</v>
      </c>
      <c r="F23">
        <v>16</v>
      </c>
      <c r="G23">
        <v>58</v>
      </c>
      <c r="H23">
        <v>31</v>
      </c>
      <c r="I23">
        <v>95</v>
      </c>
      <c r="J23">
        <v>87</v>
      </c>
      <c r="K23">
        <v>19</v>
      </c>
      <c r="L23">
        <v>36</v>
      </c>
      <c r="M23">
        <v>116</v>
      </c>
      <c r="N23">
        <v>20</v>
      </c>
      <c r="O23">
        <v>45</v>
      </c>
      <c r="P23">
        <v>16</v>
      </c>
      <c r="Q23">
        <v>23</v>
      </c>
      <c r="R23">
        <v>18</v>
      </c>
      <c r="S23">
        <v>101</v>
      </c>
      <c r="T23">
        <v>60</v>
      </c>
      <c r="U23">
        <v>38</v>
      </c>
      <c r="V23">
        <v>28</v>
      </c>
      <c r="W23">
        <v>41</v>
      </c>
      <c r="X23">
        <v>79</v>
      </c>
      <c r="Y23">
        <v>334</v>
      </c>
      <c r="Z23">
        <v>23</v>
      </c>
    </row>
    <row r="24" spans="1:26" x14ac:dyDescent="0.25">
      <c r="A24" t="s">
        <v>53</v>
      </c>
      <c r="B24" t="s">
        <v>54</v>
      </c>
      <c r="C24" t="s">
        <v>55</v>
      </c>
      <c r="D24">
        <v>202</v>
      </c>
      <c r="E24">
        <v>25</v>
      </c>
      <c r="F24">
        <v>17</v>
      </c>
      <c r="G24">
        <v>47</v>
      </c>
      <c r="H24">
        <v>37</v>
      </c>
      <c r="I24">
        <v>60</v>
      </c>
      <c r="J24">
        <v>94</v>
      </c>
      <c r="K24">
        <v>17</v>
      </c>
      <c r="L24">
        <v>48</v>
      </c>
      <c r="M24">
        <v>93</v>
      </c>
      <c r="N24">
        <v>16</v>
      </c>
      <c r="O24">
        <v>31</v>
      </c>
      <c r="P24">
        <v>18</v>
      </c>
      <c r="Q24">
        <v>24</v>
      </c>
      <c r="R24">
        <v>19</v>
      </c>
      <c r="S24">
        <v>136.5</v>
      </c>
      <c r="T24">
        <v>41</v>
      </c>
      <c r="U24">
        <v>43</v>
      </c>
      <c r="V24">
        <v>24</v>
      </c>
      <c r="W24">
        <v>55.5</v>
      </c>
      <c r="X24">
        <v>117</v>
      </c>
      <c r="Y24">
        <v>1718</v>
      </c>
      <c r="Z24">
        <v>19</v>
      </c>
    </row>
    <row r="25" spans="1:26" x14ac:dyDescent="0.25">
      <c r="A25" t="s">
        <v>56</v>
      </c>
      <c r="B25" t="s">
        <v>57</v>
      </c>
      <c r="C25" t="s">
        <v>58</v>
      </c>
      <c r="D25">
        <v>250</v>
      </c>
      <c r="E25">
        <v>23</v>
      </c>
      <c r="F25">
        <v>15</v>
      </c>
      <c r="G25">
        <v>38</v>
      </c>
      <c r="H25">
        <v>28.5</v>
      </c>
      <c r="I25">
        <v>84</v>
      </c>
      <c r="J25">
        <v>80</v>
      </c>
      <c r="K25">
        <v>14</v>
      </c>
      <c r="L25">
        <v>37.5</v>
      </c>
      <c r="M25">
        <v>104</v>
      </c>
      <c r="N25">
        <v>17</v>
      </c>
      <c r="O25">
        <v>26</v>
      </c>
      <c r="P25">
        <v>15.5</v>
      </c>
      <c r="Q25">
        <v>22</v>
      </c>
      <c r="R25">
        <v>17</v>
      </c>
      <c r="S25">
        <v>102</v>
      </c>
      <c r="T25">
        <v>38</v>
      </c>
      <c r="U25">
        <v>43</v>
      </c>
      <c r="V25">
        <v>26</v>
      </c>
      <c r="W25">
        <v>40</v>
      </c>
      <c r="X25">
        <v>102.5</v>
      </c>
      <c r="Y25">
        <v>482</v>
      </c>
      <c r="Z25">
        <v>17</v>
      </c>
    </row>
    <row r="26" spans="1:26" x14ac:dyDescent="0.25">
      <c r="A26" t="s">
        <v>59</v>
      </c>
      <c r="B26" t="s">
        <v>60</v>
      </c>
      <c r="C26" t="s">
        <v>61</v>
      </c>
      <c r="D26">
        <v>163</v>
      </c>
      <c r="E26">
        <v>21</v>
      </c>
      <c r="F26">
        <v>19</v>
      </c>
      <c r="G26">
        <v>34</v>
      </c>
      <c r="H26">
        <v>29</v>
      </c>
      <c r="I26">
        <v>58</v>
      </c>
      <c r="J26">
        <v>78</v>
      </c>
      <c r="K26">
        <v>18</v>
      </c>
      <c r="L26">
        <v>55</v>
      </c>
      <c r="M26">
        <v>78</v>
      </c>
      <c r="N26">
        <v>16.5</v>
      </c>
      <c r="O26">
        <v>27.5</v>
      </c>
      <c r="P26">
        <v>17.5</v>
      </c>
      <c r="Q26">
        <v>23</v>
      </c>
      <c r="R26">
        <v>20</v>
      </c>
      <c r="S26">
        <v>94</v>
      </c>
      <c r="T26">
        <v>36</v>
      </c>
      <c r="U26">
        <v>26</v>
      </c>
      <c r="V26">
        <v>18</v>
      </c>
      <c r="W26">
        <v>39</v>
      </c>
      <c r="X26">
        <v>79</v>
      </c>
      <c r="Y26">
        <v>752</v>
      </c>
      <c r="Z26">
        <v>19.5</v>
      </c>
    </row>
    <row r="27" spans="1:26" x14ac:dyDescent="0.25">
      <c r="A27" t="s">
        <v>62</v>
      </c>
      <c r="B27" t="s">
        <v>63</v>
      </c>
      <c r="C27" t="s">
        <v>64</v>
      </c>
      <c r="D27">
        <v>332.5</v>
      </c>
      <c r="E27">
        <v>21</v>
      </c>
      <c r="F27">
        <v>18</v>
      </c>
      <c r="G27">
        <v>33</v>
      </c>
      <c r="H27">
        <v>27</v>
      </c>
      <c r="I27">
        <v>37</v>
      </c>
      <c r="J27">
        <v>76.5</v>
      </c>
      <c r="K27">
        <v>15</v>
      </c>
      <c r="L27">
        <v>49</v>
      </c>
      <c r="M27">
        <v>66</v>
      </c>
      <c r="N27">
        <v>15</v>
      </c>
      <c r="O27">
        <v>18</v>
      </c>
      <c r="P27">
        <v>16</v>
      </c>
      <c r="Q27">
        <v>21</v>
      </c>
      <c r="R27">
        <v>19</v>
      </c>
      <c r="S27">
        <v>101</v>
      </c>
      <c r="T27">
        <v>36</v>
      </c>
      <c r="U27">
        <v>27</v>
      </c>
      <c r="V27">
        <v>25</v>
      </c>
      <c r="W27">
        <v>36</v>
      </c>
      <c r="X27">
        <v>51</v>
      </c>
      <c r="Y27">
        <v>272</v>
      </c>
      <c r="Z27">
        <v>15</v>
      </c>
    </row>
    <row r="28" spans="1:26" x14ac:dyDescent="0.25">
      <c r="A28" t="s">
        <v>65</v>
      </c>
      <c r="B28" t="s">
        <v>66</v>
      </c>
      <c r="C28" t="s">
        <v>67</v>
      </c>
      <c r="D28">
        <v>308.5</v>
      </c>
      <c r="E28">
        <v>18</v>
      </c>
      <c r="F28">
        <v>16.5</v>
      </c>
      <c r="G28">
        <v>32</v>
      </c>
      <c r="H28">
        <v>29</v>
      </c>
      <c r="I28">
        <v>76</v>
      </c>
      <c r="J28">
        <v>85</v>
      </c>
      <c r="K28">
        <v>13</v>
      </c>
      <c r="L28">
        <v>33.5</v>
      </c>
      <c r="M28">
        <v>63</v>
      </c>
      <c r="N28">
        <v>14</v>
      </c>
      <c r="O28">
        <v>17</v>
      </c>
      <c r="P28">
        <v>14.5</v>
      </c>
      <c r="Q28">
        <v>22</v>
      </c>
      <c r="R28">
        <v>20</v>
      </c>
      <c r="S28">
        <v>104</v>
      </c>
      <c r="T28">
        <v>35.5</v>
      </c>
      <c r="U28">
        <v>31</v>
      </c>
      <c r="V28">
        <v>22</v>
      </c>
      <c r="W28">
        <v>45</v>
      </c>
      <c r="X28">
        <v>87</v>
      </c>
      <c r="Y28">
        <v>320</v>
      </c>
      <c r="Z28">
        <v>16</v>
      </c>
    </row>
    <row r="29" spans="1:26" x14ac:dyDescent="0.25">
      <c r="A29" t="s">
        <v>68</v>
      </c>
      <c r="B29" t="s">
        <v>69</v>
      </c>
      <c r="C29" t="s">
        <v>70</v>
      </c>
      <c r="D29">
        <v>250</v>
      </c>
      <c r="E29">
        <v>18</v>
      </c>
      <c r="F29">
        <v>15</v>
      </c>
      <c r="G29">
        <v>31</v>
      </c>
      <c r="H29">
        <v>24.5</v>
      </c>
      <c r="I29">
        <v>65</v>
      </c>
      <c r="J29">
        <v>70</v>
      </c>
      <c r="K29">
        <v>13</v>
      </c>
      <c r="L29">
        <v>40</v>
      </c>
      <c r="M29">
        <v>54</v>
      </c>
      <c r="N29">
        <v>14</v>
      </c>
      <c r="O29">
        <v>18</v>
      </c>
      <c r="P29">
        <v>15</v>
      </c>
      <c r="Q29">
        <v>20</v>
      </c>
      <c r="R29">
        <v>18</v>
      </c>
      <c r="S29">
        <v>90</v>
      </c>
      <c r="T29">
        <v>32</v>
      </c>
      <c r="U29">
        <v>24</v>
      </c>
      <c r="V29">
        <v>20</v>
      </c>
      <c r="W29">
        <v>35</v>
      </c>
      <c r="X29">
        <v>58</v>
      </c>
      <c r="Y29">
        <v>235</v>
      </c>
      <c r="Z29">
        <v>17</v>
      </c>
    </row>
    <row r="30" spans="1:26" x14ac:dyDescent="0.25">
      <c r="A30" t="s">
        <v>71</v>
      </c>
      <c r="B30" t="s">
        <v>72</v>
      </c>
      <c r="C30" t="s">
        <v>73</v>
      </c>
      <c r="D30">
        <v>129</v>
      </c>
      <c r="E30">
        <v>14.5</v>
      </c>
      <c r="F30">
        <v>10</v>
      </c>
      <c r="G30">
        <v>15</v>
      </c>
      <c r="H30">
        <v>23.5</v>
      </c>
      <c r="I30">
        <v>24.5</v>
      </c>
      <c r="J30">
        <v>63.5</v>
      </c>
      <c r="K30">
        <v>9</v>
      </c>
      <c r="L30">
        <v>16</v>
      </c>
      <c r="M30">
        <v>42</v>
      </c>
      <c r="N30">
        <v>8</v>
      </c>
      <c r="O30">
        <v>15</v>
      </c>
      <c r="P30">
        <v>9</v>
      </c>
      <c r="Q30">
        <v>14.5</v>
      </c>
      <c r="R30">
        <v>14</v>
      </c>
      <c r="S30">
        <v>88</v>
      </c>
      <c r="T30">
        <v>21.5</v>
      </c>
      <c r="U30">
        <v>22.5</v>
      </c>
      <c r="V30">
        <v>10.5</v>
      </c>
      <c r="W30">
        <v>36.5</v>
      </c>
      <c r="X30">
        <v>81.5</v>
      </c>
      <c r="Y30">
        <v>376</v>
      </c>
      <c r="Z30">
        <v>11</v>
      </c>
    </row>
    <row r="31" spans="1:26" x14ac:dyDescent="0.25">
      <c r="A31" t="s">
        <v>74</v>
      </c>
      <c r="B31" t="s">
        <v>75</v>
      </c>
      <c r="C31" t="s">
        <v>76</v>
      </c>
      <c r="D31">
        <v>267</v>
      </c>
      <c r="E31">
        <v>20</v>
      </c>
      <c r="F31">
        <v>17</v>
      </c>
      <c r="G31">
        <v>30</v>
      </c>
      <c r="H31">
        <v>25</v>
      </c>
      <c r="I31">
        <v>62</v>
      </c>
      <c r="J31">
        <v>74</v>
      </c>
      <c r="K31">
        <v>14</v>
      </c>
      <c r="L31">
        <v>43</v>
      </c>
      <c r="M31">
        <v>60.5</v>
      </c>
      <c r="N31">
        <v>16</v>
      </c>
      <c r="O31">
        <v>19</v>
      </c>
      <c r="P31">
        <v>16</v>
      </c>
      <c r="Q31">
        <v>21</v>
      </c>
      <c r="R31">
        <v>19</v>
      </c>
      <c r="S31">
        <v>94</v>
      </c>
      <c r="T31">
        <v>32.5</v>
      </c>
      <c r="U31">
        <v>33</v>
      </c>
      <c r="V31">
        <v>23</v>
      </c>
      <c r="W31">
        <v>37.5</v>
      </c>
      <c r="X31">
        <v>72</v>
      </c>
      <c r="Y31">
        <v>374</v>
      </c>
      <c r="Z31">
        <v>17</v>
      </c>
    </row>
    <row r="32" spans="1:26" x14ac:dyDescent="0.25">
      <c r="A32" t="s">
        <v>77</v>
      </c>
      <c r="B32" t="s">
        <v>78</v>
      </c>
      <c r="C32" t="s">
        <v>79</v>
      </c>
      <c r="D32">
        <v>144.5</v>
      </c>
      <c r="E32">
        <v>20</v>
      </c>
      <c r="F32">
        <v>14</v>
      </c>
      <c r="G32">
        <v>28</v>
      </c>
      <c r="H32">
        <v>22.5</v>
      </c>
      <c r="I32">
        <v>53.5</v>
      </c>
      <c r="J32">
        <v>76</v>
      </c>
      <c r="K32">
        <v>13</v>
      </c>
      <c r="L32">
        <v>35</v>
      </c>
      <c r="M32">
        <v>42</v>
      </c>
      <c r="N32">
        <v>13</v>
      </c>
      <c r="O32">
        <v>18</v>
      </c>
      <c r="P32">
        <v>15</v>
      </c>
      <c r="Q32">
        <v>19</v>
      </c>
      <c r="R32">
        <v>17</v>
      </c>
      <c r="S32">
        <v>97.5</v>
      </c>
      <c r="T32">
        <v>33</v>
      </c>
      <c r="U32">
        <v>24</v>
      </c>
      <c r="V32">
        <v>17</v>
      </c>
      <c r="W32">
        <v>29</v>
      </c>
      <c r="X32">
        <v>44</v>
      </c>
      <c r="Y32">
        <v>166</v>
      </c>
      <c r="Z32">
        <v>16</v>
      </c>
    </row>
    <row r="33" spans="1:26" x14ac:dyDescent="0.25">
      <c r="A33" t="s">
        <v>81</v>
      </c>
      <c r="B33" t="s">
        <v>82</v>
      </c>
      <c r="C33" t="s">
        <v>83</v>
      </c>
      <c r="D33">
        <v>380.5</v>
      </c>
      <c r="E33">
        <v>31</v>
      </c>
      <c r="F33">
        <v>20</v>
      </c>
      <c r="G33">
        <v>136</v>
      </c>
      <c r="H33">
        <v>44.5</v>
      </c>
      <c r="I33">
        <v>64</v>
      </c>
      <c r="J33">
        <v>98</v>
      </c>
      <c r="K33">
        <v>47.5</v>
      </c>
      <c r="L33">
        <v>46.5</v>
      </c>
      <c r="M33">
        <v>173.5</v>
      </c>
      <c r="N33">
        <v>26</v>
      </c>
      <c r="O33">
        <v>143</v>
      </c>
      <c r="P33">
        <v>16</v>
      </c>
      <c r="Q33">
        <v>33</v>
      </c>
      <c r="R33">
        <v>37</v>
      </c>
      <c r="S33">
        <v>142</v>
      </c>
      <c r="T33">
        <v>148</v>
      </c>
      <c r="U33">
        <v>45</v>
      </c>
      <c r="V33">
        <v>20</v>
      </c>
      <c r="W33">
        <v>48</v>
      </c>
      <c r="X33">
        <v>68</v>
      </c>
      <c r="Y33">
        <v>201.5</v>
      </c>
      <c r="Z33">
        <v>42</v>
      </c>
    </row>
    <row r="34" spans="1:26" x14ac:dyDescent="0.25">
      <c r="A34" t="s">
        <v>84</v>
      </c>
      <c r="B34" t="s">
        <v>85</v>
      </c>
      <c r="C34" t="s">
        <v>86</v>
      </c>
      <c r="D34">
        <v>232</v>
      </c>
      <c r="E34">
        <v>22</v>
      </c>
      <c r="F34">
        <v>16</v>
      </c>
      <c r="G34">
        <v>40</v>
      </c>
      <c r="H34">
        <v>31</v>
      </c>
      <c r="I34">
        <v>65</v>
      </c>
      <c r="J34">
        <v>97</v>
      </c>
      <c r="K34">
        <v>14</v>
      </c>
      <c r="L34">
        <v>43</v>
      </c>
      <c r="M34">
        <v>69</v>
      </c>
      <c r="N34">
        <v>14.5</v>
      </c>
      <c r="O34">
        <v>21.5</v>
      </c>
      <c r="P34">
        <v>17.5</v>
      </c>
      <c r="Q34">
        <v>23</v>
      </c>
      <c r="R34">
        <v>19.5</v>
      </c>
      <c r="S34">
        <v>110</v>
      </c>
      <c r="T34">
        <v>40</v>
      </c>
      <c r="U34">
        <v>44.5</v>
      </c>
      <c r="V34">
        <v>34.5</v>
      </c>
      <c r="W34">
        <v>85</v>
      </c>
      <c r="X34">
        <v>252</v>
      </c>
      <c r="Y34">
        <v>579</v>
      </c>
      <c r="Z34">
        <v>19</v>
      </c>
    </row>
    <row r="35" spans="1:26" x14ac:dyDescent="0.25">
      <c r="A35" t="s">
        <v>87</v>
      </c>
      <c r="B35" t="s">
        <v>88</v>
      </c>
      <c r="C35" t="s">
        <v>89</v>
      </c>
      <c r="D35">
        <v>170.5</v>
      </c>
      <c r="E35">
        <v>33</v>
      </c>
      <c r="F35">
        <v>17</v>
      </c>
      <c r="G35">
        <v>48</v>
      </c>
      <c r="H35">
        <v>30.5</v>
      </c>
      <c r="I35">
        <v>117.5</v>
      </c>
      <c r="J35">
        <v>83</v>
      </c>
      <c r="K35">
        <v>14</v>
      </c>
      <c r="L35">
        <v>39.5</v>
      </c>
      <c r="M35">
        <v>76</v>
      </c>
      <c r="N35">
        <v>18</v>
      </c>
      <c r="O35">
        <v>28</v>
      </c>
      <c r="P35">
        <v>17</v>
      </c>
      <c r="Q35">
        <v>23</v>
      </c>
      <c r="R35">
        <v>22</v>
      </c>
      <c r="S35">
        <v>139</v>
      </c>
      <c r="T35">
        <v>43</v>
      </c>
      <c r="U35">
        <v>93</v>
      </c>
      <c r="V35">
        <v>113</v>
      </c>
      <c r="W35">
        <v>107.5</v>
      </c>
      <c r="X35">
        <v>579</v>
      </c>
      <c r="Y35">
        <v>525</v>
      </c>
      <c r="Z35">
        <v>18</v>
      </c>
    </row>
    <row r="36" spans="1:26" x14ac:dyDescent="0.25">
      <c r="A36" t="s">
        <v>90</v>
      </c>
      <c r="B36" t="s">
        <v>91</v>
      </c>
      <c r="C36" t="s">
        <v>92</v>
      </c>
      <c r="D36">
        <v>368</v>
      </c>
      <c r="E36">
        <v>24</v>
      </c>
      <c r="F36">
        <v>16</v>
      </c>
      <c r="G36">
        <v>81</v>
      </c>
      <c r="H36">
        <v>29.5</v>
      </c>
      <c r="I36">
        <v>68</v>
      </c>
      <c r="J36">
        <v>82</v>
      </c>
      <c r="K36">
        <v>26</v>
      </c>
      <c r="L36">
        <v>47</v>
      </c>
      <c r="M36">
        <v>131</v>
      </c>
      <c r="N36">
        <v>18</v>
      </c>
      <c r="O36">
        <v>62</v>
      </c>
      <c r="P36">
        <v>17</v>
      </c>
      <c r="Q36">
        <v>24</v>
      </c>
      <c r="R36">
        <v>19</v>
      </c>
      <c r="S36">
        <v>98</v>
      </c>
      <c r="T36">
        <v>141</v>
      </c>
      <c r="U36">
        <v>45</v>
      </c>
      <c r="V36">
        <v>33</v>
      </c>
      <c r="W36">
        <v>50</v>
      </c>
      <c r="X36">
        <v>140</v>
      </c>
      <c r="Y36">
        <v>522</v>
      </c>
      <c r="Z36">
        <v>27</v>
      </c>
    </row>
    <row r="37" spans="1:26" x14ac:dyDescent="0.25">
      <c r="A37" t="s">
        <v>93</v>
      </c>
      <c r="B37" t="s">
        <v>94</v>
      </c>
      <c r="C37" t="s">
        <v>95</v>
      </c>
      <c r="D37">
        <v>294</v>
      </c>
      <c r="E37">
        <v>33</v>
      </c>
      <c r="F37">
        <v>18.5</v>
      </c>
      <c r="G37">
        <v>79</v>
      </c>
      <c r="H37">
        <v>34</v>
      </c>
      <c r="I37">
        <v>124</v>
      </c>
      <c r="J37">
        <v>86</v>
      </c>
      <c r="K37">
        <v>36</v>
      </c>
      <c r="L37">
        <v>39</v>
      </c>
      <c r="M37">
        <v>120</v>
      </c>
      <c r="N37">
        <v>22</v>
      </c>
      <c r="O37">
        <v>60.5</v>
      </c>
      <c r="P37">
        <v>17</v>
      </c>
      <c r="Q37">
        <v>25</v>
      </c>
      <c r="R37">
        <v>21</v>
      </c>
      <c r="S37">
        <v>159.5</v>
      </c>
      <c r="T37">
        <v>90</v>
      </c>
      <c r="U37">
        <v>107</v>
      </c>
      <c r="V37">
        <v>160.5</v>
      </c>
      <c r="W37">
        <v>95</v>
      </c>
      <c r="X37">
        <v>372.5</v>
      </c>
      <c r="Y37">
        <v>549.5</v>
      </c>
      <c r="Z37">
        <v>32</v>
      </c>
    </row>
    <row r="38" spans="1:26" x14ac:dyDescent="0.25">
      <c r="A38" t="s">
        <v>96</v>
      </c>
      <c r="B38" t="s">
        <v>97</v>
      </c>
      <c r="C38" t="s">
        <v>98</v>
      </c>
      <c r="D38">
        <v>337</v>
      </c>
      <c r="E38">
        <v>26</v>
      </c>
      <c r="F38">
        <v>15</v>
      </c>
      <c r="G38">
        <v>38.5</v>
      </c>
      <c r="H38">
        <v>31.5</v>
      </c>
      <c r="I38">
        <v>129.5</v>
      </c>
      <c r="J38">
        <v>76</v>
      </c>
      <c r="K38">
        <v>14</v>
      </c>
      <c r="L38">
        <v>48</v>
      </c>
      <c r="M38">
        <v>76</v>
      </c>
      <c r="N38">
        <v>15.5</v>
      </c>
      <c r="O38">
        <v>18</v>
      </c>
      <c r="P38">
        <v>16</v>
      </c>
      <c r="Q38">
        <v>21</v>
      </c>
      <c r="R38">
        <v>19</v>
      </c>
      <c r="S38">
        <v>102.5</v>
      </c>
      <c r="T38">
        <v>37.5</v>
      </c>
      <c r="U38">
        <v>49</v>
      </c>
      <c r="V38">
        <v>55</v>
      </c>
      <c r="W38">
        <v>108.5</v>
      </c>
      <c r="X38">
        <v>400</v>
      </c>
      <c r="Y38">
        <v>765</v>
      </c>
      <c r="Z38">
        <v>18</v>
      </c>
    </row>
    <row r="39" spans="1:26" x14ac:dyDescent="0.25">
      <c r="A39" t="s">
        <v>99</v>
      </c>
      <c r="B39" t="s">
        <v>100</v>
      </c>
      <c r="C39" t="s">
        <v>101</v>
      </c>
      <c r="D39">
        <v>268.5</v>
      </c>
      <c r="E39">
        <v>36</v>
      </c>
      <c r="F39">
        <v>18</v>
      </c>
      <c r="G39">
        <v>117.5</v>
      </c>
      <c r="H39">
        <v>44</v>
      </c>
      <c r="I39">
        <v>241</v>
      </c>
      <c r="J39">
        <v>94</v>
      </c>
      <c r="K39">
        <v>29</v>
      </c>
      <c r="L39">
        <v>41</v>
      </c>
      <c r="M39">
        <v>165</v>
      </c>
      <c r="N39">
        <v>25</v>
      </c>
      <c r="O39">
        <v>88.5</v>
      </c>
      <c r="P39">
        <v>18.5</v>
      </c>
      <c r="Q39">
        <v>29.5</v>
      </c>
      <c r="R39">
        <v>23.5</v>
      </c>
      <c r="S39">
        <v>175</v>
      </c>
      <c r="T39">
        <v>145.5</v>
      </c>
      <c r="U39">
        <v>88</v>
      </c>
      <c r="V39">
        <v>179</v>
      </c>
      <c r="W39">
        <v>379</v>
      </c>
      <c r="X39">
        <v>1256</v>
      </c>
      <c r="Y39">
        <v>1082.5</v>
      </c>
      <c r="Z39">
        <v>35</v>
      </c>
    </row>
    <row r="40" spans="1:26" x14ac:dyDescent="0.25">
      <c r="A40" t="s">
        <v>102</v>
      </c>
      <c r="B40" t="s">
        <v>103</v>
      </c>
      <c r="C40" t="s">
        <v>104</v>
      </c>
      <c r="D40">
        <v>305.5</v>
      </c>
      <c r="E40">
        <v>23</v>
      </c>
      <c r="F40">
        <v>16</v>
      </c>
      <c r="G40">
        <v>39</v>
      </c>
      <c r="H40">
        <v>29</v>
      </c>
      <c r="I40">
        <v>51</v>
      </c>
      <c r="J40">
        <v>86</v>
      </c>
      <c r="K40">
        <v>14</v>
      </c>
      <c r="L40">
        <v>40</v>
      </c>
      <c r="M40">
        <v>76</v>
      </c>
      <c r="N40">
        <v>15</v>
      </c>
      <c r="O40">
        <v>27</v>
      </c>
      <c r="P40">
        <v>16</v>
      </c>
      <c r="Q40">
        <v>21</v>
      </c>
      <c r="R40">
        <v>19</v>
      </c>
      <c r="S40">
        <v>141</v>
      </c>
      <c r="T40">
        <v>36.5</v>
      </c>
      <c r="U40">
        <v>60</v>
      </c>
      <c r="V40">
        <v>53</v>
      </c>
      <c r="W40">
        <v>79</v>
      </c>
      <c r="X40">
        <v>242</v>
      </c>
      <c r="Y40">
        <v>554</v>
      </c>
      <c r="Z40">
        <v>17</v>
      </c>
    </row>
    <row r="41" spans="1:26" x14ac:dyDescent="0.25">
      <c r="A41" t="s">
        <v>105</v>
      </c>
      <c r="B41" t="s">
        <v>106</v>
      </c>
      <c r="C41" t="s">
        <v>107</v>
      </c>
      <c r="D41">
        <v>144</v>
      </c>
      <c r="E41">
        <v>44</v>
      </c>
      <c r="F41">
        <v>14</v>
      </c>
      <c r="G41">
        <v>36</v>
      </c>
      <c r="H41">
        <v>32</v>
      </c>
      <c r="I41">
        <v>147</v>
      </c>
      <c r="J41">
        <v>75.5</v>
      </c>
      <c r="K41">
        <v>13</v>
      </c>
      <c r="L41">
        <v>34</v>
      </c>
      <c r="M41">
        <v>81</v>
      </c>
      <c r="N41">
        <v>17</v>
      </c>
      <c r="O41">
        <v>35</v>
      </c>
      <c r="P41">
        <v>14</v>
      </c>
      <c r="Q41">
        <v>18.5</v>
      </c>
      <c r="R41">
        <v>21</v>
      </c>
      <c r="S41">
        <v>198</v>
      </c>
      <c r="T41">
        <v>42</v>
      </c>
      <c r="U41">
        <v>78</v>
      </c>
      <c r="V41">
        <v>129</v>
      </c>
      <c r="W41">
        <v>127</v>
      </c>
      <c r="X41">
        <v>458</v>
      </c>
      <c r="Y41">
        <v>426</v>
      </c>
      <c r="Z41">
        <v>17</v>
      </c>
    </row>
    <row r="42" spans="1:26" x14ac:dyDescent="0.25">
      <c r="A42" t="s">
        <v>108</v>
      </c>
      <c r="B42" t="s">
        <v>109</v>
      </c>
      <c r="C42" t="s">
        <v>110</v>
      </c>
      <c r="D42">
        <v>317.5</v>
      </c>
      <c r="E42">
        <v>21</v>
      </c>
      <c r="F42">
        <v>17</v>
      </c>
      <c r="G42">
        <v>52</v>
      </c>
      <c r="H42">
        <v>32</v>
      </c>
      <c r="I42">
        <v>87.5</v>
      </c>
      <c r="J42">
        <v>83.5</v>
      </c>
      <c r="K42">
        <v>15.5</v>
      </c>
      <c r="L42">
        <v>44</v>
      </c>
      <c r="M42">
        <v>111.5</v>
      </c>
      <c r="N42">
        <v>16.5</v>
      </c>
      <c r="O42">
        <v>33</v>
      </c>
      <c r="P42">
        <v>16</v>
      </c>
      <c r="Q42">
        <v>24</v>
      </c>
      <c r="R42">
        <v>19</v>
      </c>
      <c r="S42">
        <v>107</v>
      </c>
      <c r="T42">
        <v>58</v>
      </c>
      <c r="U42">
        <v>51.5</v>
      </c>
      <c r="V42">
        <v>57</v>
      </c>
      <c r="W42">
        <v>70</v>
      </c>
      <c r="X42">
        <v>261</v>
      </c>
      <c r="Y42">
        <v>238</v>
      </c>
      <c r="Z42">
        <v>21</v>
      </c>
    </row>
    <row r="43" spans="1:26" x14ac:dyDescent="0.25">
      <c r="A43" t="s">
        <v>111</v>
      </c>
      <c r="B43" t="s">
        <v>112</v>
      </c>
      <c r="C43" t="s">
        <v>113</v>
      </c>
      <c r="D43">
        <v>297.5</v>
      </c>
      <c r="E43">
        <v>36</v>
      </c>
      <c r="F43">
        <v>16.5</v>
      </c>
      <c r="G43">
        <v>91</v>
      </c>
      <c r="H43">
        <v>36</v>
      </c>
      <c r="I43">
        <v>99</v>
      </c>
      <c r="J43">
        <v>87</v>
      </c>
      <c r="K43">
        <v>26.5</v>
      </c>
      <c r="L43">
        <v>46.5</v>
      </c>
      <c r="M43">
        <v>160</v>
      </c>
      <c r="N43">
        <v>24</v>
      </c>
      <c r="O43">
        <v>90</v>
      </c>
      <c r="P43">
        <v>16</v>
      </c>
      <c r="Q43">
        <v>23</v>
      </c>
      <c r="R43">
        <v>22</v>
      </c>
      <c r="S43">
        <v>140.5</v>
      </c>
      <c r="T43">
        <v>110.5</v>
      </c>
      <c r="U43">
        <v>51</v>
      </c>
      <c r="V43">
        <v>58</v>
      </c>
      <c r="W43">
        <v>144.5</v>
      </c>
      <c r="X43">
        <v>433</v>
      </c>
      <c r="Y43">
        <v>275</v>
      </c>
      <c r="Z43">
        <v>29</v>
      </c>
    </row>
    <row r="44" spans="1:26" x14ac:dyDescent="0.25">
      <c r="A44" t="s">
        <v>114</v>
      </c>
      <c r="B44" t="s">
        <v>115</v>
      </c>
      <c r="C44" t="s">
        <v>116</v>
      </c>
      <c r="D44">
        <v>129</v>
      </c>
      <c r="E44">
        <v>22</v>
      </c>
      <c r="F44">
        <v>17.5</v>
      </c>
      <c r="G44">
        <v>37</v>
      </c>
      <c r="H44">
        <v>25</v>
      </c>
      <c r="I44">
        <v>31</v>
      </c>
      <c r="J44">
        <v>85</v>
      </c>
      <c r="K44">
        <v>13</v>
      </c>
      <c r="L44">
        <v>40</v>
      </c>
      <c r="M44">
        <v>68</v>
      </c>
      <c r="N44">
        <v>15</v>
      </c>
      <c r="O44">
        <v>35.5</v>
      </c>
      <c r="P44">
        <v>15.5</v>
      </c>
      <c r="Q44">
        <v>22</v>
      </c>
      <c r="R44">
        <v>19</v>
      </c>
      <c r="S44">
        <v>107.5</v>
      </c>
      <c r="T44">
        <v>37</v>
      </c>
      <c r="U44">
        <v>28</v>
      </c>
      <c r="V44">
        <v>20</v>
      </c>
      <c r="W44">
        <v>46.5</v>
      </c>
      <c r="X44">
        <v>116</v>
      </c>
      <c r="Y44">
        <v>226</v>
      </c>
      <c r="Z44">
        <v>18</v>
      </c>
    </row>
    <row r="45" spans="1:26" x14ac:dyDescent="0.25">
      <c r="A45" t="s">
        <v>117</v>
      </c>
      <c r="B45" t="s">
        <v>118</v>
      </c>
      <c r="C45" t="s">
        <v>119</v>
      </c>
      <c r="D45">
        <v>229.5</v>
      </c>
      <c r="E45">
        <v>21</v>
      </c>
      <c r="F45">
        <v>16</v>
      </c>
      <c r="G45">
        <v>47</v>
      </c>
      <c r="H45">
        <v>27.5</v>
      </c>
      <c r="I45">
        <v>110</v>
      </c>
      <c r="J45">
        <v>81.5</v>
      </c>
      <c r="K45">
        <v>15</v>
      </c>
      <c r="L45">
        <v>39</v>
      </c>
      <c r="M45">
        <v>87</v>
      </c>
      <c r="N45">
        <v>15</v>
      </c>
      <c r="O45">
        <v>28</v>
      </c>
      <c r="P45">
        <v>15.5</v>
      </c>
      <c r="Q45">
        <v>21</v>
      </c>
      <c r="R45">
        <v>17</v>
      </c>
      <c r="S45">
        <v>95</v>
      </c>
      <c r="T45">
        <v>41.5</v>
      </c>
      <c r="U45">
        <v>37</v>
      </c>
      <c r="V45">
        <v>37</v>
      </c>
      <c r="W45">
        <v>52</v>
      </c>
      <c r="X45">
        <v>240</v>
      </c>
      <c r="Y45">
        <v>400</v>
      </c>
      <c r="Z45">
        <v>17</v>
      </c>
    </row>
    <row r="46" spans="1:26" x14ac:dyDescent="0.25">
      <c r="A46" t="s">
        <v>120</v>
      </c>
      <c r="B46" t="s">
        <v>121</v>
      </c>
      <c r="C46" t="s">
        <v>122</v>
      </c>
      <c r="D46">
        <v>281.5</v>
      </c>
      <c r="E46">
        <v>49</v>
      </c>
      <c r="F46">
        <v>17</v>
      </c>
      <c r="G46">
        <v>40</v>
      </c>
      <c r="H46">
        <v>28</v>
      </c>
      <c r="I46">
        <v>202.5</v>
      </c>
      <c r="J46">
        <v>84</v>
      </c>
      <c r="K46">
        <v>16</v>
      </c>
      <c r="L46">
        <v>49</v>
      </c>
      <c r="M46">
        <v>88</v>
      </c>
      <c r="N46">
        <v>18</v>
      </c>
      <c r="O46">
        <v>20</v>
      </c>
      <c r="P46">
        <v>17</v>
      </c>
      <c r="Q46">
        <v>22.5</v>
      </c>
      <c r="R46">
        <v>19</v>
      </c>
      <c r="S46">
        <v>218</v>
      </c>
      <c r="T46">
        <v>35.5</v>
      </c>
      <c r="U46">
        <v>137.5</v>
      </c>
      <c r="V46">
        <v>247</v>
      </c>
      <c r="W46">
        <v>156</v>
      </c>
      <c r="X46">
        <v>700.5</v>
      </c>
      <c r="Y46">
        <v>471</v>
      </c>
      <c r="Z46">
        <v>19</v>
      </c>
    </row>
    <row r="47" spans="1:26" x14ac:dyDescent="0.25">
      <c r="A47" t="s">
        <v>123</v>
      </c>
      <c r="B47" t="s">
        <v>124</v>
      </c>
      <c r="C47" t="s">
        <v>125</v>
      </c>
      <c r="D47">
        <v>355</v>
      </c>
      <c r="E47">
        <v>21.5</v>
      </c>
      <c r="F47">
        <v>16</v>
      </c>
      <c r="G47">
        <v>45</v>
      </c>
      <c r="H47">
        <v>28</v>
      </c>
      <c r="I47">
        <v>76</v>
      </c>
      <c r="J47">
        <v>79.5</v>
      </c>
      <c r="K47">
        <v>14</v>
      </c>
      <c r="L47">
        <v>41</v>
      </c>
      <c r="M47">
        <v>90</v>
      </c>
      <c r="N47">
        <v>15</v>
      </c>
      <c r="O47">
        <v>21</v>
      </c>
      <c r="P47">
        <v>16</v>
      </c>
      <c r="Q47">
        <v>20</v>
      </c>
      <c r="R47">
        <v>19</v>
      </c>
      <c r="S47">
        <v>102.5</v>
      </c>
      <c r="T47">
        <v>39</v>
      </c>
      <c r="U47">
        <v>44</v>
      </c>
      <c r="V47">
        <v>38.5</v>
      </c>
      <c r="W47">
        <v>45</v>
      </c>
      <c r="X47">
        <v>149</v>
      </c>
      <c r="Y47">
        <v>232.5</v>
      </c>
      <c r="Z47">
        <v>18.5</v>
      </c>
    </row>
    <row r="48" spans="1:26" x14ac:dyDescent="0.25">
      <c r="A48" t="s">
        <v>127</v>
      </c>
      <c r="B48" t="s">
        <v>128</v>
      </c>
      <c r="C48" t="s">
        <v>129</v>
      </c>
      <c r="D48">
        <v>863</v>
      </c>
      <c r="E48">
        <v>28</v>
      </c>
      <c r="F48">
        <v>17</v>
      </c>
      <c r="G48">
        <v>102.5</v>
      </c>
      <c r="H48">
        <v>32</v>
      </c>
      <c r="I48">
        <v>162.5</v>
      </c>
      <c r="J48">
        <v>82</v>
      </c>
      <c r="K48">
        <v>22</v>
      </c>
      <c r="L48">
        <v>46</v>
      </c>
      <c r="M48">
        <v>138.5</v>
      </c>
      <c r="N48">
        <v>20</v>
      </c>
      <c r="O48">
        <v>56</v>
      </c>
      <c r="P48">
        <v>16</v>
      </c>
      <c r="Q48">
        <v>23</v>
      </c>
      <c r="R48">
        <v>20</v>
      </c>
      <c r="S48">
        <v>138</v>
      </c>
      <c r="T48">
        <v>119</v>
      </c>
      <c r="U48">
        <v>65</v>
      </c>
      <c r="V48">
        <v>80</v>
      </c>
      <c r="W48">
        <v>122</v>
      </c>
      <c r="X48">
        <v>527</v>
      </c>
      <c r="Y48">
        <v>1171.5</v>
      </c>
      <c r="Z48">
        <v>27</v>
      </c>
    </row>
    <row r="49" spans="1:26" x14ac:dyDescent="0.25">
      <c r="A49" t="s">
        <v>130</v>
      </c>
      <c r="B49" t="s">
        <v>131</v>
      </c>
      <c r="C49" t="s">
        <v>132</v>
      </c>
      <c r="D49">
        <v>626</v>
      </c>
      <c r="E49">
        <v>25</v>
      </c>
      <c r="F49">
        <v>18</v>
      </c>
      <c r="G49">
        <v>91</v>
      </c>
      <c r="H49">
        <v>30</v>
      </c>
      <c r="I49">
        <v>61</v>
      </c>
      <c r="J49">
        <v>88.5</v>
      </c>
      <c r="K49">
        <v>29</v>
      </c>
      <c r="L49">
        <v>47</v>
      </c>
      <c r="M49">
        <v>117</v>
      </c>
      <c r="N49">
        <v>20.5</v>
      </c>
      <c r="O49">
        <v>65.5</v>
      </c>
      <c r="P49">
        <v>17</v>
      </c>
      <c r="Q49">
        <v>25</v>
      </c>
      <c r="R49">
        <v>21</v>
      </c>
      <c r="S49">
        <v>109.5</v>
      </c>
      <c r="T49">
        <v>105.5</v>
      </c>
      <c r="U49">
        <v>39</v>
      </c>
      <c r="V49">
        <v>27</v>
      </c>
      <c r="W49">
        <v>47</v>
      </c>
      <c r="X49">
        <v>98.5</v>
      </c>
      <c r="Y49">
        <v>844</v>
      </c>
      <c r="Z49">
        <v>27</v>
      </c>
    </row>
    <row r="50" spans="1:26" x14ac:dyDescent="0.25">
      <c r="A50" t="s">
        <v>133</v>
      </c>
      <c r="B50" t="s">
        <v>134</v>
      </c>
      <c r="C50" t="s">
        <v>135</v>
      </c>
      <c r="D50">
        <v>611.5</v>
      </c>
      <c r="E50">
        <v>23</v>
      </c>
      <c r="F50">
        <v>15.5</v>
      </c>
      <c r="G50">
        <v>38</v>
      </c>
      <c r="H50">
        <v>25</v>
      </c>
      <c r="I50">
        <v>141</v>
      </c>
      <c r="J50">
        <v>85</v>
      </c>
      <c r="K50">
        <v>13</v>
      </c>
      <c r="L50">
        <v>38</v>
      </c>
      <c r="M50">
        <v>76</v>
      </c>
      <c r="N50">
        <v>15</v>
      </c>
      <c r="O50">
        <v>21.5</v>
      </c>
      <c r="P50">
        <v>16</v>
      </c>
      <c r="Q50">
        <v>22</v>
      </c>
      <c r="R50">
        <v>18</v>
      </c>
      <c r="S50">
        <v>111</v>
      </c>
      <c r="T50">
        <v>39</v>
      </c>
      <c r="U50">
        <v>55</v>
      </c>
      <c r="V50">
        <v>32.5</v>
      </c>
      <c r="W50">
        <v>57.5</v>
      </c>
      <c r="X50">
        <v>235</v>
      </c>
      <c r="Y50">
        <v>1230</v>
      </c>
      <c r="Z50">
        <v>19</v>
      </c>
    </row>
    <row r="51" spans="1:26" x14ac:dyDescent="0.25">
      <c r="A51" t="s">
        <v>136</v>
      </c>
      <c r="B51" t="s">
        <v>137</v>
      </c>
      <c r="C51" t="s">
        <v>138</v>
      </c>
      <c r="D51">
        <v>307</v>
      </c>
      <c r="E51">
        <v>23</v>
      </c>
      <c r="F51">
        <v>17</v>
      </c>
      <c r="G51">
        <v>35</v>
      </c>
      <c r="H51">
        <v>25.5</v>
      </c>
      <c r="I51">
        <v>86</v>
      </c>
      <c r="J51">
        <v>80</v>
      </c>
      <c r="K51">
        <v>13</v>
      </c>
      <c r="L51">
        <v>52</v>
      </c>
      <c r="M51">
        <v>79</v>
      </c>
      <c r="N51">
        <v>16</v>
      </c>
      <c r="O51">
        <v>19</v>
      </c>
      <c r="P51">
        <v>15.5</v>
      </c>
      <c r="Q51">
        <v>20</v>
      </c>
      <c r="R51">
        <v>21</v>
      </c>
      <c r="S51">
        <v>131</v>
      </c>
      <c r="T51">
        <v>34</v>
      </c>
      <c r="U51">
        <v>64</v>
      </c>
      <c r="V51">
        <v>60</v>
      </c>
      <c r="W51">
        <v>57</v>
      </c>
      <c r="X51">
        <v>194</v>
      </c>
      <c r="Y51">
        <v>218</v>
      </c>
      <c r="Z51">
        <v>16</v>
      </c>
    </row>
    <row r="52" spans="1:26" x14ac:dyDescent="0.25">
      <c r="A52" t="s">
        <v>139</v>
      </c>
      <c r="B52" t="s">
        <v>140</v>
      </c>
      <c r="C52" t="s">
        <v>141</v>
      </c>
      <c r="D52">
        <v>302</v>
      </c>
      <c r="E52">
        <v>31</v>
      </c>
      <c r="F52">
        <v>16</v>
      </c>
      <c r="G52">
        <v>38.5</v>
      </c>
      <c r="H52">
        <v>26</v>
      </c>
      <c r="I52">
        <v>96.5</v>
      </c>
      <c r="J52">
        <v>78</v>
      </c>
      <c r="K52">
        <v>16</v>
      </c>
      <c r="L52">
        <v>52</v>
      </c>
      <c r="M52">
        <v>113</v>
      </c>
      <c r="N52">
        <v>20</v>
      </c>
      <c r="O52">
        <v>25</v>
      </c>
      <c r="P52">
        <v>15</v>
      </c>
      <c r="Q52">
        <v>23</v>
      </c>
      <c r="R52">
        <v>19</v>
      </c>
      <c r="S52">
        <v>148</v>
      </c>
      <c r="T52">
        <v>36</v>
      </c>
      <c r="U52">
        <v>131</v>
      </c>
      <c r="V52">
        <v>78</v>
      </c>
      <c r="W52">
        <v>62</v>
      </c>
      <c r="X52">
        <v>235</v>
      </c>
      <c r="Y52">
        <v>113</v>
      </c>
      <c r="Z52">
        <v>18</v>
      </c>
    </row>
    <row r="53" spans="1:26" x14ac:dyDescent="0.25">
      <c r="A53" t="s">
        <v>142</v>
      </c>
      <c r="B53" t="s">
        <v>143</v>
      </c>
      <c r="C53" t="s">
        <v>144</v>
      </c>
      <c r="D53">
        <v>456.5</v>
      </c>
      <c r="E53">
        <v>23</v>
      </c>
      <c r="F53">
        <v>16</v>
      </c>
      <c r="G53">
        <v>44</v>
      </c>
      <c r="H53">
        <v>30</v>
      </c>
      <c r="I53">
        <v>113</v>
      </c>
      <c r="J53">
        <v>84</v>
      </c>
      <c r="K53">
        <v>14</v>
      </c>
      <c r="L53">
        <v>39</v>
      </c>
      <c r="M53">
        <v>67.5</v>
      </c>
      <c r="N53">
        <v>16</v>
      </c>
      <c r="O53">
        <v>18.5</v>
      </c>
      <c r="P53">
        <v>15</v>
      </c>
      <c r="Q53">
        <v>24.5</v>
      </c>
      <c r="R53">
        <v>20</v>
      </c>
      <c r="S53">
        <v>98.5</v>
      </c>
      <c r="T53">
        <v>37</v>
      </c>
      <c r="U53">
        <v>50</v>
      </c>
      <c r="V53">
        <v>27</v>
      </c>
      <c r="W53">
        <v>90</v>
      </c>
      <c r="X53">
        <v>285</v>
      </c>
      <c r="Y53">
        <v>1054.5</v>
      </c>
      <c r="Z53">
        <v>18</v>
      </c>
    </row>
    <row r="54" spans="1:26" x14ac:dyDescent="0.25">
      <c r="A54" t="s">
        <v>145</v>
      </c>
      <c r="B54" t="s">
        <v>146</v>
      </c>
      <c r="C54" t="s">
        <v>147</v>
      </c>
      <c r="D54">
        <v>268</v>
      </c>
      <c r="E54">
        <v>23</v>
      </c>
      <c r="F54">
        <v>17</v>
      </c>
      <c r="G54">
        <v>34</v>
      </c>
      <c r="H54">
        <v>30</v>
      </c>
      <c r="I54">
        <v>124.5</v>
      </c>
      <c r="J54">
        <v>79</v>
      </c>
      <c r="K54">
        <v>14</v>
      </c>
      <c r="L54">
        <v>48.5</v>
      </c>
      <c r="M54">
        <v>90</v>
      </c>
      <c r="N54">
        <v>15.5</v>
      </c>
      <c r="O54">
        <v>17</v>
      </c>
      <c r="P54">
        <v>16</v>
      </c>
      <c r="Q54">
        <v>22</v>
      </c>
      <c r="R54">
        <v>19</v>
      </c>
      <c r="S54">
        <v>116</v>
      </c>
      <c r="T54">
        <v>37</v>
      </c>
      <c r="U54">
        <v>49</v>
      </c>
      <c r="V54">
        <v>31.5</v>
      </c>
      <c r="W54">
        <v>43</v>
      </c>
      <c r="X54">
        <v>158</v>
      </c>
      <c r="Y54">
        <v>197</v>
      </c>
      <c r="Z54">
        <v>16</v>
      </c>
    </row>
    <row r="55" spans="1:26" x14ac:dyDescent="0.25">
      <c r="A55" t="s">
        <v>148</v>
      </c>
      <c r="B55" t="s">
        <v>149</v>
      </c>
      <c r="C55" t="s">
        <v>150</v>
      </c>
      <c r="D55">
        <v>378</v>
      </c>
      <c r="E55">
        <v>26</v>
      </c>
      <c r="F55">
        <v>15</v>
      </c>
      <c r="G55">
        <v>38.5</v>
      </c>
      <c r="H55">
        <v>31.5</v>
      </c>
      <c r="I55">
        <v>180</v>
      </c>
      <c r="J55">
        <v>82</v>
      </c>
      <c r="K55">
        <v>13</v>
      </c>
      <c r="L55">
        <v>37</v>
      </c>
      <c r="M55">
        <v>67</v>
      </c>
      <c r="N55">
        <v>16</v>
      </c>
      <c r="O55">
        <v>20</v>
      </c>
      <c r="P55">
        <v>18</v>
      </c>
      <c r="Q55">
        <v>21</v>
      </c>
      <c r="R55">
        <v>20</v>
      </c>
      <c r="S55">
        <v>115</v>
      </c>
      <c r="T55">
        <v>40</v>
      </c>
      <c r="U55">
        <v>122.5</v>
      </c>
      <c r="V55">
        <v>115</v>
      </c>
      <c r="W55">
        <v>135</v>
      </c>
      <c r="X55">
        <v>652.5</v>
      </c>
      <c r="Y55">
        <v>2193</v>
      </c>
      <c r="Z55">
        <v>18</v>
      </c>
    </row>
    <row r="56" spans="1:26" x14ac:dyDescent="0.25">
      <c r="A56" t="s">
        <v>151</v>
      </c>
      <c r="B56" t="s">
        <v>152</v>
      </c>
      <c r="C56" t="s">
        <v>153</v>
      </c>
      <c r="D56">
        <v>290</v>
      </c>
      <c r="E56">
        <v>21</v>
      </c>
      <c r="F56">
        <v>16</v>
      </c>
      <c r="G56">
        <v>54.5</v>
      </c>
      <c r="H56">
        <v>31</v>
      </c>
      <c r="I56">
        <v>40</v>
      </c>
      <c r="J56">
        <v>77.5</v>
      </c>
      <c r="K56">
        <v>16</v>
      </c>
      <c r="L56">
        <v>45</v>
      </c>
      <c r="M56">
        <v>95</v>
      </c>
      <c r="N56">
        <v>17</v>
      </c>
      <c r="O56">
        <v>29</v>
      </c>
      <c r="P56">
        <v>16</v>
      </c>
      <c r="Q56">
        <v>23</v>
      </c>
      <c r="R56">
        <v>20</v>
      </c>
      <c r="S56">
        <v>95</v>
      </c>
      <c r="T56">
        <v>40.5</v>
      </c>
      <c r="U56">
        <v>35</v>
      </c>
      <c r="V56">
        <v>23</v>
      </c>
      <c r="W56">
        <v>43.5</v>
      </c>
      <c r="X56">
        <v>97</v>
      </c>
      <c r="Y56">
        <v>485</v>
      </c>
      <c r="Z56">
        <v>21</v>
      </c>
    </row>
    <row r="57" spans="1:26" x14ac:dyDescent="0.25">
      <c r="A57" t="s">
        <v>154</v>
      </c>
      <c r="B57" t="s">
        <v>155</v>
      </c>
      <c r="C57" t="s">
        <v>156</v>
      </c>
      <c r="D57">
        <v>338</v>
      </c>
      <c r="E57">
        <v>136</v>
      </c>
      <c r="F57">
        <v>19</v>
      </c>
      <c r="G57">
        <v>43</v>
      </c>
      <c r="H57">
        <v>40.5</v>
      </c>
      <c r="I57">
        <v>322</v>
      </c>
      <c r="J57">
        <v>104</v>
      </c>
      <c r="K57">
        <v>14</v>
      </c>
      <c r="L57">
        <v>45</v>
      </c>
      <c r="M57">
        <v>210</v>
      </c>
      <c r="N57">
        <v>23</v>
      </c>
      <c r="O57">
        <v>19</v>
      </c>
      <c r="P57">
        <v>20</v>
      </c>
      <c r="Q57">
        <v>24</v>
      </c>
      <c r="R57">
        <v>23.5</v>
      </c>
      <c r="S57">
        <v>266.5</v>
      </c>
      <c r="T57">
        <v>41</v>
      </c>
      <c r="U57">
        <v>489</v>
      </c>
      <c r="V57">
        <v>691.5</v>
      </c>
      <c r="W57">
        <v>259</v>
      </c>
      <c r="X57">
        <v>1682.5</v>
      </c>
      <c r="Y57">
        <v>1479</v>
      </c>
      <c r="Z57">
        <v>22</v>
      </c>
    </row>
    <row r="58" spans="1:26" x14ac:dyDescent="0.25">
      <c r="A58" t="s">
        <v>157</v>
      </c>
      <c r="B58" t="s">
        <v>158</v>
      </c>
      <c r="C58" t="s">
        <v>159</v>
      </c>
      <c r="D58">
        <v>722</v>
      </c>
      <c r="E58">
        <v>32</v>
      </c>
      <c r="F58">
        <v>20.5</v>
      </c>
      <c r="G58">
        <v>45</v>
      </c>
      <c r="H58">
        <v>28</v>
      </c>
      <c r="I58">
        <v>167</v>
      </c>
      <c r="J58">
        <v>94.5</v>
      </c>
      <c r="K58">
        <v>13</v>
      </c>
      <c r="L58">
        <v>45</v>
      </c>
      <c r="M58">
        <v>85</v>
      </c>
      <c r="N58">
        <v>16</v>
      </c>
      <c r="O58">
        <v>20</v>
      </c>
      <c r="P58">
        <v>17</v>
      </c>
      <c r="Q58">
        <v>22.5</v>
      </c>
      <c r="R58">
        <v>20</v>
      </c>
      <c r="S58">
        <v>127</v>
      </c>
      <c r="T58">
        <v>43</v>
      </c>
      <c r="U58">
        <v>46</v>
      </c>
      <c r="V58">
        <v>39</v>
      </c>
      <c r="W58">
        <v>71</v>
      </c>
      <c r="X58">
        <v>242</v>
      </c>
      <c r="Y58">
        <v>1054</v>
      </c>
      <c r="Z58">
        <v>18</v>
      </c>
    </row>
    <row r="59" spans="1:26" x14ac:dyDescent="0.25">
      <c r="A59" t="s">
        <v>160</v>
      </c>
      <c r="B59" t="s">
        <v>161</v>
      </c>
      <c r="C59" t="s">
        <v>162</v>
      </c>
      <c r="D59">
        <v>580</v>
      </c>
      <c r="E59">
        <v>25</v>
      </c>
      <c r="F59">
        <v>18</v>
      </c>
      <c r="G59">
        <v>43.5</v>
      </c>
      <c r="H59">
        <v>34</v>
      </c>
      <c r="I59">
        <v>90</v>
      </c>
      <c r="J59">
        <v>106.5</v>
      </c>
      <c r="K59">
        <v>15.5</v>
      </c>
      <c r="L59">
        <v>57</v>
      </c>
      <c r="M59">
        <v>74</v>
      </c>
      <c r="N59">
        <v>17</v>
      </c>
      <c r="O59">
        <v>21</v>
      </c>
      <c r="P59">
        <v>19</v>
      </c>
      <c r="Q59">
        <v>24</v>
      </c>
      <c r="R59">
        <v>22</v>
      </c>
      <c r="S59">
        <v>134</v>
      </c>
      <c r="T59">
        <v>47.5</v>
      </c>
      <c r="U59">
        <v>57</v>
      </c>
      <c r="V59">
        <v>38.5</v>
      </c>
      <c r="W59">
        <v>54.5</v>
      </c>
      <c r="X59">
        <v>133</v>
      </c>
      <c r="Y59">
        <v>691</v>
      </c>
      <c r="Z59">
        <v>19</v>
      </c>
    </row>
    <row r="60" spans="1:26" x14ac:dyDescent="0.25">
      <c r="A60" t="s">
        <v>163</v>
      </c>
      <c r="B60" t="s">
        <v>164</v>
      </c>
      <c r="C60" t="s">
        <v>165</v>
      </c>
      <c r="D60">
        <v>862</v>
      </c>
      <c r="E60">
        <v>30.5</v>
      </c>
      <c r="F60">
        <v>19</v>
      </c>
      <c r="G60">
        <v>45.5</v>
      </c>
      <c r="H60">
        <v>37</v>
      </c>
      <c r="I60">
        <v>292</v>
      </c>
      <c r="J60">
        <v>108</v>
      </c>
      <c r="K60">
        <v>13.5</v>
      </c>
      <c r="L60">
        <v>55.5</v>
      </c>
      <c r="M60">
        <v>86.5</v>
      </c>
      <c r="N60">
        <v>17.5</v>
      </c>
      <c r="O60">
        <v>22</v>
      </c>
      <c r="P60">
        <v>17</v>
      </c>
      <c r="Q60">
        <v>28</v>
      </c>
      <c r="R60">
        <v>23.5</v>
      </c>
      <c r="S60">
        <v>157</v>
      </c>
      <c r="T60">
        <v>48</v>
      </c>
      <c r="U60">
        <v>47.5</v>
      </c>
      <c r="V60">
        <v>70.5</v>
      </c>
      <c r="W60">
        <v>87.5</v>
      </c>
      <c r="X60">
        <v>423.5</v>
      </c>
      <c r="Y60">
        <v>1352</v>
      </c>
      <c r="Z60">
        <v>17.5</v>
      </c>
    </row>
    <row r="61" spans="1:26" x14ac:dyDescent="0.25">
      <c r="A61" t="s">
        <v>166</v>
      </c>
      <c r="B61" t="s">
        <v>167</v>
      </c>
      <c r="C61" t="s">
        <v>168</v>
      </c>
      <c r="D61">
        <v>239</v>
      </c>
      <c r="E61">
        <v>25</v>
      </c>
      <c r="F61">
        <v>18</v>
      </c>
      <c r="G61">
        <v>39</v>
      </c>
      <c r="H61">
        <v>34.5</v>
      </c>
      <c r="I61">
        <v>135</v>
      </c>
      <c r="J61">
        <v>96.5</v>
      </c>
      <c r="K61">
        <v>14</v>
      </c>
      <c r="L61">
        <v>57</v>
      </c>
      <c r="M61">
        <v>101</v>
      </c>
      <c r="N61">
        <v>17</v>
      </c>
      <c r="O61">
        <v>20</v>
      </c>
      <c r="P61">
        <v>17</v>
      </c>
      <c r="Q61">
        <v>24.5</v>
      </c>
      <c r="R61">
        <v>20</v>
      </c>
      <c r="S61">
        <v>131</v>
      </c>
      <c r="T61">
        <v>43</v>
      </c>
      <c r="U61">
        <v>47</v>
      </c>
      <c r="V61">
        <v>38.5</v>
      </c>
      <c r="W61">
        <v>73</v>
      </c>
      <c r="X61">
        <v>301</v>
      </c>
      <c r="Y61">
        <v>815</v>
      </c>
      <c r="Z61">
        <v>20</v>
      </c>
    </row>
    <row r="62" spans="1:26" x14ac:dyDescent="0.25">
      <c r="A62" t="s">
        <v>169</v>
      </c>
      <c r="B62" t="s">
        <v>170</v>
      </c>
      <c r="C62" t="s">
        <v>171</v>
      </c>
      <c r="D62">
        <v>270.5</v>
      </c>
      <c r="E62">
        <v>28</v>
      </c>
      <c r="F62">
        <v>15.5</v>
      </c>
      <c r="G62">
        <v>43</v>
      </c>
      <c r="H62">
        <v>39.5</v>
      </c>
      <c r="I62">
        <v>104</v>
      </c>
      <c r="J62">
        <v>106.5</v>
      </c>
      <c r="K62">
        <v>16</v>
      </c>
      <c r="L62">
        <v>52.5</v>
      </c>
      <c r="M62">
        <v>105</v>
      </c>
      <c r="N62">
        <v>16</v>
      </c>
      <c r="O62">
        <v>20.5</v>
      </c>
      <c r="P62">
        <v>20</v>
      </c>
      <c r="Q62">
        <v>28</v>
      </c>
      <c r="R62">
        <v>24</v>
      </c>
      <c r="S62">
        <v>136</v>
      </c>
      <c r="T62">
        <v>40.5</v>
      </c>
      <c r="U62">
        <v>70</v>
      </c>
      <c r="V62">
        <v>44</v>
      </c>
      <c r="W62">
        <v>79</v>
      </c>
      <c r="X62">
        <v>203.5</v>
      </c>
      <c r="Y62">
        <v>886.5</v>
      </c>
      <c r="Z62">
        <v>21</v>
      </c>
    </row>
    <row r="63" spans="1:26" x14ac:dyDescent="0.25">
      <c r="A63" t="s">
        <v>173</v>
      </c>
      <c r="B63" t="s">
        <v>174</v>
      </c>
      <c r="C63" t="s">
        <v>175</v>
      </c>
      <c r="D63">
        <v>279.5</v>
      </c>
      <c r="E63">
        <v>27.5</v>
      </c>
      <c r="F63">
        <v>19</v>
      </c>
      <c r="G63">
        <v>40</v>
      </c>
      <c r="H63">
        <v>37.5</v>
      </c>
      <c r="I63">
        <v>134</v>
      </c>
      <c r="J63">
        <v>102.5</v>
      </c>
      <c r="K63">
        <v>12</v>
      </c>
      <c r="L63">
        <v>40</v>
      </c>
      <c r="M63">
        <v>87</v>
      </c>
      <c r="N63">
        <v>17</v>
      </c>
      <c r="O63">
        <v>16.5</v>
      </c>
      <c r="P63">
        <v>22</v>
      </c>
      <c r="Q63">
        <v>25</v>
      </c>
      <c r="R63">
        <v>23.5</v>
      </c>
      <c r="S63">
        <v>190.5</v>
      </c>
      <c r="T63">
        <v>40</v>
      </c>
      <c r="U63">
        <v>66.5</v>
      </c>
      <c r="V63">
        <v>44.5</v>
      </c>
      <c r="W63">
        <v>120</v>
      </c>
      <c r="X63">
        <v>357</v>
      </c>
      <c r="Y63">
        <v>1384</v>
      </c>
      <c r="Z63">
        <v>20</v>
      </c>
    </row>
    <row r="64" spans="1:26" x14ac:dyDescent="0.25">
      <c r="A64" t="s">
        <v>176</v>
      </c>
      <c r="B64" t="s">
        <v>177</v>
      </c>
      <c r="C64" t="s">
        <v>178</v>
      </c>
      <c r="D64">
        <v>871</v>
      </c>
      <c r="E64">
        <v>26</v>
      </c>
      <c r="F64">
        <v>20</v>
      </c>
      <c r="G64">
        <v>53</v>
      </c>
      <c r="H64">
        <v>42</v>
      </c>
      <c r="I64">
        <v>160</v>
      </c>
      <c r="J64">
        <v>117</v>
      </c>
      <c r="K64">
        <v>15</v>
      </c>
      <c r="L64">
        <v>55</v>
      </c>
      <c r="M64">
        <v>81</v>
      </c>
      <c r="N64">
        <v>20</v>
      </c>
      <c r="O64">
        <v>20</v>
      </c>
      <c r="P64">
        <v>20</v>
      </c>
      <c r="Q64">
        <v>29</v>
      </c>
      <c r="R64">
        <v>21</v>
      </c>
      <c r="S64">
        <v>162.5</v>
      </c>
      <c r="T64">
        <v>47</v>
      </c>
      <c r="U64">
        <v>54</v>
      </c>
      <c r="V64">
        <v>44</v>
      </c>
      <c r="W64">
        <v>118</v>
      </c>
      <c r="X64">
        <v>345</v>
      </c>
      <c r="Y64">
        <v>2058</v>
      </c>
      <c r="Z64">
        <v>22</v>
      </c>
    </row>
    <row r="65" spans="1:26" x14ac:dyDescent="0.25">
      <c r="A65" t="s">
        <v>179</v>
      </c>
      <c r="B65" t="s">
        <v>180</v>
      </c>
      <c r="C65" t="s">
        <v>181</v>
      </c>
      <c r="D65">
        <v>221</v>
      </c>
      <c r="E65">
        <v>22</v>
      </c>
      <c r="F65">
        <v>17</v>
      </c>
      <c r="G65">
        <v>33</v>
      </c>
      <c r="H65">
        <v>28</v>
      </c>
      <c r="I65">
        <v>55</v>
      </c>
      <c r="J65">
        <v>86</v>
      </c>
      <c r="K65">
        <v>14.5</v>
      </c>
      <c r="L65">
        <v>53</v>
      </c>
      <c r="M65">
        <v>59</v>
      </c>
      <c r="N65">
        <v>14</v>
      </c>
      <c r="O65">
        <v>17.5</v>
      </c>
      <c r="P65">
        <v>18</v>
      </c>
      <c r="Q65">
        <v>23</v>
      </c>
      <c r="R65">
        <v>23</v>
      </c>
      <c r="S65">
        <v>110.5</v>
      </c>
      <c r="T65">
        <v>37</v>
      </c>
      <c r="U65">
        <v>39</v>
      </c>
      <c r="V65">
        <v>17</v>
      </c>
      <c r="W65">
        <v>44</v>
      </c>
      <c r="X65">
        <v>95</v>
      </c>
      <c r="Y65">
        <v>274</v>
      </c>
      <c r="Z65">
        <v>18</v>
      </c>
    </row>
    <row r="66" spans="1:26" x14ac:dyDescent="0.25">
      <c r="A66" t="s">
        <v>182</v>
      </c>
      <c r="B66" t="s">
        <v>183</v>
      </c>
      <c r="C66" t="s">
        <v>184</v>
      </c>
      <c r="D66">
        <v>262</v>
      </c>
      <c r="E66">
        <v>27</v>
      </c>
      <c r="F66">
        <v>17</v>
      </c>
      <c r="G66">
        <v>39</v>
      </c>
      <c r="H66">
        <v>29</v>
      </c>
      <c r="I66">
        <v>108</v>
      </c>
      <c r="J66">
        <v>81</v>
      </c>
      <c r="K66">
        <v>13</v>
      </c>
      <c r="L66">
        <v>43.5</v>
      </c>
      <c r="M66">
        <v>58.5</v>
      </c>
      <c r="N66">
        <v>15</v>
      </c>
      <c r="O66">
        <v>16</v>
      </c>
      <c r="P66">
        <v>18</v>
      </c>
      <c r="Q66">
        <v>23</v>
      </c>
      <c r="R66">
        <v>18</v>
      </c>
      <c r="S66">
        <v>123.5</v>
      </c>
      <c r="T66">
        <v>37.5</v>
      </c>
      <c r="U66">
        <v>58.5</v>
      </c>
      <c r="V66">
        <v>34</v>
      </c>
      <c r="W66">
        <v>51.5</v>
      </c>
      <c r="X66">
        <v>153</v>
      </c>
      <c r="Y66">
        <v>398</v>
      </c>
      <c r="Z66">
        <v>15</v>
      </c>
    </row>
    <row r="67" spans="1:26" x14ac:dyDescent="0.25">
      <c r="A67" t="s">
        <v>185</v>
      </c>
      <c r="B67" t="s">
        <v>186</v>
      </c>
      <c r="C67" t="s">
        <v>187</v>
      </c>
      <c r="D67">
        <v>329.5</v>
      </c>
      <c r="E67">
        <v>23</v>
      </c>
      <c r="F67">
        <v>16</v>
      </c>
      <c r="G67">
        <v>27.5</v>
      </c>
      <c r="H67">
        <v>25</v>
      </c>
      <c r="I67">
        <v>108.5</v>
      </c>
      <c r="J67">
        <v>79</v>
      </c>
      <c r="K67">
        <v>12</v>
      </c>
      <c r="L67">
        <v>36</v>
      </c>
      <c r="M67">
        <v>43</v>
      </c>
      <c r="N67">
        <v>15</v>
      </c>
      <c r="O67">
        <v>13</v>
      </c>
      <c r="P67">
        <v>17</v>
      </c>
      <c r="Q67">
        <v>20.5</v>
      </c>
      <c r="R67">
        <v>19.5</v>
      </c>
      <c r="S67">
        <v>115</v>
      </c>
      <c r="T67">
        <v>36</v>
      </c>
      <c r="U67">
        <v>32</v>
      </c>
      <c r="V67">
        <v>24</v>
      </c>
      <c r="W67">
        <v>53.5</v>
      </c>
      <c r="X67">
        <v>122.5</v>
      </c>
      <c r="Y67">
        <v>522</v>
      </c>
      <c r="Z67">
        <v>16</v>
      </c>
    </row>
    <row r="68" spans="1:26" x14ac:dyDescent="0.25">
      <c r="A68" t="s">
        <v>188</v>
      </c>
      <c r="B68" t="s">
        <v>189</v>
      </c>
      <c r="C68" t="s">
        <v>190</v>
      </c>
      <c r="D68">
        <v>323</v>
      </c>
      <c r="E68">
        <v>34</v>
      </c>
      <c r="F68">
        <v>18</v>
      </c>
      <c r="G68">
        <v>36</v>
      </c>
      <c r="H68">
        <v>28</v>
      </c>
      <c r="I68">
        <v>159</v>
      </c>
      <c r="J68">
        <v>85.5</v>
      </c>
      <c r="K68">
        <v>14</v>
      </c>
      <c r="L68">
        <v>40.5</v>
      </c>
      <c r="M68">
        <v>83</v>
      </c>
      <c r="N68">
        <v>20</v>
      </c>
      <c r="O68">
        <v>15</v>
      </c>
      <c r="P68">
        <v>17</v>
      </c>
      <c r="Q68">
        <v>22</v>
      </c>
      <c r="R68">
        <v>20.5</v>
      </c>
      <c r="S68">
        <v>131</v>
      </c>
      <c r="T68">
        <v>31</v>
      </c>
      <c r="U68">
        <v>126</v>
      </c>
      <c r="V68">
        <v>63.5</v>
      </c>
      <c r="W68">
        <v>171.5</v>
      </c>
      <c r="X68">
        <v>514</v>
      </c>
      <c r="Y68">
        <v>500</v>
      </c>
      <c r="Z68">
        <v>16</v>
      </c>
    </row>
    <row r="69" spans="1:26" x14ac:dyDescent="0.25">
      <c r="A69" t="s">
        <v>191</v>
      </c>
      <c r="B69" t="s">
        <v>192</v>
      </c>
      <c r="C69" t="s">
        <v>193</v>
      </c>
      <c r="D69">
        <v>401</v>
      </c>
      <c r="E69">
        <v>21</v>
      </c>
      <c r="F69">
        <v>17</v>
      </c>
      <c r="G69">
        <v>30</v>
      </c>
      <c r="H69">
        <v>27.5</v>
      </c>
      <c r="I69">
        <v>109</v>
      </c>
      <c r="J69">
        <v>88</v>
      </c>
      <c r="K69">
        <v>13</v>
      </c>
      <c r="L69">
        <v>37</v>
      </c>
      <c r="M69">
        <v>51</v>
      </c>
      <c r="N69">
        <v>14</v>
      </c>
      <c r="O69">
        <v>17</v>
      </c>
      <c r="P69">
        <v>14.5</v>
      </c>
      <c r="Q69">
        <v>20</v>
      </c>
      <c r="R69">
        <v>17.5</v>
      </c>
      <c r="S69">
        <v>104</v>
      </c>
      <c r="T69">
        <v>36</v>
      </c>
      <c r="U69">
        <v>28.5</v>
      </c>
      <c r="V69">
        <v>23</v>
      </c>
      <c r="W69">
        <v>63.5</v>
      </c>
      <c r="X69">
        <v>153</v>
      </c>
      <c r="Y69">
        <v>760.5</v>
      </c>
      <c r="Z69">
        <v>17</v>
      </c>
    </row>
    <row r="70" spans="1:26" x14ac:dyDescent="0.25">
      <c r="A70" t="s">
        <v>194</v>
      </c>
      <c r="B70" t="s">
        <v>195</v>
      </c>
      <c r="C70" t="s">
        <v>196</v>
      </c>
      <c r="D70">
        <v>617.5</v>
      </c>
      <c r="E70">
        <v>25</v>
      </c>
      <c r="F70">
        <v>17</v>
      </c>
      <c r="G70">
        <v>51</v>
      </c>
      <c r="H70">
        <v>33</v>
      </c>
      <c r="I70">
        <v>56</v>
      </c>
      <c r="J70">
        <v>89</v>
      </c>
      <c r="K70">
        <v>16.5</v>
      </c>
      <c r="L70">
        <v>45</v>
      </c>
      <c r="M70">
        <v>97.5</v>
      </c>
      <c r="N70">
        <v>18</v>
      </c>
      <c r="O70">
        <v>32</v>
      </c>
      <c r="P70">
        <v>18.5</v>
      </c>
      <c r="Q70">
        <v>24</v>
      </c>
      <c r="R70">
        <v>20.5</v>
      </c>
      <c r="S70">
        <v>103</v>
      </c>
      <c r="T70">
        <v>68.5</v>
      </c>
      <c r="U70">
        <v>43</v>
      </c>
      <c r="V70">
        <v>32</v>
      </c>
      <c r="W70">
        <v>65</v>
      </c>
      <c r="X70">
        <v>144</v>
      </c>
      <c r="Y70">
        <v>1551</v>
      </c>
      <c r="Z70">
        <v>21</v>
      </c>
    </row>
    <row r="71" spans="1:26" x14ac:dyDescent="0.25">
      <c r="A71" t="s">
        <v>197</v>
      </c>
      <c r="B71" t="s">
        <v>198</v>
      </c>
      <c r="C71" t="s">
        <v>199</v>
      </c>
      <c r="D71">
        <v>252</v>
      </c>
      <c r="E71">
        <v>20</v>
      </c>
      <c r="F71">
        <v>15.5</v>
      </c>
      <c r="G71">
        <v>0.5</v>
      </c>
      <c r="H71">
        <v>25</v>
      </c>
      <c r="I71">
        <v>138</v>
      </c>
      <c r="J71">
        <v>82</v>
      </c>
      <c r="K71">
        <v>13</v>
      </c>
      <c r="L71">
        <v>32.5</v>
      </c>
      <c r="M71">
        <v>45</v>
      </c>
      <c r="N71">
        <v>14</v>
      </c>
      <c r="O71">
        <v>15.5</v>
      </c>
      <c r="P71">
        <v>13</v>
      </c>
      <c r="Q71">
        <v>15</v>
      </c>
      <c r="R71">
        <v>16</v>
      </c>
      <c r="S71">
        <v>87</v>
      </c>
      <c r="T71">
        <v>29</v>
      </c>
      <c r="U71">
        <v>35</v>
      </c>
      <c r="V71">
        <v>23</v>
      </c>
      <c r="W71">
        <v>47</v>
      </c>
      <c r="X71">
        <v>105</v>
      </c>
      <c r="Y71">
        <v>929</v>
      </c>
      <c r="Z71">
        <v>15</v>
      </c>
    </row>
    <row r="72" spans="1:26" x14ac:dyDescent="0.25">
      <c r="A72" t="s">
        <v>200</v>
      </c>
      <c r="B72" t="s">
        <v>201</v>
      </c>
      <c r="C72" t="s">
        <v>202</v>
      </c>
      <c r="D72">
        <v>246</v>
      </c>
      <c r="E72">
        <v>21</v>
      </c>
      <c r="F72">
        <v>14</v>
      </c>
      <c r="G72">
        <v>34</v>
      </c>
      <c r="H72">
        <v>26</v>
      </c>
      <c r="I72">
        <v>228.5</v>
      </c>
      <c r="J72">
        <v>85</v>
      </c>
      <c r="K72">
        <v>13</v>
      </c>
      <c r="L72">
        <v>36</v>
      </c>
      <c r="M72">
        <v>62.5</v>
      </c>
      <c r="N72">
        <v>14</v>
      </c>
      <c r="O72">
        <v>14.5</v>
      </c>
      <c r="P72">
        <v>14</v>
      </c>
      <c r="Q72">
        <v>20</v>
      </c>
      <c r="R72">
        <v>21</v>
      </c>
      <c r="S72">
        <v>101</v>
      </c>
      <c r="T72">
        <v>34</v>
      </c>
      <c r="U72">
        <v>50</v>
      </c>
      <c r="V72">
        <v>26</v>
      </c>
      <c r="W72">
        <v>43</v>
      </c>
      <c r="X72">
        <v>93</v>
      </c>
      <c r="Y72">
        <v>376</v>
      </c>
      <c r="Z72">
        <v>16</v>
      </c>
    </row>
    <row r="73" spans="1:26" x14ac:dyDescent="0.25">
      <c r="A73" t="s">
        <v>203</v>
      </c>
      <c r="B73" t="s">
        <v>204</v>
      </c>
      <c r="C73" t="s">
        <v>205</v>
      </c>
      <c r="D73">
        <v>173.5</v>
      </c>
      <c r="E73">
        <v>19</v>
      </c>
      <c r="F73">
        <v>14</v>
      </c>
      <c r="G73">
        <v>26</v>
      </c>
      <c r="H73">
        <v>24</v>
      </c>
      <c r="I73">
        <v>96</v>
      </c>
      <c r="J73">
        <v>81</v>
      </c>
      <c r="K73">
        <v>13</v>
      </c>
      <c r="L73">
        <v>38</v>
      </c>
      <c r="M73">
        <v>38</v>
      </c>
      <c r="N73">
        <v>13</v>
      </c>
      <c r="O73">
        <v>14</v>
      </c>
      <c r="P73">
        <v>16</v>
      </c>
      <c r="Q73">
        <v>17</v>
      </c>
      <c r="R73">
        <v>17</v>
      </c>
      <c r="S73">
        <v>93</v>
      </c>
      <c r="T73">
        <v>32.5</v>
      </c>
      <c r="U73">
        <v>22</v>
      </c>
      <c r="V73">
        <v>16</v>
      </c>
      <c r="W73">
        <v>41</v>
      </c>
      <c r="X73">
        <v>97</v>
      </c>
      <c r="Y73">
        <v>579.5</v>
      </c>
      <c r="Z73">
        <v>15</v>
      </c>
    </row>
    <row r="74" spans="1:26" x14ac:dyDescent="0.25">
      <c r="A74" t="s">
        <v>206</v>
      </c>
      <c r="B74" t="s">
        <v>207</v>
      </c>
      <c r="C74" t="s">
        <v>208</v>
      </c>
      <c r="D74">
        <v>447</v>
      </c>
      <c r="E74">
        <v>47</v>
      </c>
      <c r="F74">
        <v>19</v>
      </c>
      <c r="G74">
        <v>41</v>
      </c>
      <c r="H74">
        <v>38</v>
      </c>
      <c r="I74">
        <v>1062</v>
      </c>
      <c r="J74">
        <v>96</v>
      </c>
      <c r="K74">
        <v>17</v>
      </c>
      <c r="L74">
        <v>37</v>
      </c>
      <c r="M74">
        <v>116.5</v>
      </c>
      <c r="N74">
        <v>32.5</v>
      </c>
      <c r="O74">
        <v>21</v>
      </c>
      <c r="P74">
        <v>23</v>
      </c>
      <c r="Q74">
        <v>29</v>
      </c>
      <c r="R74">
        <v>24.5</v>
      </c>
      <c r="S74">
        <v>299</v>
      </c>
      <c r="T74">
        <v>48.5</v>
      </c>
      <c r="U74">
        <v>164</v>
      </c>
      <c r="V74">
        <v>530.5</v>
      </c>
      <c r="W74">
        <v>1018.5</v>
      </c>
      <c r="X74">
        <v>2121.5</v>
      </c>
      <c r="Y74">
        <v>4934</v>
      </c>
      <c r="Z74">
        <v>17</v>
      </c>
    </row>
    <row r="75" spans="1:26" x14ac:dyDescent="0.25">
      <c r="A75" t="s">
        <v>209</v>
      </c>
      <c r="B75" t="s">
        <v>210</v>
      </c>
      <c r="C75" t="s">
        <v>211</v>
      </c>
      <c r="D75">
        <v>739</v>
      </c>
      <c r="E75">
        <v>136</v>
      </c>
      <c r="F75">
        <v>21</v>
      </c>
      <c r="G75">
        <v>54</v>
      </c>
      <c r="H75">
        <v>41</v>
      </c>
      <c r="I75">
        <v>1021</v>
      </c>
      <c r="J75">
        <v>104</v>
      </c>
      <c r="K75">
        <v>16</v>
      </c>
      <c r="L75">
        <v>41</v>
      </c>
      <c r="M75">
        <v>257</v>
      </c>
      <c r="N75">
        <v>34</v>
      </c>
      <c r="O75">
        <v>20</v>
      </c>
      <c r="P75">
        <v>19.5</v>
      </c>
      <c r="Q75">
        <v>28</v>
      </c>
      <c r="R75">
        <v>32</v>
      </c>
      <c r="S75">
        <v>572</v>
      </c>
      <c r="T75">
        <v>48.5</v>
      </c>
      <c r="U75">
        <v>1098</v>
      </c>
      <c r="V75">
        <v>614.5</v>
      </c>
      <c r="W75">
        <v>822</v>
      </c>
      <c r="X75">
        <v>1694.5</v>
      </c>
      <c r="Y75">
        <v>2459</v>
      </c>
      <c r="Z75">
        <v>20</v>
      </c>
    </row>
    <row r="76" spans="1:26" x14ac:dyDescent="0.25">
      <c r="A76" t="s">
        <v>212</v>
      </c>
      <c r="B76" t="s">
        <v>213</v>
      </c>
      <c r="C76" t="s">
        <v>214</v>
      </c>
      <c r="D76">
        <v>452</v>
      </c>
      <c r="E76">
        <v>20</v>
      </c>
      <c r="F76">
        <v>15</v>
      </c>
      <c r="G76">
        <v>29.5</v>
      </c>
      <c r="H76">
        <v>28</v>
      </c>
      <c r="I76">
        <v>151</v>
      </c>
      <c r="J76">
        <v>81</v>
      </c>
      <c r="K76">
        <v>14</v>
      </c>
      <c r="L76">
        <v>46</v>
      </c>
      <c r="M76">
        <v>46</v>
      </c>
      <c r="N76">
        <v>15</v>
      </c>
      <c r="O76">
        <v>19</v>
      </c>
      <c r="P76">
        <v>17</v>
      </c>
      <c r="Q76">
        <v>21</v>
      </c>
      <c r="R76">
        <v>19</v>
      </c>
      <c r="S76">
        <v>97</v>
      </c>
      <c r="T76">
        <v>34</v>
      </c>
      <c r="U76">
        <v>38.5</v>
      </c>
      <c r="V76">
        <v>25</v>
      </c>
      <c r="W76">
        <v>45.5</v>
      </c>
      <c r="X76">
        <v>106</v>
      </c>
      <c r="Y76">
        <v>1120</v>
      </c>
      <c r="Z76">
        <v>16</v>
      </c>
    </row>
    <row r="77" spans="1:26" x14ac:dyDescent="0.25">
      <c r="A77" t="s">
        <v>215</v>
      </c>
      <c r="B77" t="s">
        <v>216</v>
      </c>
      <c r="C77" t="s">
        <v>217</v>
      </c>
      <c r="D77">
        <v>293.5</v>
      </c>
      <c r="E77">
        <v>23</v>
      </c>
      <c r="F77">
        <v>15</v>
      </c>
      <c r="G77">
        <v>36</v>
      </c>
      <c r="H77">
        <v>37</v>
      </c>
      <c r="I77">
        <v>496</v>
      </c>
      <c r="J77">
        <v>90</v>
      </c>
      <c r="K77">
        <v>14</v>
      </c>
      <c r="L77">
        <v>43</v>
      </c>
      <c r="M77">
        <v>57.5</v>
      </c>
      <c r="N77">
        <v>17</v>
      </c>
      <c r="O77">
        <v>18</v>
      </c>
      <c r="P77">
        <v>15.5</v>
      </c>
      <c r="Q77">
        <v>22</v>
      </c>
      <c r="R77">
        <v>20</v>
      </c>
      <c r="S77">
        <v>113</v>
      </c>
      <c r="T77">
        <v>37</v>
      </c>
      <c r="U77">
        <v>91</v>
      </c>
      <c r="V77">
        <v>44</v>
      </c>
      <c r="W77">
        <v>194.5</v>
      </c>
      <c r="X77">
        <v>1087</v>
      </c>
      <c r="Y77">
        <v>1359</v>
      </c>
      <c r="Z77">
        <v>15</v>
      </c>
    </row>
    <row r="78" spans="1:26" x14ac:dyDescent="0.25">
      <c r="A78" t="s">
        <v>219</v>
      </c>
      <c r="B78" t="s">
        <v>220</v>
      </c>
      <c r="C78" t="s">
        <v>221</v>
      </c>
      <c r="D78">
        <v>1531</v>
      </c>
      <c r="E78">
        <v>88</v>
      </c>
      <c r="F78">
        <v>20</v>
      </c>
      <c r="G78">
        <v>45</v>
      </c>
      <c r="H78">
        <v>36</v>
      </c>
      <c r="I78">
        <v>524.5</v>
      </c>
      <c r="J78">
        <v>84.5</v>
      </c>
      <c r="K78">
        <v>16</v>
      </c>
      <c r="L78">
        <v>37</v>
      </c>
      <c r="M78">
        <v>155</v>
      </c>
      <c r="N78">
        <v>37.5</v>
      </c>
      <c r="O78">
        <v>19.5</v>
      </c>
      <c r="P78">
        <v>18</v>
      </c>
      <c r="Q78">
        <v>43</v>
      </c>
      <c r="R78">
        <v>77</v>
      </c>
      <c r="S78">
        <v>315</v>
      </c>
      <c r="T78">
        <v>46</v>
      </c>
      <c r="U78">
        <v>404</v>
      </c>
      <c r="V78">
        <v>96.5</v>
      </c>
      <c r="W78">
        <v>615</v>
      </c>
      <c r="X78">
        <v>1000</v>
      </c>
      <c r="Y78">
        <v>5305</v>
      </c>
      <c r="Z78">
        <v>17.5</v>
      </c>
    </row>
    <row r="79" spans="1:26" x14ac:dyDescent="0.25">
      <c r="A79" t="s">
        <v>222</v>
      </c>
      <c r="B79" t="s">
        <v>223</v>
      </c>
      <c r="C79" t="s">
        <v>224</v>
      </c>
      <c r="D79">
        <v>412</v>
      </c>
      <c r="E79">
        <v>82</v>
      </c>
      <c r="F79">
        <v>18</v>
      </c>
      <c r="G79">
        <v>42</v>
      </c>
      <c r="H79">
        <v>38</v>
      </c>
      <c r="I79">
        <v>333</v>
      </c>
      <c r="J79">
        <v>93</v>
      </c>
      <c r="K79">
        <v>15</v>
      </c>
      <c r="L79">
        <v>33</v>
      </c>
      <c r="M79">
        <v>83.5</v>
      </c>
      <c r="N79">
        <v>31</v>
      </c>
      <c r="O79">
        <v>18.5</v>
      </c>
      <c r="P79">
        <v>18</v>
      </c>
      <c r="Q79">
        <v>25</v>
      </c>
      <c r="R79">
        <v>26</v>
      </c>
      <c r="S79">
        <v>144</v>
      </c>
      <c r="T79">
        <v>41</v>
      </c>
      <c r="U79">
        <v>138</v>
      </c>
      <c r="V79">
        <v>162.5</v>
      </c>
      <c r="W79">
        <v>910</v>
      </c>
      <c r="X79">
        <v>1904</v>
      </c>
      <c r="Y79">
        <v>4547</v>
      </c>
      <c r="Z79">
        <v>18</v>
      </c>
    </row>
    <row r="80" spans="1:26" x14ac:dyDescent="0.25">
      <c r="A80" t="s">
        <v>225</v>
      </c>
      <c r="B80" t="s">
        <v>226</v>
      </c>
      <c r="C80" t="s">
        <v>227</v>
      </c>
      <c r="D80">
        <v>801.5</v>
      </c>
      <c r="E80">
        <v>68.5</v>
      </c>
      <c r="F80">
        <v>20.5</v>
      </c>
      <c r="G80">
        <v>54</v>
      </c>
      <c r="H80">
        <v>43</v>
      </c>
      <c r="I80">
        <v>395</v>
      </c>
      <c r="J80">
        <v>98.5</v>
      </c>
      <c r="K80">
        <v>16</v>
      </c>
      <c r="L80">
        <v>35</v>
      </c>
      <c r="M80">
        <v>137.5</v>
      </c>
      <c r="N80">
        <v>55</v>
      </c>
      <c r="O80">
        <v>22.5</v>
      </c>
      <c r="P80">
        <v>21.5</v>
      </c>
      <c r="Q80">
        <v>26</v>
      </c>
      <c r="R80">
        <v>21</v>
      </c>
      <c r="S80">
        <v>262</v>
      </c>
      <c r="T80">
        <v>51.5</v>
      </c>
      <c r="U80">
        <v>389</v>
      </c>
      <c r="V80">
        <v>346</v>
      </c>
      <c r="W80">
        <v>2790</v>
      </c>
      <c r="X80">
        <v>4178.5</v>
      </c>
      <c r="Y80">
        <v>7699</v>
      </c>
      <c r="Z80">
        <v>20</v>
      </c>
    </row>
    <row r="81" spans="1:26" x14ac:dyDescent="0.25">
      <c r="A81" t="s">
        <v>228</v>
      </c>
      <c r="B81" t="s">
        <v>229</v>
      </c>
      <c r="C81" t="s">
        <v>230</v>
      </c>
      <c r="D81">
        <v>320</v>
      </c>
      <c r="E81">
        <v>66</v>
      </c>
      <c r="F81">
        <v>18</v>
      </c>
      <c r="G81">
        <v>46</v>
      </c>
      <c r="H81">
        <v>51</v>
      </c>
      <c r="I81">
        <v>182</v>
      </c>
      <c r="J81">
        <v>98</v>
      </c>
      <c r="K81">
        <v>14</v>
      </c>
      <c r="L81">
        <v>41</v>
      </c>
      <c r="M81">
        <v>99</v>
      </c>
      <c r="N81">
        <v>28</v>
      </c>
      <c r="O81">
        <v>23</v>
      </c>
      <c r="P81">
        <v>19.5</v>
      </c>
      <c r="Q81">
        <v>26</v>
      </c>
      <c r="R81">
        <v>20</v>
      </c>
      <c r="S81">
        <v>201</v>
      </c>
      <c r="T81">
        <v>46</v>
      </c>
      <c r="U81">
        <v>87</v>
      </c>
      <c r="V81">
        <v>449.5</v>
      </c>
      <c r="W81">
        <v>4376</v>
      </c>
      <c r="X81">
        <v>6906.5</v>
      </c>
      <c r="Y81">
        <v>2275</v>
      </c>
      <c r="Z81">
        <v>19</v>
      </c>
    </row>
    <row r="82" spans="1:26" x14ac:dyDescent="0.25">
      <c r="A82" t="s">
        <v>231</v>
      </c>
      <c r="B82" t="s">
        <v>232</v>
      </c>
      <c r="C82" t="s">
        <v>233</v>
      </c>
      <c r="D82">
        <v>315</v>
      </c>
      <c r="E82">
        <v>21</v>
      </c>
      <c r="F82">
        <v>15.5</v>
      </c>
      <c r="G82">
        <v>34</v>
      </c>
      <c r="H82">
        <v>24</v>
      </c>
      <c r="I82">
        <v>75</v>
      </c>
      <c r="J82">
        <v>84</v>
      </c>
      <c r="K82">
        <v>13</v>
      </c>
      <c r="L82">
        <v>42.5</v>
      </c>
      <c r="M82">
        <v>52</v>
      </c>
      <c r="N82">
        <v>17</v>
      </c>
      <c r="O82">
        <v>15</v>
      </c>
      <c r="P82">
        <v>18</v>
      </c>
      <c r="Q82">
        <v>18</v>
      </c>
      <c r="R82">
        <v>20</v>
      </c>
      <c r="S82">
        <v>92.5</v>
      </c>
      <c r="T82">
        <v>31.5</v>
      </c>
      <c r="U82">
        <v>52.5</v>
      </c>
      <c r="V82">
        <v>17.5</v>
      </c>
      <c r="W82">
        <v>42</v>
      </c>
      <c r="X82">
        <v>99</v>
      </c>
      <c r="Y82">
        <v>639</v>
      </c>
      <c r="Z82">
        <v>16</v>
      </c>
    </row>
    <row r="83" spans="1:26" x14ac:dyDescent="0.25">
      <c r="A83" t="s">
        <v>234</v>
      </c>
      <c r="B83" t="s">
        <v>235</v>
      </c>
      <c r="C83" t="s">
        <v>236</v>
      </c>
      <c r="D83">
        <v>1090</v>
      </c>
      <c r="E83">
        <v>104</v>
      </c>
      <c r="F83">
        <v>19</v>
      </c>
      <c r="G83">
        <v>54</v>
      </c>
      <c r="H83">
        <v>57</v>
      </c>
      <c r="I83">
        <v>1318.5</v>
      </c>
      <c r="J83">
        <v>101</v>
      </c>
      <c r="K83">
        <v>18</v>
      </c>
      <c r="L83">
        <v>42.5</v>
      </c>
      <c r="M83">
        <v>176</v>
      </c>
      <c r="N83">
        <v>54</v>
      </c>
      <c r="O83">
        <v>27</v>
      </c>
      <c r="P83">
        <v>24</v>
      </c>
      <c r="Q83">
        <v>30</v>
      </c>
      <c r="R83">
        <v>46</v>
      </c>
      <c r="S83">
        <v>266</v>
      </c>
      <c r="T83">
        <v>53</v>
      </c>
      <c r="U83">
        <v>228</v>
      </c>
      <c r="V83">
        <v>267.5</v>
      </c>
      <c r="W83">
        <v>1087.5</v>
      </c>
      <c r="X83">
        <v>2268</v>
      </c>
      <c r="Y83">
        <v>8603.5</v>
      </c>
      <c r="Z83">
        <v>22</v>
      </c>
    </row>
    <row r="84" spans="1:26" x14ac:dyDescent="0.25">
      <c r="A84" t="s">
        <v>237</v>
      </c>
      <c r="B84" t="s">
        <v>238</v>
      </c>
      <c r="C84" t="s">
        <v>239</v>
      </c>
      <c r="D84">
        <v>275</v>
      </c>
      <c r="E84">
        <v>21</v>
      </c>
      <c r="F84">
        <v>17</v>
      </c>
      <c r="G84">
        <v>34</v>
      </c>
      <c r="H84">
        <v>33</v>
      </c>
      <c r="I84">
        <v>181.5</v>
      </c>
      <c r="J84">
        <v>89</v>
      </c>
      <c r="K84">
        <v>14</v>
      </c>
      <c r="L84">
        <v>40</v>
      </c>
      <c r="M84">
        <v>36.5</v>
      </c>
      <c r="N84">
        <v>15</v>
      </c>
      <c r="O84">
        <v>18</v>
      </c>
      <c r="P84">
        <v>16</v>
      </c>
      <c r="Q84">
        <v>21</v>
      </c>
      <c r="R84">
        <v>18</v>
      </c>
      <c r="S84">
        <v>115.5</v>
      </c>
      <c r="T84">
        <v>35.5</v>
      </c>
      <c r="U84">
        <v>30</v>
      </c>
      <c r="V84">
        <v>20</v>
      </c>
      <c r="W84">
        <v>60</v>
      </c>
      <c r="X84">
        <v>137.5</v>
      </c>
      <c r="Y84">
        <v>1123</v>
      </c>
      <c r="Z84">
        <v>18</v>
      </c>
    </row>
    <row r="85" spans="1:26" x14ac:dyDescent="0.25">
      <c r="A85" t="s">
        <v>240</v>
      </c>
      <c r="B85" t="s">
        <v>241</v>
      </c>
      <c r="C85" t="s">
        <v>242</v>
      </c>
      <c r="D85">
        <v>309.5</v>
      </c>
      <c r="E85">
        <v>21</v>
      </c>
      <c r="F85">
        <v>16</v>
      </c>
      <c r="G85">
        <v>37</v>
      </c>
      <c r="H85">
        <v>28.5</v>
      </c>
      <c r="I85">
        <v>151</v>
      </c>
      <c r="J85">
        <v>83</v>
      </c>
      <c r="K85">
        <v>13</v>
      </c>
      <c r="L85">
        <v>31</v>
      </c>
      <c r="M85">
        <v>45.5</v>
      </c>
      <c r="N85">
        <v>18</v>
      </c>
      <c r="O85">
        <v>17</v>
      </c>
      <c r="P85">
        <v>17</v>
      </c>
      <c r="Q85">
        <v>19</v>
      </c>
      <c r="R85">
        <v>19</v>
      </c>
      <c r="S85">
        <v>95</v>
      </c>
      <c r="T85">
        <v>31</v>
      </c>
      <c r="U85">
        <v>40.5</v>
      </c>
      <c r="V85">
        <v>19</v>
      </c>
      <c r="W85">
        <v>59</v>
      </c>
      <c r="X85">
        <v>133</v>
      </c>
      <c r="Y85">
        <v>2591</v>
      </c>
      <c r="Z85">
        <v>15</v>
      </c>
    </row>
    <row r="86" spans="1:26" x14ac:dyDescent="0.25">
      <c r="A86" t="s">
        <v>243</v>
      </c>
      <c r="B86" t="s">
        <v>244</v>
      </c>
      <c r="C86" t="s">
        <v>245</v>
      </c>
      <c r="D86">
        <v>627.5</v>
      </c>
      <c r="E86">
        <v>52</v>
      </c>
      <c r="F86">
        <v>17</v>
      </c>
      <c r="G86">
        <v>36</v>
      </c>
      <c r="H86">
        <v>34</v>
      </c>
      <c r="I86">
        <v>268</v>
      </c>
      <c r="J86">
        <v>83.5</v>
      </c>
      <c r="K86">
        <v>14</v>
      </c>
      <c r="L86">
        <v>37</v>
      </c>
      <c r="M86">
        <v>88</v>
      </c>
      <c r="N86">
        <v>30</v>
      </c>
      <c r="O86">
        <v>16</v>
      </c>
      <c r="P86">
        <v>19</v>
      </c>
      <c r="Q86">
        <v>22</v>
      </c>
      <c r="R86">
        <v>23</v>
      </c>
      <c r="S86">
        <v>178</v>
      </c>
      <c r="T86">
        <v>42</v>
      </c>
      <c r="U86">
        <v>156</v>
      </c>
      <c r="V86">
        <v>89</v>
      </c>
      <c r="W86">
        <v>408</v>
      </c>
      <c r="X86">
        <v>892</v>
      </c>
      <c r="Y86">
        <v>4865</v>
      </c>
      <c r="Z86">
        <v>18</v>
      </c>
    </row>
    <row r="87" spans="1:26" x14ac:dyDescent="0.25">
      <c r="A87" t="s">
        <v>246</v>
      </c>
      <c r="B87" t="s">
        <v>247</v>
      </c>
      <c r="C87" t="s">
        <v>248</v>
      </c>
      <c r="D87">
        <v>549.5</v>
      </c>
      <c r="E87">
        <v>91</v>
      </c>
      <c r="F87">
        <v>20</v>
      </c>
      <c r="G87">
        <v>47.5</v>
      </c>
      <c r="H87">
        <v>42</v>
      </c>
      <c r="I87">
        <v>674.5</v>
      </c>
      <c r="J87">
        <v>100.5</v>
      </c>
      <c r="K87">
        <v>16</v>
      </c>
      <c r="L87">
        <v>38.5</v>
      </c>
      <c r="M87">
        <v>101</v>
      </c>
      <c r="N87">
        <v>49</v>
      </c>
      <c r="O87">
        <v>21</v>
      </c>
      <c r="P87">
        <v>22</v>
      </c>
      <c r="Q87">
        <v>32</v>
      </c>
      <c r="R87">
        <v>27</v>
      </c>
      <c r="S87">
        <v>313</v>
      </c>
      <c r="T87">
        <v>53</v>
      </c>
      <c r="U87">
        <v>201.5</v>
      </c>
      <c r="V87">
        <v>164</v>
      </c>
      <c r="W87">
        <v>2302</v>
      </c>
      <c r="X87">
        <v>2878</v>
      </c>
      <c r="Y87">
        <v>10119.5</v>
      </c>
      <c r="Z87">
        <v>21.5</v>
      </c>
    </row>
    <row r="88" spans="1:26" x14ac:dyDescent="0.25">
      <c r="A88" t="s">
        <v>249</v>
      </c>
      <c r="B88" t="s">
        <v>250</v>
      </c>
      <c r="C88" t="s">
        <v>251</v>
      </c>
      <c r="D88">
        <v>166</v>
      </c>
      <c r="E88">
        <v>19</v>
      </c>
      <c r="F88">
        <v>15.5</v>
      </c>
      <c r="G88">
        <v>28.5</v>
      </c>
      <c r="H88">
        <v>23.5</v>
      </c>
      <c r="I88">
        <v>95</v>
      </c>
      <c r="J88">
        <v>75</v>
      </c>
      <c r="K88">
        <v>14</v>
      </c>
      <c r="L88">
        <v>44</v>
      </c>
      <c r="M88">
        <v>47</v>
      </c>
      <c r="N88">
        <v>17</v>
      </c>
      <c r="O88">
        <v>15</v>
      </c>
      <c r="P88">
        <v>15</v>
      </c>
      <c r="Q88">
        <v>18</v>
      </c>
      <c r="R88">
        <v>18</v>
      </c>
      <c r="S88">
        <v>86</v>
      </c>
      <c r="T88">
        <v>32</v>
      </c>
      <c r="U88">
        <v>56</v>
      </c>
      <c r="V88">
        <v>51</v>
      </c>
      <c r="W88">
        <v>89</v>
      </c>
      <c r="X88">
        <v>329</v>
      </c>
      <c r="Y88">
        <v>2184</v>
      </c>
      <c r="Z88">
        <v>14.5</v>
      </c>
    </row>
    <row r="89" spans="1:26" x14ac:dyDescent="0.25">
      <c r="A89" t="s">
        <v>252</v>
      </c>
      <c r="B89" t="s">
        <v>253</v>
      </c>
      <c r="C89" t="s">
        <v>254</v>
      </c>
      <c r="D89">
        <v>354</v>
      </c>
      <c r="E89">
        <v>23</v>
      </c>
      <c r="F89">
        <v>17</v>
      </c>
      <c r="G89">
        <v>30</v>
      </c>
      <c r="H89">
        <v>26</v>
      </c>
      <c r="I89">
        <v>133</v>
      </c>
      <c r="J89">
        <v>81</v>
      </c>
      <c r="K89">
        <v>15</v>
      </c>
      <c r="L89">
        <v>35</v>
      </c>
      <c r="M89">
        <v>47</v>
      </c>
      <c r="N89">
        <v>18</v>
      </c>
      <c r="O89">
        <v>17</v>
      </c>
      <c r="P89">
        <v>17</v>
      </c>
      <c r="Q89">
        <v>19</v>
      </c>
      <c r="R89">
        <v>20</v>
      </c>
      <c r="S89">
        <v>92</v>
      </c>
      <c r="T89">
        <v>35</v>
      </c>
      <c r="U89">
        <v>49.5</v>
      </c>
      <c r="V89">
        <v>23</v>
      </c>
      <c r="W89">
        <v>59.5</v>
      </c>
      <c r="X89">
        <v>138</v>
      </c>
      <c r="Y89">
        <v>1358</v>
      </c>
      <c r="Z89">
        <v>16.5</v>
      </c>
    </row>
    <row r="90" spans="1:26" x14ac:dyDescent="0.25">
      <c r="A90" t="s">
        <v>255</v>
      </c>
      <c r="B90" t="s">
        <v>256</v>
      </c>
      <c r="C90" t="s">
        <v>257</v>
      </c>
      <c r="D90">
        <v>434</v>
      </c>
      <c r="E90">
        <v>20</v>
      </c>
      <c r="F90">
        <v>15</v>
      </c>
      <c r="G90">
        <v>37.5</v>
      </c>
      <c r="H90">
        <v>24</v>
      </c>
      <c r="I90">
        <v>60</v>
      </c>
      <c r="J90">
        <v>77</v>
      </c>
      <c r="K90">
        <v>12</v>
      </c>
      <c r="L90">
        <v>36</v>
      </c>
      <c r="M90">
        <v>49.5</v>
      </c>
      <c r="N90">
        <v>16</v>
      </c>
      <c r="O90">
        <v>14.5</v>
      </c>
      <c r="P90">
        <v>15</v>
      </c>
      <c r="Q90">
        <v>20</v>
      </c>
      <c r="R90">
        <v>17</v>
      </c>
      <c r="S90">
        <v>96</v>
      </c>
      <c r="T90">
        <v>35</v>
      </c>
      <c r="U90">
        <v>44</v>
      </c>
      <c r="V90">
        <v>20</v>
      </c>
      <c r="W90">
        <v>37</v>
      </c>
      <c r="X90">
        <v>86</v>
      </c>
      <c r="Y90">
        <v>710</v>
      </c>
      <c r="Z90">
        <v>16</v>
      </c>
    </row>
    <row r="91" spans="1:26" x14ac:dyDescent="0.25">
      <c r="A91" t="s">
        <v>258</v>
      </c>
      <c r="B91" t="s">
        <v>259</v>
      </c>
      <c r="C91" t="s">
        <v>260</v>
      </c>
      <c r="D91">
        <v>567</v>
      </c>
      <c r="E91">
        <v>128.5</v>
      </c>
      <c r="F91">
        <v>21.5</v>
      </c>
      <c r="G91">
        <v>53.5</v>
      </c>
      <c r="H91">
        <v>56</v>
      </c>
      <c r="I91">
        <v>1212</v>
      </c>
      <c r="J91">
        <v>98</v>
      </c>
      <c r="K91">
        <v>17</v>
      </c>
      <c r="L91">
        <v>34</v>
      </c>
      <c r="M91">
        <v>192</v>
      </c>
      <c r="N91">
        <v>47</v>
      </c>
      <c r="O91">
        <v>29</v>
      </c>
      <c r="P91">
        <v>26</v>
      </c>
      <c r="Q91">
        <v>31</v>
      </c>
      <c r="R91">
        <v>34.5</v>
      </c>
      <c r="S91">
        <v>282</v>
      </c>
      <c r="T91">
        <v>55</v>
      </c>
      <c r="U91">
        <v>320.5</v>
      </c>
      <c r="V91">
        <v>531</v>
      </c>
      <c r="W91">
        <v>4020</v>
      </c>
      <c r="X91">
        <v>5052.5</v>
      </c>
      <c r="Y91">
        <v>10827</v>
      </c>
      <c r="Z91">
        <v>23</v>
      </c>
    </row>
    <row r="92" spans="1:26" x14ac:dyDescent="0.25">
      <c r="A92" t="s">
        <v>261</v>
      </c>
      <c r="B92" t="s">
        <v>262</v>
      </c>
      <c r="C92" t="s">
        <v>263</v>
      </c>
      <c r="D92">
        <v>290.5</v>
      </c>
      <c r="E92">
        <v>88.5</v>
      </c>
      <c r="F92">
        <v>19</v>
      </c>
      <c r="G92">
        <v>49</v>
      </c>
      <c r="H92">
        <v>52</v>
      </c>
      <c r="I92">
        <v>1757</v>
      </c>
      <c r="J92">
        <v>97</v>
      </c>
      <c r="K92">
        <v>15</v>
      </c>
      <c r="L92">
        <v>41</v>
      </c>
      <c r="M92">
        <v>91</v>
      </c>
      <c r="N92">
        <v>50</v>
      </c>
      <c r="O92">
        <v>23</v>
      </c>
      <c r="P92">
        <v>18.5</v>
      </c>
      <c r="Q92">
        <v>26</v>
      </c>
      <c r="R92">
        <v>29.5</v>
      </c>
      <c r="S92">
        <v>152.5</v>
      </c>
      <c r="T92">
        <v>42</v>
      </c>
      <c r="U92">
        <v>188.5</v>
      </c>
      <c r="V92">
        <v>184.5</v>
      </c>
      <c r="W92">
        <v>2866</v>
      </c>
      <c r="X92">
        <v>2274.5</v>
      </c>
      <c r="Y92">
        <v>7774</v>
      </c>
      <c r="Z92">
        <v>21</v>
      </c>
    </row>
    <row r="93" spans="1:26" x14ac:dyDescent="0.25">
      <c r="A93" t="s">
        <v>265</v>
      </c>
      <c r="B93" t="s">
        <v>266</v>
      </c>
      <c r="C93" t="s">
        <v>267</v>
      </c>
      <c r="D93">
        <v>179</v>
      </c>
      <c r="E93">
        <v>19.5</v>
      </c>
      <c r="F93">
        <v>15</v>
      </c>
      <c r="G93">
        <v>46</v>
      </c>
      <c r="H93">
        <v>25</v>
      </c>
      <c r="I93">
        <v>35</v>
      </c>
      <c r="J93">
        <v>80</v>
      </c>
      <c r="K93">
        <v>16</v>
      </c>
      <c r="L93">
        <v>47</v>
      </c>
      <c r="M93">
        <v>122</v>
      </c>
      <c r="N93">
        <v>16</v>
      </c>
      <c r="O93">
        <v>66</v>
      </c>
      <c r="P93">
        <v>17</v>
      </c>
      <c r="Q93">
        <v>18</v>
      </c>
      <c r="R93">
        <v>19.5</v>
      </c>
      <c r="S93">
        <v>82</v>
      </c>
      <c r="T93">
        <v>63</v>
      </c>
      <c r="U93">
        <v>29</v>
      </c>
      <c r="V93">
        <v>18</v>
      </c>
      <c r="W93">
        <v>34.5</v>
      </c>
      <c r="X93">
        <v>58</v>
      </c>
      <c r="Y93">
        <v>268</v>
      </c>
      <c r="Z93">
        <v>20</v>
      </c>
    </row>
    <row r="94" spans="1:26" x14ac:dyDescent="0.25">
      <c r="A94" t="s">
        <v>268</v>
      </c>
      <c r="B94" t="s">
        <v>269</v>
      </c>
      <c r="C94" t="s">
        <v>270</v>
      </c>
      <c r="D94">
        <v>787</v>
      </c>
      <c r="E94">
        <v>22</v>
      </c>
      <c r="F94">
        <v>18</v>
      </c>
      <c r="G94">
        <v>79</v>
      </c>
      <c r="H94">
        <v>30.5</v>
      </c>
      <c r="I94">
        <v>150</v>
      </c>
      <c r="J94">
        <v>82</v>
      </c>
      <c r="K94">
        <v>17</v>
      </c>
      <c r="L94">
        <v>37</v>
      </c>
      <c r="M94">
        <v>107</v>
      </c>
      <c r="N94">
        <v>19</v>
      </c>
      <c r="O94">
        <v>51</v>
      </c>
      <c r="P94">
        <v>18</v>
      </c>
      <c r="Q94">
        <v>21.5</v>
      </c>
      <c r="R94">
        <v>19</v>
      </c>
      <c r="S94">
        <v>87</v>
      </c>
      <c r="T94">
        <v>85.5</v>
      </c>
      <c r="U94">
        <v>49.5</v>
      </c>
      <c r="V94">
        <v>30</v>
      </c>
      <c r="W94">
        <v>54</v>
      </c>
      <c r="X94">
        <v>112</v>
      </c>
      <c r="Y94">
        <v>1918</v>
      </c>
      <c r="Z94">
        <v>21</v>
      </c>
    </row>
    <row r="95" spans="1:26" x14ac:dyDescent="0.25">
      <c r="A95" t="s">
        <v>271</v>
      </c>
      <c r="B95" t="s">
        <v>272</v>
      </c>
      <c r="C95" t="s">
        <v>273</v>
      </c>
      <c r="D95">
        <v>238</v>
      </c>
      <c r="E95">
        <v>21</v>
      </c>
      <c r="F95">
        <v>14</v>
      </c>
      <c r="G95">
        <v>41</v>
      </c>
      <c r="H95">
        <v>27</v>
      </c>
      <c r="I95">
        <v>136</v>
      </c>
      <c r="J95">
        <v>75</v>
      </c>
      <c r="K95">
        <v>14</v>
      </c>
      <c r="L95">
        <v>37</v>
      </c>
      <c r="M95">
        <v>76</v>
      </c>
      <c r="N95">
        <v>14</v>
      </c>
      <c r="O95">
        <v>25</v>
      </c>
      <c r="P95">
        <v>16.5</v>
      </c>
      <c r="Q95">
        <v>21</v>
      </c>
      <c r="R95">
        <v>18</v>
      </c>
      <c r="S95">
        <v>93</v>
      </c>
      <c r="T95">
        <v>51.5</v>
      </c>
      <c r="U95">
        <v>30</v>
      </c>
      <c r="V95">
        <v>16</v>
      </c>
      <c r="W95">
        <v>52</v>
      </c>
      <c r="X95">
        <v>152</v>
      </c>
      <c r="Y95">
        <v>1605</v>
      </c>
      <c r="Z95">
        <v>17</v>
      </c>
    </row>
    <row r="96" spans="1:26" x14ac:dyDescent="0.25">
      <c r="A96" t="s">
        <v>274</v>
      </c>
      <c r="B96" t="s">
        <v>275</v>
      </c>
      <c r="C96" t="s">
        <v>276</v>
      </c>
      <c r="D96">
        <v>402.5</v>
      </c>
      <c r="E96">
        <v>22</v>
      </c>
      <c r="F96">
        <v>18</v>
      </c>
      <c r="G96">
        <v>69</v>
      </c>
      <c r="H96">
        <v>30</v>
      </c>
      <c r="I96">
        <v>89</v>
      </c>
      <c r="J96">
        <v>78</v>
      </c>
      <c r="K96">
        <v>20</v>
      </c>
      <c r="L96">
        <v>49</v>
      </c>
      <c r="M96">
        <v>122</v>
      </c>
      <c r="N96">
        <v>18</v>
      </c>
      <c r="O96">
        <v>67</v>
      </c>
      <c r="P96">
        <v>18</v>
      </c>
      <c r="Q96">
        <v>21</v>
      </c>
      <c r="R96">
        <v>19</v>
      </c>
      <c r="S96">
        <v>91</v>
      </c>
      <c r="T96">
        <v>98</v>
      </c>
      <c r="U96">
        <v>28.5</v>
      </c>
      <c r="V96">
        <v>19</v>
      </c>
      <c r="W96">
        <v>46.5</v>
      </c>
      <c r="X96">
        <v>90</v>
      </c>
      <c r="Y96">
        <v>1079</v>
      </c>
      <c r="Z96">
        <v>24</v>
      </c>
    </row>
    <row r="97" spans="1:26" x14ac:dyDescent="0.25">
      <c r="A97" t="s">
        <v>277</v>
      </c>
      <c r="B97" t="s">
        <v>278</v>
      </c>
      <c r="C97" t="s">
        <v>279</v>
      </c>
      <c r="D97">
        <v>344.5</v>
      </c>
      <c r="E97">
        <v>25</v>
      </c>
      <c r="F97">
        <v>17</v>
      </c>
      <c r="G97">
        <v>81</v>
      </c>
      <c r="H97">
        <v>40</v>
      </c>
      <c r="I97">
        <v>1012</v>
      </c>
      <c r="J97">
        <v>80</v>
      </c>
      <c r="K97">
        <v>20</v>
      </c>
      <c r="L97">
        <v>40</v>
      </c>
      <c r="M97">
        <v>133</v>
      </c>
      <c r="N97">
        <v>20.5</v>
      </c>
      <c r="O97">
        <v>50</v>
      </c>
      <c r="P97">
        <v>16</v>
      </c>
      <c r="Q97">
        <v>19</v>
      </c>
      <c r="R97">
        <v>18</v>
      </c>
      <c r="S97">
        <v>97.5</v>
      </c>
      <c r="T97">
        <v>136</v>
      </c>
      <c r="U97">
        <v>51</v>
      </c>
      <c r="V97">
        <v>29.5</v>
      </c>
      <c r="W97">
        <v>80</v>
      </c>
      <c r="X97">
        <v>298</v>
      </c>
      <c r="Y97">
        <v>1246.5</v>
      </c>
      <c r="Z97">
        <v>27.5</v>
      </c>
    </row>
    <row r="99" spans="1:26" x14ac:dyDescent="0.25">
      <c r="A99" t="s">
        <v>310</v>
      </c>
    </row>
    <row r="100" spans="1:26" x14ac:dyDescent="0.25">
      <c r="A100" t="s">
        <v>311</v>
      </c>
    </row>
    <row r="101" spans="1:26" x14ac:dyDescent="0.25">
      <c r="A101" t="s">
        <v>312</v>
      </c>
    </row>
    <row r="102" spans="1:26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CE5B-C86F-469E-89E8-A853447EF598}">
  <dimension ref="A1:X2"/>
  <sheetViews>
    <sheetView workbookViewId="0">
      <selection activeCell="A3" sqref="A3"/>
    </sheetView>
  </sheetViews>
  <sheetFormatPr defaultRowHeight="15" x14ac:dyDescent="0.25"/>
  <sheetData>
    <row r="1" spans="1:24" x14ac:dyDescent="0.25">
      <c r="A1" t="s">
        <v>377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388</v>
      </c>
      <c r="M1" t="s">
        <v>389</v>
      </c>
      <c r="N1" t="s">
        <v>390</v>
      </c>
      <c r="O1" t="s">
        <v>391</v>
      </c>
      <c r="P1" t="s">
        <v>392</v>
      </c>
      <c r="Q1" t="s">
        <v>393</v>
      </c>
      <c r="R1" t="s">
        <v>394</v>
      </c>
      <c r="S1" t="s">
        <v>395</v>
      </c>
      <c r="T1" t="s">
        <v>396</v>
      </c>
      <c r="U1" t="s">
        <v>397</v>
      </c>
      <c r="V1" t="s">
        <v>398</v>
      </c>
      <c r="W1" t="s">
        <v>399</v>
      </c>
      <c r="X1" t="s">
        <v>400</v>
      </c>
    </row>
    <row r="2" spans="1:24" x14ac:dyDescent="0.25">
      <c r="A2" t="s">
        <v>401</v>
      </c>
      <c r="B2">
        <v>2.16</v>
      </c>
      <c r="C2">
        <v>4.59</v>
      </c>
      <c r="D2">
        <v>5.22</v>
      </c>
      <c r="E2">
        <v>1.33</v>
      </c>
      <c r="F2">
        <v>4.3099999999999996</v>
      </c>
      <c r="G2">
        <v>14.42</v>
      </c>
      <c r="H2">
        <v>4.6399999999999997</v>
      </c>
      <c r="I2">
        <v>12.52</v>
      </c>
      <c r="J2">
        <v>0.56999999999999995</v>
      </c>
      <c r="K2">
        <v>0.59</v>
      </c>
      <c r="L2">
        <v>2.17</v>
      </c>
      <c r="M2">
        <v>1.51</v>
      </c>
      <c r="N2">
        <v>0.52</v>
      </c>
      <c r="O2">
        <v>0.67</v>
      </c>
      <c r="P2">
        <v>1.02</v>
      </c>
      <c r="Q2">
        <v>0.88</v>
      </c>
      <c r="R2">
        <v>3.01</v>
      </c>
      <c r="S2">
        <v>2.11</v>
      </c>
      <c r="T2">
        <v>18.32</v>
      </c>
      <c r="U2">
        <v>3.1</v>
      </c>
      <c r="V2">
        <v>0.51</v>
      </c>
      <c r="W2">
        <v>3.19</v>
      </c>
      <c r="X2">
        <v>3.58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"/>
  <sheetViews>
    <sheetView workbookViewId="0"/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8.85546875" bestFit="1" customWidth="1"/>
    <col min="8" max="8" width="9" bestFit="1" customWidth="1"/>
    <col min="9" max="10" width="12.140625" bestFit="1" customWidth="1"/>
    <col min="11" max="11" width="9" bestFit="1" customWidth="1"/>
    <col min="12" max="12" width="10.28515625" bestFit="1" customWidth="1"/>
    <col min="13" max="13" width="9" bestFit="1" customWidth="1"/>
    <col min="15" max="21" width="8.42578125" bestFit="1" customWidth="1"/>
    <col min="22" max="22" width="10.7109375" bestFit="1" customWidth="1"/>
    <col min="23" max="23" width="11.28515625" bestFit="1" customWidth="1"/>
    <col min="24" max="24" width="11.140625" bestFit="1" customWidth="1"/>
    <col min="25" max="25" width="11.7109375" bestFit="1" customWidth="1"/>
    <col min="26" max="26" width="9.285156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319</v>
      </c>
      <c r="E9" s="1" t="s">
        <v>319</v>
      </c>
      <c r="F9" s="1" t="s">
        <v>319</v>
      </c>
      <c r="G9" s="1" t="s">
        <v>319</v>
      </c>
      <c r="H9" s="1" t="s">
        <v>319</v>
      </c>
      <c r="I9" s="1" t="s">
        <v>319</v>
      </c>
      <c r="J9" s="1" t="s">
        <v>319</v>
      </c>
      <c r="K9" s="1" t="s">
        <v>319</v>
      </c>
      <c r="L9" s="1" t="s">
        <v>319</v>
      </c>
      <c r="M9" s="1" t="s">
        <v>319</v>
      </c>
      <c r="N9" s="1" t="s">
        <v>319</v>
      </c>
      <c r="O9" s="1" t="s">
        <v>319</v>
      </c>
      <c r="P9" s="1" t="s">
        <v>319</v>
      </c>
      <c r="Q9" s="1" t="s">
        <v>319</v>
      </c>
      <c r="R9" s="1" t="s">
        <v>319</v>
      </c>
      <c r="S9" s="1" t="s">
        <v>319</v>
      </c>
      <c r="T9" s="1" t="s">
        <v>319</v>
      </c>
      <c r="U9" s="1" t="s">
        <v>319</v>
      </c>
      <c r="V9" s="1" t="s">
        <v>319</v>
      </c>
      <c r="W9" s="1" t="s">
        <v>319</v>
      </c>
      <c r="X9" s="1" t="s">
        <v>319</v>
      </c>
      <c r="Y9" s="1" t="s">
        <v>319</v>
      </c>
      <c r="Z9" s="1" t="s">
        <v>319</v>
      </c>
    </row>
    <row r="10" spans="1:26" x14ac:dyDescent="0.25">
      <c r="A10" t="s">
        <v>281</v>
      </c>
      <c r="B10" t="s">
        <v>282</v>
      </c>
      <c r="C10" t="s">
        <v>283</v>
      </c>
      <c r="D10">
        <v>9</v>
      </c>
      <c r="E10">
        <v>9</v>
      </c>
      <c r="F10">
        <v>8</v>
      </c>
      <c r="G10">
        <v>8</v>
      </c>
      <c r="H10">
        <v>7</v>
      </c>
      <c r="I10">
        <v>9</v>
      </c>
      <c r="J10">
        <v>10</v>
      </c>
      <c r="K10">
        <v>8</v>
      </c>
      <c r="L10">
        <v>10</v>
      </c>
      <c r="M10">
        <v>9</v>
      </c>
      <c r="N10">
        <v>8</v>
      </c>
      <c r="O10">
        <v>6</v>
      </c>
      <c r="P10">
        <v>10</v>
      </c>
      <c r="Q10">
        <v>10</v>
      </c>
      <c r="R10">
        <v>10</v>
      </c>
      <c r="S10">
        <v>10</v>
      </c>
      <c r="T10">
        <v>8</v>
      </c>
      <c r="U10">
        <v>8</v>
      </c>
      <c r="V10">
        <v>10</v>
      </c>
      <c r="W10">
        <v>8</v>
      </c>
      <c r="X10">
        <v>9</v>
      </c>
      <c r="Y10">
        <v>10</v>
      </c>
      <c r="Z10">
        <v>7</v>
      </c>
    </row>
    <row r="11" spans="1:26" x14ac:dyDescent="0.25">
      <c r="A11" t="s">
        <v>306</v>
      </c>
      <c r="B11" t="s">
        <v>307</v>
      </c>
      <c r="C11" t="s">
        <v>308</v>
      </c>
      <c r="D11" t="s">
        <v>318</v>
      </c>
      <c r="E11">
        <v>24970.5</v>
      </c>
      <c r="F11">
        <v>17837.8</v>
      </c>
      <c r="G11">
        <v>11740</v>
      </c>
      <c r="H11">
        <v>23522.5</v>
      </c>
      <c r="I11">
        <v>31234</v>
      </c>
      <c r="J11">
        <v>15138.8</v>
      </c>
      <c r="K11">
        <v>25676</v>
      </c>
      <c r="L11">
        <v>22648</v>
      </c>
      <c r="M11">
        <v>24867</v>
      </c>
      <c r="N11">
        <v>17669.5</v>
      </c>
      <c r="O11">
        <v>22114.3</v>
      </c>
      <c r="P11">
        <v>15603.3</v>
      </c>
      <c r="Q11">
        <v>17903.8</v>
      </c>
      <c r="R11">
        <v>21589.8</v>
      </c>
      <c r="S11">
        <v>22743</v>
      </c>
      <c r="T11">
        <v>9238.5</v>
      </c>
      <c r="U11">
        <v>12260.5</v>
      </c>
      <c r="V11">
        <v>15286.5</v>
      </c>
      <c r="W11" t="s">
        <v>318</v>
      </c>
      <c r="X11">
        <v>19321</v>
      </c>
      <c r="Y11">
        <v>17416</v>
      </c>
      <c r="Z11">
        <v>19712</v>
      </c>
    </row>
    <row r="12" spans="1:26" x14ac:dyDescent="0.25">
      <c r="A12" t="s">
        <v>284</v>
      </c>
      <c r="B12" t="s">
        <v>285</v>
      </c>
      <c r="C12" t="s">
        <v>286</v>
      </c>
      <c r="D12">
        <v>15387.3</v>
      </c>
      <c r="E12">
        <v>12119.8</v>
      </c>
      <c r="F12">
        <v>16593</v>
      </c>
      <c r="G12">
        <v>7713</v>
      </c>
      <c r="H12">
        <v>17788.3</v>
      </c>
      <c r="I12">
        <v>23822.799999999999</v>
      </c>
      <c r="J12">
        <v>7087.8</v>
      </c>
      <c r="K12">
        <v>15292.8</v>
      </c>
      <c r="L12">
        <v>14533.5</v>
      </c>
      <c r="M12">
        <v>13990</v>
      </c>
      <c r="N12">
        <v>12899</v>
      </c>
      <c r="O12">
        <v>11865.3</v>
      </c>
      <c r="P12">
        <v>7383.5</v>
      </c>
      <c r="Q12">
        <v>9238</v>
      </c>
      <c r="R12">
        <v>10821.3</v>
      </c>
      <c r="S12">
        <v>13537</v>
      </c>
      <c r="T12">
        <v>6845.5</v>
      </c>
      <c r="U12">
        <v>8921.5</v>
      </c>
      <c r="V12">
        <v>12237.5</v>
      </c>
      <c r="W12">
        <v>9731.5</v>
      </c>
      <c r="X12">
        <v>13491.8</v>
      </c>
      <c r="Y12">
        <v>13892.3</v>
      </c>
      <c r="Z12">
        <v>8214.7999999999993</v>
      </c>
    </row>
    <row r="13" spans="1:26" x14ac:dyDescent="0.25">
      <c r="A13" t="s">
        <v>288</v>
      </c>
      <c r="B13" t="s">
        <v>289</v>
      </c>
      <c r="C13" t="s">
        <v>290</v>
      </c>
      <c r="D13">
        <v>7251.5</v>
      </c>
      <c r="E13">
        <v>4252.5</v>
      </c>
      <c r="F13">
        <v>12149.5</v>
      </c>
      <c r="G13">
        <v>3076</v>
      </c>
      <c r="H13">
        <v>7536.5</v>
      </c>
      <c r="I13">
        <v>11935.5</v>
      </c>
      <c r="J13">
        <v>2272</v>
      </c>
      <c r="K13">
        <v>5826.3</v>
      </c>
      <c r="L13">
        <v>5346.5</v>
      </c>
      <c r="M13">
        <v>5055</v>
      </c>
      <c r="N13">
        <v>6253</v>
      </c>
      <c r="O13">
        <v>3745.5</v>
      </c>
      <c r="P13">
        <v>2258</v>
      </c>
      <c r="Q13">
        <v>2964.8</v>
      </c>
      <c r="R13">
        <v>2870.5</v>
      </c>
      <c r="S13">
        <v>5160</v>
      </c>
      <c r="T13">
        <v>4089</v>
      </c>
      <c r="U13">
        <v>3980</v>
      </c>
      <c r="V13">
        <v>6693.5</v>
      </c>
      <c r="W13">
        <v>5506.3</v>
      </c>
      <c r="X13">
        <v>6496.8</v>
      </c>
      <c r="Y13">
        <v>6345</v>
      </c>
      <c r="Z13">
        <v>2162.3000000000002</v>
      </c>
    </row>
    <row r="14" spans="1:26" x14ac:dyDescent="0.25">
      <c r="A14" t="s">
        <v>291</v>
      </c>
      <c r="B14" t="s">
        <v>292</v>
      </c>
      <c r="C14" t="s">
        <v>293</v>
      </c>
      <c r="D14">
        <v>1553.3</v>
      </c>
      <c r="E14">
        <v>1202</v>
      </c>
      <c r="F14">
        <v>4674.5</v>
      </c>
      <c r="G14">
        <v>1079.3</v>
      </c>
      <c r="H14">
        <v>1962.5</v>
      </c>
      <c r="I14">
        <v>4978.8</v>
      </c>
      <c r="J14">
        <v>838.3</v>
      </c>
      <c r="K14">
        <v>1663.3</v>
      </c>
      <c r="L14">
        <v>1573</v>
      </c>
      <c r="M14">
        <v>1401</v>
      </c>
      <c r="N14">
        <v>2134</v>
      </c>
      <c r="O14">
        <v>934.8</v>
      </c>
      <c r="P14">
        <v>765.8</v>
      </c>
      <c r="Q14">
        <v>987.5</v>
      </c>
      <c r="R14">
        <v>807.3</v>
      </c>
      <c r="S14">
        <v>1559.5</v>
      </c>
      <c r="T14">
        <v>1676</v>
      </c>
      <c r="U14">
        <v>1087.8</v>
      </c>
      <c r="V14">
        <v>1792</v>
      </c>
      <c r="W14">
        <v>1123.5</v>
      </c>
      <c r="X14">
        <v>1958</v>
      </c>
      <c r="Y14">
        <v>1721.5</v>
      </c>
      <c r="Z14">
        <v>676.5</v>
      </c>
    </row>
    <row r="15" spans="1:26" x14ac:dyDescent="0.25">
      <c r="A15" t="s">
        <v>294</v>
      </c>
      <c r="B15" t="s">
        <v>295</v>
      </c>
      <c r="C15" t="s">
        <v>296</v>
      </c>
      <c r="D15">
        <v>317.5</v>
      </c>
      <c r="E15">
        <v>284</v>
      </c>
      <c r="F15">
        <v>547.29999999999995</v>
      </c>
      <c r="G15">
        <v>283.8</v>
      </c>
      <c r="H15">
        <v>406.5</v>
      </c>
      <c r="I15">
        <v>1301.5</v>
      </c>
      <c r="J15">
        <v>243.5</v>
      </c>
      <c r="K15">
        <v>355.3</v>
      </c>
      <c r="L15">
        <v>404</v>
      </c>
      <c r="M15">
        <v>328.5</v>
      </c>
      <c r="N15">
        <v>548</v>
      </c>
      <c r="O15">
        <v>203.3</v>
      </c>
      <c r="P15">
        <v>187.5</v>
      </c>
      <c r="Q15">
        <v>247.3</v>
      </c>
      <c r="R15">
        <v>184.5</v>
      </c>
      <c r="S15">
        <v>404</v>
      </c>
      <c r="T15">
        <v>402.5</v>
      </c>
      <c r="U15">
        <v>210.8</v>
      </c>
      <c r="V15">
        <v>242</v>
      </c>
      <c r="W15">
        <v>171</v>
      </c>
      <c r="X15">
        <v>477.5</v>
      </c>
      <c r="Y15">
        <v>295.3</v>
      </c>
      <c r="Z15">
        <v>166.5</v>
      </c>
    </row>
    <row r="16" spans="1:26" x14ac:dyDescent="0.25">
      <c r="A16" t="s">
        <v>297</v>
      </c>
      <c r="B16" t="s">
        <v>298</v>
      </c>
      <c r="C16" t="s">
        <v>299</v>
      </c>
      <c r="D16">
        <v>76</v>
      </c>
      <c r="E16">
        <v>68</v>
      </c>
      <c r="F16">
        <v>57</v>
      </c>
      <c r="G16">
        <v>71.5</v>
      </c>
      <c r="H16">
        <v>96</v>
      </c>
      <c r="I16">
        <v>325.5</v>
      </c>
      <c r="J16">
        <v>85.5</v>
      </c>
      <c r="K16">
        <v>76</v>
      </c>
      <c r="L16">
        <v>109.5</v>
      </c>
      <c r="M16">
        <v>78</v>
      </c>
      <c r="N16">
        <v>130.5</v>
      </c>
      <c r="O16">
        <v>46.8</v>
      </c>
      <c r="P16">
        <v>46.3</v>
      </c>
      <c r="Q16">
        <v>58</v>
      </c>
      <c r="R16">
        <v>42.5</v>
      </c>
      <c r="S16">
        <v>130</v>
      </c>
      <c r="T16">
        <v>100</v>
      </c>
      <c r="U16">
        <v>43.8</v>
      </c>
      <c r="V16">
        <v>32.799999999999997</v>
      </c>
      <c r="W16">
        <v>42.5</v>
      </c>
      <c r="X16">
        <v>117.3</v>
      </c>
      <c r="Y16">
        <v>59.5</v>
      </c>
      <c r="Z16">
        <v>37.5</v>
      </c>
    </row>
    <row r="17" spans="1:26" x14ac:dyDescent="0.25">
      <c r="A17" t="s">
        <v>300</v>
      </c>
      <c r="B17" t="s">
        <v>301</v>
      </c>
      <c r="C17" t="s">
        <v>302</v>
      </c>
      <c r="D17">
        <v>29.5</v>
      </c>
      <c r="E17">
        <v>26</v>
      </c>
      <c r="F17">
        <v>14</v>
      </c>
      <c r="G17">
        <v>24.5</v>
      </c>
      <c r="H17">
        <v>38.299999999999997</v>
      </c>
      <c r="I17">
        <v>79.3</v>
      </c>
      <c r="J17">
        <v>52.8</v>
      </c>
      <c r="K17">
        <v>20</v>
      </c>
      <c r="L17">
        <v>35</v>
      </c>
      <c r="M17">
        <v>33</v>
      </c>
      <c r="N17">
        <v>38.799999999999997</v>
      </c>
      <c r="O17">
        <v>17.5</v>
      </c>
      <c r="P17">
        <v>14.5</v>
      </c>
      <c r="Q17">
        <v>22.5</v>
      </c>
      <c r="R17">
        <v>16.5</v>
      </c>
      <c r="S17">
        <v>78.5</v>
      </c>
      <c r="T17">
        <v>41</v>
      </c>
      <c r="U17">
        <v>15</v>
      </c>
      <c r="V17">
        <v>9</v>
      </c>
      <c r="W17">
        <v>24.5</v>
      </c>
      <c r="X17">
        <v>39</v>
      </c>
      <c r="Y17">
        <v>23.5</v>
      </c>
      <c r="Z17">
        <v>11.8</v>
      </c>
    </row>
    <row r="18" spans="1:26" x14ac:dyDescent="0.25">
      <c r="A18" t="s">
        <v>303</v>
      </c>
      <c r="B18" t="s">
        <v>304</v>
      </c>
      <c r="C18" t="s">
        <v>305</v>
      </c>
      <c r="D18" t="s">
        <v>318</v>
      </c>
      <c r="E18">
        <v>13</v>
      </c>
      <c r="F18" t="s">
        <v>318</v>
      </c>
      <c r="G18">
        <v>14.3</v>
      </c>
      <c r="H18" t="s">
        <v>318</v>
      </c>
      <c r="I18">
        <v>24</v>
      </c>
      <c r="J18">
        <v>42.8</v>
      </c>
      <c r="K18">
        <v>5.3</v>
      </c>
      <c r="L18">
        <v>18.3</v>
      </c>
      <c r="M18">
        <v>19</v>
      </c>
      <c r="N18">
        <v>11.5</v>
      </c>
      <c r="O18">
        <v>7.5</v>
      </c>
      <c r="P18">
        <v>5.5</v>
      </c>
      <c r="Q18">
        <v>11</v>
      </c>
      <c r="R18">
        <v>7.5</v>
      </c>
      <c r="S18">
        <v>64</v>
      </c>
      <c r="T18" t="s">
        <v>318</v>
      </c>
      <c r="U18" t="s">
        <v>318</v>
      </c>
      <c r="V18" t="s">
        <v>318</v>
      </c>
      <c r="W18" t="s">
        <v>318</v>
      </c>
      <c r="X18">
        <v>15.5</v>
      </c>
      <c r="Y18" t="s">
        <v>318</v>
      </c>
      <c r="Z18">
        <v>6</v>
      </c>
    </row>
    <row r="19" spans="1:26" x14ac:dyDescent="0.25">
      <c r="A19" t="s">
        <v>38</v>
      </c>
      <c r="B19" t="s">
        <v>39</v>
      </c>
      <c r="C19" t="s">
        <v>40</v>
      </c>
      <c r="D19">
        <v>215</v>
      </c>
      <c r="E19">
        <v>11</v>
      </c>
      <c r="F19">
        <v>10</v>
      </c>
      <c r="G19">
        <v>32</v>
      </c>
      <c r="H19">
        <v>25</v>
      </c>
      <c r="I19">
        <v>32</v>
      </c>
      <c r="J19">
        <v>75.5</v>
      </c>
      <c r="K19">
        <v>5</v>
      </c>
      <c r="L19">
        <v>22.5</v>
      </c>
      <c r="M19">
        <v>81</v>
      </c>
      <c r="N19">
        <v>6</v>
      </c>
      <c r="O19">
        <v>23</v>
      </c>
      <c r="P19">
        <v>7</v>
      </c>
      <c r="Q19">
        <v>11</v>
      </c>
      <c r="R19">
        <v>10</v>
      </c>
      <c r="S19">
        <v>122</v>
      </c>
      <c r="T19">
        <v>37</v>
      </c>
      <c r="U19">
        <v>16</v>
      </c>
      <c r="V19">
        <v>11.5</v>
      </c>
      <c r="W19">
        <v>31</v>
      </c>
      <c r="X19">
        <v>81</v>
      </c>
      <c r="Y19">
        <v>80</v>
      </c>
      <c r="Z19">
        <v>9</v>
      </c>
    </row>
    <row r="20" spans="1:26" x14ac:dyDescent="0.25">
      <c r="A20" t="s">
        <v>41</v>
      </c>
      <c r="B20" t="s">
        <v>42</v>
      </c>
      <c r="C20" t="s">
        <v>43</v>
      </c>
      <c r="D20">
        <v>327</v>
      </c>
      <c r="E20">
        <v>12</v>
      </c>
      <c r="F20">
        <v>11</v>
      </c>
      <c r="G20">
        <v>33</v>
      </c>
      <c r="H20">
        <v>26</v>
      </c>
      <c r="I20">
        <v>49.5</v>
      </c>
      <c r="J20">
        <v>81</v>
      </c>
      <c r="K20">
        <v>6</v>
      </c>
      <c r="L20">
        <v>32</v>
      </c>
      <c r="M20">
        <v>72</v>
      </c>
      <c r="N20">
        <v>9</v>
      </c>
      <c r="O20">
        <v>24</v>
      </c>
      <c r="P20">
        <v>7</v>
      </c>
      <c r="Q20">
        <v>12</v>
      </c>
      <c r="R20">
        <v>9</v>
      </c>
      <c r="S20">
        <v>102</v>
      </c>
      <c r="T20">
        <v>32</v>
      </c>
      <c r="U20">
        <v>25</v>
      </c>
      <c r="V20">
        <v>16.5</v>
      </c>
      <c r="W20">
        <v>35</v>
      </c>
      <c r="X20">
        <v>85</v>
      </c>
      <c r="Y20">
        <v>490</v>
      </c>
      <c r="Z20">
        <v>11</v>
      </c>
    </row>
    <row r="21" spans="1:26" x14ac:dyDescent="0.25">
      <c r="A21" t="s">
        <v>44</v>
      </c>
      <c r="B21" t="s">
        <v>45</v>
      </c>
      <c r="C21" t="s">
        <v>46</v>
      </c>
      <c r="D21">
        <v>167</v>
      </c>
      <c r="E21">
        <v>12</v>
      </c>
      <c r="F21">
        <v>9</v>
      </c>
      <c r="G21">
        <v>35</v>
      </c>
      <c r="H21">
        <v>27.5</v>
      </c>
      <c r="I21">
        <v>47.5</v>
      </c>
      <c r="J21">
        <v>80</v>
      </c>
      <c r="K21">
        <v>9</v>
      </c>
      <c r="L21">
        <v>42</v>
      </c>
      <c r="M21">
        <v>79</v>
      </c>
      <c r="N21">
        <v>6</v>
      </c>
      <c r="O21">
        <v>25</v>
      </c>
      <c r="P21">
        <v>7</v>
      </c>
      <c r="Q21">
        <v>14</v>
      </c>
      <c r="R21">
        <v>9</v>
      </c>
      <c r="S21">
        <v>118.5</v>
      </c>
      <c r="T21">
        <v>31</v>
      </c>
      <c r="U21">
        <v>23</v>
      </c>
      <c r="V21">
        <v>13</v>
      </c>
      <c r="W21">
        <v>30</v>
      </c>
      <c r="X21">
        <v>65</v>
      </c>
      <c r="Y21">
        <v>167</v>
      </c>
      <c r="Z21">
        <v>13</v>
      </c>
    </row>
    <row r="22" spans="1:26" x14ac:dyDescent="0.25">
      <c r="A22" t="s">
        <v>47</v>
      </c>
      <c r="B22" t="s">
        <v>48</v>
      </c>
      <c r="C22" t="s">
        <v>49</v>
      </c>
      <c r="D22">
        <v>200</v>
      </c>
      <c r="E22">
        <v>12</v>
      </c>
      <c r="F22">
        <v>6.5</v>
      </c>
      <c r="G22">
        <v>28</v>
      </c>
      <c r="H22">
        <v>27</v>
      </c>
      <c r="I22">
        <v>80</v>
      </c>
      <c r="J22">
        <v>82</v>
      </c>
      <c r="K22">
        <v>6</v>
      </c>
      <c r="L22">
        <v>36</v>
      </c>
      <c r="M22">
        <v>40.5</v>
      </c>
      <c r="N22">
        <v>7</v>
      </c>
      <c r="O22">
        <v>14</v>
      </c>
      <c r="P22">
        <v>6</v>
      </c>
      <c r="Q22">
        <v>15</v>
      </c>
      <c r="R22">
        <v>8</v>
      </c>
      <c r="S22">
        <v>116</v>
      </c>
      <c r="T22">
        <v>28</v>
      </c>
      <c r="U22">
        <v>19</v>
      </c>
      <c r="V22">
        <v>13</v>
      </c>
      <c r="W22">
        <v>39</v>
      </c>
      <c r="X22">
        <v>108</v>
      </c>
      <c r="Y22">
        <v>340</v>
      </c>
      <c r="Z22">
        <v>9</v>
      </c>
    </row>
    <row r="23" spans="1:26" x14ac:dyDescent="0.25">
      <c r="A23" t="s">
        <v>50</v>
      </c>
      <c r="B23" t="s">
        <v>51</v>
      </c>
      <c r="C23" t="s">
        <v>52</v>
      </c>
      <c r="D23">
        <v>314</v>
      </c>
      <c r="E23">
        <v>12</v>
      </c>
      <c r="F23">
        <v>8</v>
      </c>
      <c r="G23">
        <v>50</v>
      </c>
      <c r="H23">
        <v>24</v>
      </c>
      <c r="I23">
        <v>86</v>
      </c>
      <c r="J23">
        <v>77</v>
      </c>
      <c r="K23">
        <v>11</v>
      </c>
      <c r="L23">
        <v>26</v>
      </c>
      <c r="M23">
        <v>107</v>
      </c>
      <c r="N23">
        <v>12</v>
      </c>
      <c r="O23">
        <v>39</v>
      </c>
      <c r="P23">
        <v>6</v>
      </c>
      <c r="Q23">
        <v>13</v>
      </c>
      <c r="R23">
        <v>8</v>
      </c>
      <c r="S23">
        <v>91</v>
      </c>
      <c r="T23">
        <v>52</v>
      </c>
      <c r="U23">
        <v>30</v>
      </c>
      <c r="V23">
        <v>18</v>
      </c>
      <c r="W23">
        <v>33</v>
      </c>
      <c r="X23">
        <v>70</v>
      </c>
      <c r="Y23">
        <v>324</v>
      </c>
      <c r="Z23">
        <v>16</v>
      </c>
    </row>
    <row r="24" spans="1:26" x14ac:dyDescent="0.25">
      <c r="A24" t="s">
        <v>53</v>
      </c>
      <c r="B24" t="s">
        <v>54</v>
      </c>
      <c r="C24" t="s">
        <v>55</v>
      </c>
      <c r="D24">
        <v>193</v>
      </c>
      <c r="E24">
        <v>16</v>
      </c>
      <c r="F24">
        <v>9</v>
      </c>
      <c r="G24">
        <v>39</v>
      </c>
      <c r="H24">
        <v>30</v>
      </c>
      <c r="I24">
        <v>51</v>
      </c>
      <c r="J24">
        <v>84</v>
      </c>
      <c r="K24">
        <v>9</v>
      </c>
      <c r="L24">
        <v>38</v>
      </c>
      <c r="M24">
        <v>84</v>
      </c>
      <c r="N24">
        <v>8</v>
      </c>
      <c r="O24">
        <v>25</v>
      </c>
      <c r="P24">
        <v>8</v>
      </c>
      <c r="Q24">
        <v>14</v>
      </c>
      <c r="R24">
        <v>9</v>
      </c>
      <c r="S24">
        <v>126.5</v>
      </c>
      <c r="T24">
        <v>33</v>
      </c>
      <c r="U24">
        <v>35</v>
      </c>
      <c r="V24">
        <v>14</v>
      </c>
      <c r="W24">
        <v>47.5</v>
      </c>
      <c r="X24">
        <v>108</v>
      </c>
      <c r="Y24">
        <v>1708</v>
      </c>
      <c r="Z24">
        <v>12</v>
      </c>
    </row>
    <row r="25" spans="1:26" x14ac:dyDescent="0.25">
      <c r="A25" t="s">
        <v>56</v>
      </c>
      <c r="B25" t="s">
        <v>57</v>
      </c>
      <c r="C25" t="s">
        <v>58</v>
      </c>
      <c r="D25">
        <v>241</v>
      </c>
      <c r="E25">
        <v>14</v>
      </c>
      <c r="F25">
        <v>7</v>
      </c>
      <c r="G25">
        <v>30</v>
      </c>
      <c r="H25">
        <v>21.5</v>
      </c>
      <c r="I25">
        <v>75</v>
      </c>
      <c r="J25">
        <v>70</v>
      </c>
      <c r="K25">
        <v>6</v>
      </c>
      <c r="L25">
        <v>27.5</v>
      </c>
      <c r="M25">
        <v>95</v>
      </c>
      <c r="N25">
        <v>9</v>
      </c>
      <c r="O25">
        <v>20</v>
      </c>
      <c r="P25">
        <v>5.5</v>
      </c>
      <c r="Q25">
        <v>12</v>
      </c>
      <c r="R25">
        <v>7</v>
      </c>
      <c r="S25">
        <v>92</v>
      </c>
      <c r="T25">
        <v>30</v>
      </c>
      <c r="U25">
        <v>35</v>
      </c>
      <c r="V25">
        <v>16</v>
      </c>
      <c r="W25">
        <v>32</v>
      </c>
      <c r="X25">
        <v>93.5</v>
      </c>
      <c r="Y25">
        <v>472</v>
      </c>
      <c r="Z25">
        <v>10</v>
      </c>
    </row>
    <row r="26" spans="1:26" x14ac:dyDescent="0.25">
      <c r="A26" t="s">
        <v>59</v>
      </c>
      <c r="B26" t="s">
        <v>60</v>
      </c>
      <c r="C26" t="s">
        <v>61</v>
      </c>
      <c r="D26">
        <v>154</v>
      </c>
      <c r="E26">
        <v>12</v>
      </c>
      <c r="F26">
        <v>11</v>
      </c>
      <c r="G26">
        <v>26</v>
      </c>
      <c r="H26">
        <v>22</v>
      </c>
      <c r="I26">
        <v>49</v>
      </c>
      <c r="J26">
        <v>68</v>
      </c>
      <c r="K26">
        <v>10</v>
      </c>
      <c r="L26">
        <v>45</v>
      </c>
      <c r="M26">
        <v>69</v>
      </c>
      <c r="N26">
        <v>8.5</v>
      </c>
      <c r="O26">
        <v>21.5</v>
      </c>
      <c r="P26">
        <v>7.5</v>
      </c>
      <c r="Q26">
        <v>13</v>
      </c>
      <c r="R26">
        <v>10</v>
      </c>
      <c r="S26">
        <v>84</v>
      </c>
      <c r="T26">
        <v>28</v>
      </c>
      <c r="U26">
        <v>18</v>
      </c>
      <c r="V26">
        <v>8</v>
      </c>
      <c r="W26">
        <v>31</v>
      </c>
      <c r="X26">
        <v>70</v>
      </c>
      <c r="Y26">
        <v>742</v>
      </c>
      <c r="Z26">
        <v>12.5</v>
      </c>
    </row>
    <row r="27" spans="1:26" x14ac:dyDescent="0.25">
      <c r="A27" t="s">
        <v>62</v>
      </c>
      <c r="B27" t="s">
        <v>63</v>
      </c>
      <c r="C27" t="s">
        <v>64</v>
      </c>
      <c r="D27">
        <v>323.5</v>
      </c>
      <c r="E27">
        <v>12</v>
      </c>
      <c r="F27">
        <v>10</v>
      </c>
      <c r="G27">
        <v>25</v>
      </c>
      <c r="H27">
        <v>20</v>
      </c>
      <c r="I27">
        <v>28</v>
      </c>
      <c r="J27">
        <v>66.5</v>
      </c>
      <c r="K27">
        <v>7</v>
      </c>
      <c r="L27">
        <v>39</v>
      </c>
      <c r="M27">
        <v>57</v>
      </c>
      <c r="N27">
        <v>7</v>
      </c>
      <c r="O27">
        <v>12</v>
      </c>
      <c r="P27">
        <v>6</v>
      </c>
      <c r="Q27">
        <v>11</v>
      </c>
      <c r="R27">
        <v>9</v>
      </c>
      <c r="S27">
        <v>91</v>
      </c>
      <c r="T27">
        <v>28</v>
      </c>
      <c r="U27">
        <v>19</v>
      </c>
      <c r="V27">
        <v>15</v>
      </c>
      <c r="W27">
        <v>28</v>
      </c>
      <c r="X27">
        <v>42</v>
      </c>
      <c r="Y27">
        <v>262</v>
      </c>
      <c r="Z27">
        <v>8</v>
      </c>
    </row>
    <row r="28" spans="1:26" x14ac:dyDescent="0.25">
      <c r="A28" t="s">
        <v>65</v>
      </c>
      <c r="B28" t="s">
        <v>66</v>
      </c>
      <c r="C28" t="s">
        <v>67</v>
      </c>
      <c r="D28">
        <v>299.5</v>
      </c>
      <c r="E28">
        <v>9</v>
      </c>
      <c r="F28">
        <v>8.5</v>
      </c>
      <c r="G28">
        <v>24</v>
      </c>
      <c r="H28">
        <v>22</v>
      </c>
      <c r="I28">
        <v>67</v>
      </c>
      <c r="J28">
        <v>75</v>
      </c>
      <c r="K28">
        <v>5</v>
      </c>
      <c r="L28">
        <v>23.5</v>
      </c>
      <c r="M28">
        <v>54</v>
      </c>
      <c r="N28">
        <v>6</v>
      </c>
      <c r="O28">
        <v>11</v>
      </c>
      <c r="P28">
        <v>4.5</v>
      </c>
      <c r="Q28">
        <v>12</v>
      </c>
      <c r="R28">
        <v>10</v>
      </c>
      <c r="S28">
        <v>94</v>
      </c>
      <c r="T28">
        <v>27.5</v>
      </c>
      <c r="U28">
        <v>23</v>
      </c>
      <c r="V28">
        <v>12</v>
      </c>
      <c r="W28">
        <v>37</v>
      </c>
      <c r="X28">
        <v>78</v>
      </c>
      <c r="Y28">
        <v>310</v>
      </c>
      <c r="Z28">
        <v>9</v>
      </c>
    </row>
    <row r="29" spans="1:26" x14ac:dyDescent="0.25">
      <c r="A29" t="s">
        <v>68</v>
      </c>
      <c r="B29" t="s">
        <v>69</v>
      </c>
      <c r="C29" t="s">
        <v>70</v>
      </c>
      <c r="D29">
        <v>241</v>
      </c>
      <c r="E29">
        <v>9</v>
      </c>
      <c r="F29">
        <v>7</v>
      </c>
      <c r="G29">
        <v>23</v>
      </c>
      <c r="H29">
        <v>17.5</v>
      </c>
      <c r="I29">
        <v>56</v>
      </c>
      <c r="J29">
        <v>60</v>
      </c>
      <c r="K29">
        <v>5</v>
      </c>
      <c r="L29">
        <v>30</v>
      </c>
      <c r="M29">
        <v>45</v>
      </c>
      <c r="N29">
        <v>6</v>
      </c>
      <c r="O29">
        <v>12</v>
      </c>
      <c r="P29">
        <v>5</v>
      </c>
      <c r="Q29">
        <v>10</v>
      </c>
      <c r="R29">
        <v>8</v>
      </c>
      <c r="S29">
        <v>80</v>
      </c>
      <c r="T29">
        <v>24</v>
      </c>
      <c r="U29">
        <v>16</v>
      </c>
      <c r="V29">
        <v>10</v>
      </c>
      <c r="W29">
        <v>27</v>
      </c>
      <c r="X29">
        <v>49</v>
      </c>
      <c r="Y29">
        <v>225</v>
      </c>
      <c r="Z29">
        <v>10</v>
      </c>
    </row>
    <row r="30" spans="1:26" x14ac:dyDescent="0.25">
      <c r="A30" t="s">
        <v>71</v>
      </c>
      <c r="B30" t="s">
        <v>72</v>
      </c>
      <c r="C30" t="s">
        <v>73</v>
      </c>
      <c r="D30">
        <v>120</v>
      </c>
      <c r="E30">
        <v>5.5</v>
      </c>
      <c r="F30">
        <v>2</v>
      </c>
      <c r="G30">
        <v>7</v>
      </c>
      <c r="H30">
        <v>16.5</v>
      </c>
      <c r="I30">
        <v>15.5</v>
      </c>
      <c r="J30">
        <v>53.5</v>
      </c>
      <c r="K30">
        <v>1</v>
      </c>
      <c r="L30">
        <v>6</v>
      </c>
      <c r="M30">
        <v>33</v>
      </c>
      <c r="N30">
        <v>0</v>
      </c>
      <c r="O30">
        <v>9</v>
      </c>
      <c r="P30">
        <v>-1</v>
      </c>
      <c r="Q30">
        <v>4.5</v>
      </c>
      <c r="R30">
        <v>4</v>
      </c>
      <c r="S30">
        <v>78</v>
      </c>
      <c r="T30">
        <v>13.5</v>
      </c>
      <c r="U30">
        <v>14.5</v>
      </c>
      <c r="V30">
        <v>0.5</v>
      </c>
      <c r="W30">
        <v>28.5</v>
      </c>
      <c r="X30">
        <v>72.5</v>
      </c>
      <c r="Y30">
        <v>366</v>
      </c>
      <c r="Z30">
        <v>4</v>
      </c>
    </row>
    <row r="31" spans="1:26" x14ac:dyDescent="0.25">
      <c r="A31" t="s">
        <v>74</v>
      </c>
      <c r="B31" t="s">
        <v>75</v>
      </c>
      <c r="C31" t="s">
        <v>76</v>
      </c>
      <c r="D31">
        <v>258</v>
      </c>
      <c r="E31">
        <v>11</v>
      </c>
      <c r="F31">
        <v>9</v>
      </c>
      <c r="G31">
        <v>22</v>
      </c>
      <c r="H31">
        <v>18</v>
      </c>
      <c r="I31">
        <v>53</v>
      </c>
      <c r="J31">
        <v>64</v>
      </c>
      <c r="K31">
        <v>6</v>
      </c>
      <c r="L31">
        <v>33</v>
      </c>
      <c r="M31">
        <v>51.5</v>
      </c>
      <c r="N31">
        <v>8</v>
      </c>
      <c r="O31">
        <v>13</v>
      </c>
      <c r="P31">
        <v>6</v>
      </c>
      <c r="Q31">
        <v>11</v>
      </c>
      <c r="R31">
        <v>9</v>
      </c>
      <c r="S31">
        <v>84</v>
      </c>
      <c r="T31">
        <v>24.5</v>
      </c>
      <c r="U31">
        <v>25</v>
      </c>
      <c r="V31">
        <v>13</v>
      </c>
      <c r="W31">
        <v>29.5</v>
      </c>
      <c r="X31">
        <v>63</v>
      </c>
      <c r="Y31">
        <v>364</v>
      </c>
      <c r="Z31">
        <v>10</v>
      </c>
    </row>
    <row r="32" spans="1:26" x14ac:dyDescent="0.25">
      <c r="A32" t="s">
        <v>77</v>
      </c>
      <c r="B32" t="s">
        <v>78</v>
      </c>
      <c r="C32" t="s">
        <v>79</v>
      </c>
      <c r="D32">
        <v>135.5</v>
      </c>
      <c r="E32">
        <v>11</v>
      </c>
      <c r="F32">
        <v>6</v>
      </c>
      <c r="G32">
        <v>20</v>
      </c>
      <c r="H32">
        <v>15.5</v>
      </c>
      <c r="I32">
        <v>44.5</v>
      </c>
      <c r="J32">
        <v>66</v>
      </c>
      <c r="K32">
        <v>5</v>
      </c>
      <c r="L32">
        <v>25</v>
      </c>
      <c r="M32">
        <v>33</v>
      </c>
      <c r="N32">
        <v>5</v>
      </c>
      <c r="O32">
        <v>12</v>
      </c>
      <c r="P32">
        <v>5</v>
      </c>
      <c r="Q32">
        <v>9</v>
      </c>
      <c r="R32">
        <v>7</v>
      </c>
      <c r="S32">
        <v>87.5</v>
      </c>
      <c r="T32">
        <v>25</v>
      </c>
      <c r="U32">
        <v>16</v>
      </c>
      <c r="V32">
        <v>7</v>
      </c>
      <c r="W32">
        <v>21</v>
      </c>
      <c r="X32">
        <v>35</v>
      </c>
      <c r="Y32">
        <v>156</v>
      </c>
      <c r="Z32">
        <v>9</v>
      </c>
    </row>
    <row r="33" spans="1:26" x14ac:dyDescent="0.25">
      <c r="A33" t="s">
        <v>81</v>
      </c>
      <c r="B33" t="s">
        <v>82</v>
      </c>
      <c r="C33" t="s">
        <v>83</v>
      </c>
      <c r="D33">
        <v>371.5</v>
      </c>
      <c r="E33">
        <v>22</v>
      </c>
      <c r="F33">
        <v>12</v>
      </c>
      <c r="G33">
        <v>128</v>
      </c>
      <c r="H33">
        <v>37.5</v>
      </c>
      <c r="I33">
        <v>55</v>
      </c>
      <c r="J33">
        <v>88</v>
      </c>
      <c r="K33">
        <v>39.5</v>
      </c>
      <c r="L33">
        <v>36.5</v>
      </c>
      <c r="M33">
        <v>164.5</v>
      </c>
      <c r="N33">
        <v>18</v>
      </c>
      <c r="O33">
        <v>137</v>
      </c>
      <c r="P33">
        <v>6</v>
      </c>
      <c r="Q33">
        <v>23</v>
      </c>
      <c r="R33">
        <v>27</v>
      </c>
      <c r="S33">
        <v>132</v>
      </c>
      <c r="T33">
        <v>140</v>
      </c>
      <c r="U33">
        <v>37</v>
      </c>
      <c r="V33">
        <v>10</v>
      </c>
      <c r="W33">
        <v>40</v>
      </c>
      <c r="X33">
        <v>59</v>
      </c>
      <c r="Y33">
        <v>191.5</v>
      </c>
      <c r="Z33">
        <v>35</v>
      </c>
    </row>
    <row r="34" spans="1:26" x14ac:dyDescent="0.25">
      <c r="A34" t="s">
        <v>84</v>
      </c>
      <c r="B34" t="s">
        <v>85</v>
      </c>
      <c r="C34" t="s">
        <v>86</v>
      </c>
      <c r="D34">
        <v>223</v>
      </c>
      <c r="E34">
        <v>13</v>
      </c>
      <c r="F34">
        <v>8</v>
      </c>
      <c r="G34">
        <v>32</v>
      </c>
      <c r="H34">
        <v>24</v>
      </c>
      <c r="I34">
        <v>56</v>
      </c>
      <c r="J34">
        <v>87</v>
      </c>
      <c r="K34">
        <v>6</v>
      </c>
      <c r="L34">
        <v>33</v>
      </c>
      <c r="M34">
        <v>60</v>
      </c>
      <c r="N34">
        <v>6.5</v>
      </c>
      <c r="O34">
        <v>15.5</v>
      </c>
      <c r="P34">
        <v>7.5</v>
      </c>
      <c r="Q34">
        <v>13</v>
      </c>
      <c r="R34">
        <v>9.5</v>
      </c>
      <c r="S34">
        <v>100</v>
      </c>
      <c r="T34">
        <v>32</v>
      </c>
      <c r="U34">
        <v>36.5</v>
      </c>
      <c r="V34">
        <v>24.5</v>
      </c>
      <c r="W34">
        <v>77</v>
      </c>
      <c r="X34">
        <v>243</v>
      </c>
      <c r="Y34">
        <v>569</v>
      </c>
      <c r="Z34">
        <v>12</v>
      </c>
    </row>
    <row r="35" spans="1:26" x14ac:dyDescent="0.25">
      <c r="A35" t="s">
        <v>87</v>
      </c>
      <c r="B35" t="s">
        <v>88</v>
      </c>
      <c r="C35" t="s">
        <v>89</v>
      </c>
      <c r="D35">
        <v>161.5</v>
      </c>
      <c r="E35">
        <v>24</v>
      </c>
      <c r="F35">
        <v>9</v>
      </c>
      <c r="G35">
        <v>40</v>
      </c>
      <c r="H35">
        <v>23.5</v>
      </c>
      <c r="I35">
        <v>108.5</v>
      </c>
      <c r="J35">
        <v>73</v>
      </c>
      <c r="K35">
        <v>6</v>
      </c>
      <c r="L35">
        <v>29.5</v>
      </c>
      <c r="M35">
        <v>67</v>
      </c>
      <c r="N35">
        <v>10</v>
      </c>
      <c r="O35">
        <v>22</v>
      </c>
      <c r="P35">
        <v>7</v>
      </c>
      <c r="Q35">
        <v>13</v>
      </c>
      <c r="R35">
        <v>12</v>
      </c>
      <c r="S35">
        <v>129</v>
      </c>
      <c r="T35">
        <v>35</v>
      </c>
      <c r="U35">
        <v>85</v>
      </c>
      <c r="V35">
        <v>103</v>
      </c>
      <c r="W35">
        <v>99.5</v>
      </c>
      <c r="X35">
        <v>570</v>
      </c>
      <c r="Y35">
        <v>515</v>
      </c>
      <c r="Z35">
        <v>11</v>
      </c>
    </row>
    <row r="36" spans="1:26" x14ac:dyDescent="0.25">
      <c r="A36" t="s">
        <v>90</v>
      </c>
      <c r="B36" t="s">
        <v>91</v>
      </c>
      <c r="C36" t="s">
        <v>92</v>
      </c>
      <c r="D36">
        <v>359</v>
      </c>
      <c r="E36">
        <v>15</v>
      </c>
      <c r="F36">
        <v>8</v>
      </c>
      <c r="G36">
        <v>73</v>
      </c>
      <c r="H36">
        <v>22.5</v>
      </c>
      <c r="I36">
        <v>59</v>
      </c>
      <c r="J36">
        <v>72</v>
      </c>
      <c r="K36">
        <v>18</v>
      </c>
      <c r="L36">
        <v>37</v>
      </c>
      <c r="M36">
        <v>122</v>
      </c>
      <c r="N36">
        <v>10</v>
      </c>
      <c r="O36">
        <v>56</v>
      </c>
      <c r="P36">
        <v>7</v>
      </c>
      <c r="Q36">
        <v>14</v>
      </c>
      <c r="R36">
        <v>9</v>
      </c>
      <c r="S36">
        <v>88</v>
      </c>
      <c r="T36">
        <v>133</v>
      </c>
      <c r="U36">
        <v>37</v>
      </c>
      <c r="V36">
        <v>23</v>
      </c>
      <c r="W36">
        <v>42</v>
      </c>
      <c r="X36">
        <v>131</v>
      </c>
      <c r="Y36">
        <v>512</v>
      </c>
      <c r="Z36">
        <v>20</v>
      </c>
    </row>
    <row r="37" spans="1:26" x14ac:dyDescent="0.25">
      <c r="A37" t="s">
        <v>93</v>
      </c>
      <c r="B37" t="s">
        <v>94</v>
      </c>
      <c r="C37" t="s">
        <v>95</v>
      </c>
      <c r="D37">
        <v>285</v>
      </c>
      <c r="E37">
        <v>24</v>
      </c>
      <c r="F37">
        <v>10.5</v>
      </c>
      <c r="G37">
        <v>71</v>
      </c>
      <c r="H37">
        <v>27</v>
      </c>
      <c r="I37">
        <v>115</v>
      </c>
      <c r="J37">
        <v>76</v>
      </c>
      <c r="K37">
        <v>28</v>
      </c>
      <c r="L37">
        <v>29</v>
      </c>
      <c r="M37">
        <v>111</v>
      </c>
      <c r="N37">
        <v>14</v>
      </c>
      <c r="O37">
        <v>54.5</v>
      </c>
      <c r="P37">
        <v>7</v>
      </c>
      <c r="Q37">
        <v>15</v>
      </c>
      <c r="R37">
        <v>11</v>
      </c>
      <c r="S37">
        <v>149.5</v>
      </c>
      <c r="T37">
        <v>82</v>
      </c>
      <c r="U37">
        <v>99</v>
      </c>
      <c r="V37">
        <v>150.5</v>
      </c>
      <c r="W37">
        <v>87</v>
      </c>
      <c r="X37">
        <v>363.5</v>
      </c>
      <c r="Y37">
        <v>539.5</v>
      </c>
      <c r="Z37">
        <v>25</v>
      </c>
    </row>
    <row r="38" spans="1:26" x14ac:dyDescent="0.25">
      <c r="A38" t="s">
        <v>96</v>
      </c>
      <c r="B38" t="s">
        <v>97</v>
      </c>
      <c r="C38" t="s">
        <v>98</v>
      </c>
      <c r="D38">
        <v>328</v>
      </c>
      <c r="E38">
        <v>17</v>
      </c>
      <c r="F38">
        <v>7</v>
      </c>
      <c r="G38">
        <v>30.5</v>
      </c>
      <c r="H38">
        <v>24.5</v>
      </c>
      <c r="I38">
        <v>120.5</v>
      </c>
      <c r="J38">
        <v>66</v>
      </c>
      <c r="K38">
        <v>6</v>
      </c>
      <c r="L38">
        <v>38</v>
      </c>
      <c r="M38">
        <v>67</v>
      </c>
      <c r="N38">
        <v>7.5</v>
      </c>
      <c r="O38">
        <v>12</v>
      </c>
      <c r="P38">
        <v>6</v>
      </c>
      <c r="Q38">
        <v>11</v>
      </c>
      <c r="R38">
        <v>9</v>
      </c>
      <c r="S38">
        <v>92.5</v>
      </c>
      <c r="T38">
        <v>29.5</v>
      </c>
      <c r="U38">
        <v>41</v>
      </c>
      <c r="V38">
        <v>45</v>
      </c>
      <c r="W38">
        <v>100.5</v>
      </c>
      <c r="X38">
        <v>391</v>
      </c>
      <c r="Y38">
        <v>755</v>
      </c>
      <c r="Z38">
        <v>11</v>
      </c>
    </row>
    <row r="39" spans="1:26" x14ac:dyDescent="0.25">
      <c r="A39" t="s">
        <v>99</v>
      </c>
      <c r="B39" t="s">
        <v>100</v>
      </c>
      <c r="C39" t="s">
        <v>101</v>
      </c>
      <c r="D39">
        <v>259.5</v>
      </c>
      <c r="E39">
        <v>27</v>
      </c>
      <c r="F39">
        <v>10</v>
      </c>
      <c r="G39">
        <v>109.5</v>
      </c>
      <c r="H39">
        <v>37</v>
      </c>
      <c r="I39">
        <v>232</v>
      </c>
      <c r="J39">
        <v>84</v>
      </c>
      <c r="K39">
        <v>21</v>
      </c>
      <c r="L39">
        <v>31</v>
      </c>
      <c r="M39">
        <v>156</v>
      </c>
      <c r="N39">
        <v>17</v>
      </c>
      <c r="O39">
        <v>82.5</v>
      </c>
      <c r="P39">
        <v>8.5</v>
      </c>
      <c r="Q39">
        <v>19.5</v>
      </c>
      <c r="R39">
        <v>13.5</v>
      </c>
      <c r="S39">
        <v>165</v>
      </c>
      <c r="T39">
        <v>137.5</v>
      </c>
      <c r="U39">
        <v>80</v>
      </c>
      <c r="V39">
        <v>169</v>
      </c>
      <c r="W39">
        <v>371</v>
      </c>
      <c r="X39">
        <v>1247</v>
      </c>
      <c r="Y39">
        <v>1072.5</v>
      </c>
      <c r="Z39">
        <v>28</v>
      </c>
    </row>
    <row r="40" spans="1:26" x14ac:dyDescent="0.25">
      <c r="A40" t="s">
        <v>102</v>
      </c>
      <c r="B40" t="s">
        <v>103</v>
      </c>
      <c r="C40" t="s">
        <v>104</v>
      </c>
      <c r="D40">
        <v>296.5</v>
      </c>
      <c r="E40">
        <v>14</v>
      </c>
      <c r="F40">
        <v>8</v>
      </c>
      <c r="G40">
        <v>31</v>
      </c>
      <c r="H40">
        <v>22</v>
      </c>
      <c r="I40">
        <v>42</v>
      </c>
      <c r="J40">
        <v>76</v>
      </c>
      <c r="K40">
        <v>6</v>
      </c>
      <c r="L40">
        <v>30</v>
      </c>
      <c r="M40">
        <v>67</v>
      </c>
      <c r="N40">
        <v>7</v>
      </c>
      <c r="O40">
        <v>21</v>
      </c>
      <c r="P40">
        <v>6</v>
      </c>
      <c r="Q40">
        <v>11</v>
      </c>
      <c r="R40">
        <v>9</v>
      </c>
      <c r="S40">
        <v>131</v>
      </c>
      <c r="T40">
        <v>28.5</v>
      </c>
      <c r="U40">
        <v>52</v>
      </c>
      <c r="V40">
        <v>43</v>
      </c>
      <c r="W40">
        <v>71</v>
      </c>
      <c r="X40">
        <v>233</v>
      </c>
      <c r="Y40">
        <v>544</v>
      </c>
      <c r="Z40">
        <v>10</v>
      </c>
    </row>
    <row r="41" spans="1:26" x14ac:dyDescent="0.25">
      <c r="A41" t="s">
        <v>105</v>
      </c>
      <c r="B41" t="s">
        <v>106</v>
      </c>
      <c r="C41" t="s">
        <v>107</v>
      </c>
      <c r="D41">
        <v>135</v>
      </c>
      <c r="E41">
        <v>35</v>
      </c>
      <c r="F41">
        <v>6</v>
      </c>
      <c r="G41">
        <v>28</v>
      </c>
      <c r="H41">
        <v>25</v>
      </c>
      <c r="I41">
        <v>138</v>
      </c>
      <c r="J41">
        <v>65.5</v>
      </c>
      <c r="K41">
        <v>5</v>
      </c>
      <c r="L41">
        <v>24</v>
      </c>
      <c r="M41">
        <v>72</v>
      </c>
      <c r="N41">
        <v>9</v>
      </c>
      <c r="O41">
        <v>29</v>
      </c>
      <c r="P41">
        <v>4</v>
      </c>
      <c r="Q41">
        <v>8.5</v>
      </c>
      <c r="R41">
        <v>11</v>
      </c>
      <c r="S41">
        <v>188</v>
      </c>
      <c r="T41">
        <v>34</v>
      </c>
      <c r="U41">
        <v>70</v>
      </c>
      <c r="V41">
        <v>119</v>
      </c>
      <c r="W41">
        <v>119</v>
      </c>
      <c r="X41">
        <v>449</v>
      </c>
      <c r="Y41">
        <v>416</v>
      </c>
      <c r="Z41">
        <v>10</v>
      </c>
    </row>
    <row r="42" spans="1:26" x14ac:dyDescent="0.25">
      <c r="A42" t="s">
        <v>108</v>
      </c>
      <c r="B42" t="s">
        <v>109</v>
      </c>
      <c r="C42" t="s">
        <v>110</v>
      </c>
      <c r="D42">
        <v>308.5</v>
      </c>
      <c r="E42">
        <v>12</v>
      </c>
      <c r="F42">
        <v>9</v>
      </c>
      <c r="G42">
        <v>44</v>
      </c>
      <c r="H42">
        <v>25</v>
      </c>
      <c r="I42">
        <v>78.5</v>
      </c>
      <c r="J42">
        <v>73.5</v>
      </c>
      <c r="K42">
        <v>7.5</v>
      </c>
      <c r="L42">
        <v>34</v>
      </c>
      <c r="M42">
        <v>102.5</v>
      </c>
      <c r="N42">
        <v>8.5</v>
      </c>
      <c r="O42">
        <v>27</v>
      </c>
      <c r="P42">
        <v>6</v>
      </c>
      <c r="Q42">
        <v>14</v>
      </c>
      <c r="R42">
        <v>9</v>
      </c>
      <c r="S42">
        <v>97</v>
      </c>
      <c r="T42">
        <v>50</v>
      </c>
      <c r="U42">
        <v>43.5</v>
      </c>
      <c r="V42">
        <v>47</v>
      </c>
      <c r="W42">
        <v>62</v>
      </c>
      <c r="X42">
        <v>252</v>
      </c>
      <c r="Y42">
        <v>228</v>
      </c>
      <c r="Z42">
        <v>14</v>
      </c>
    </row>
    <row r="43" spans="1:26" x14ac:dyDescent="0.25">
      <c r="A43" t="s">
        <v>111</v>
      </c>
      <c r="B43" t="s">
        <v>112</v>
      </c>
      <c r="C43" t="s">
        <v>113</v>
      </c>
      <c r="D43">
        <v>288.5</v>
      </c>
      <c r="E43">
        <v>27</v>
      </c>
      <c r="F43">
        <v>8.5</v>
      </c>
      <c r="G43">
        <v>83</v>
      </c>
      <c r="H43">
        <v>29</v>
      </c>
      <c r="I43">
        <v>90</v>
      </c>
      <c r="J43">
        <v>77</v>
      </c>
      <c r="K43">
        <v>18.5</v>
      </c>
      <c r="L43">
        <v>36.5</v>
      </c>
      <c r="M43">
        <v>151</v>
      </c>
      <c r="N43">
        <v>16</v>
      </c>
      <c r="O43">
        <v>84</v>
      </c>
      <c r="P43">
        <v>6</v>
      </c>
      <c r="Q43">
        <v>13</v>
      </c>
      <c r="R43">
        <v>12</v>
      </c>
      <c r="S43">
        <v>130.5</v>
      </c>
      <c r="T43">
        <v>102.5</v>
      </c>
      <c r="U43">
        <v>43</v>
      </c>
      <c r="V43">
        <v>48</v>
      </c>
      <c r="W43">
        <v>136.5</v>
      </c>
      <c r="X43">
        <v>424</v>
      </c>
      <c r="Y43">
        <v>265</v>
      </c>
      <c r="Z43">
        <v>22</v>
      </c>
    </row>
    <row r="44" spans="1:26" x14ac:dyDescent="0.25">
      <c r="A44" t="s">
        <v>114</v>
      </c>
      <c r="B44" t="s">
        <v>115</v>
      </c>
      <c r="C44" t="s">
        <v>116</v>
      </c>
      <c r="D44">
        <v>120</v>
      </c>
      <c r="E44">
        <v>13</v>
      </c>
      <c r="F44">
        <v>9.5</v>
      </c>
      <c r="G44">
        <v>29</v>
      </c>
      <c r="H44">
        <v>18</v>
      </c>
      <c r="I44">
        <v>22</v>
      </c>
      <c r="J44">
        <v>75</v>
      </c>
      <c r="K44">
        <v>5</v>
      </c>
      <c r="L44">
        <v>30</v>
      </c>
      <c r="M44">
        <v>59</v>
      </c>
      <c r="N44">
        <v>7</v>
      </c>
      <c r="O44">
        <v>29.5</v>
      </c>
      <c r="P44">
        <v>5.5</v>
      </c>
      <c r="Q44">
        <v>12</v>
      </c>
      <c r="R44">
        <v>9</v>
      </c>
      <c r="S44">
        <v>97.5</v>
      </c>
      <c r="T44">
        <v>29</v>
      </c>
      <c r="U44">
        <v>20</v>
      </c>
      <c r="V44">
        <v>10</v>
      </c>
      <c r="W44">
        <v>38.5</v>
      </c>
      <c r="X44">
        <v>107</v>
      </c>
      <c r="Y44">
        <v>216</v>
      </c>
      <c r="Z44">
        <v>11</v>
      </c>
    </row>
    <row r="45" spans="1:26" x14ac:dyDescent="0.25">
      <c r="A45" t="s">
        <v>117</v>
      </c>
      <c r="B45" t="s">
        <v>118</v>
      </c>
      <c r="C45" t="s">
        <v>119</v>
      </c>
      <c r="D45">
        <v>220.5</v>
      </c>
      <c r="E45">
        <v>12</v>
      </c>
      <c r="F45">
        <v>8</v>
      </c>
      <c r="G45">
        <v>39</v>
      </c>
      <c r="H45">
        <v>20.5</v>
      </c>
      <c r="I45">
        <v>101</v>
      </c>
      <c r="J45">
        <v>71.5</v>
      </c>
      <c r="K45">
        <v>7</v>
      </c>
      <c r="L45">
        <v>29</v>
      </c>
      <c r="M45">
        <v>78</v>
      </c>
      <c r="N45">
        <v>7</v>
      </c>
      <c r="O45">
        <v>22</v>
      </c>
      <c r="P45">
        <v>5.5</v>
      </c>
      <c r="Q45">
        <v>11</v>
      </c>
      <c r="R45">
        <v>7</v>
      </c>
      <c r="S45">
        <v>85</v>
      </c>
      <c r="T45">
        <v>33.5</v>
      </c>
      <c r="U45">
        <v>29</v>
      </c>
      <c r="V45">
        <v>27</v>
      </c>
      <c r="W45">
        <v>44</v>
      </c>
      <c r="X45">
        <v>231</v>
      </c>
      <c r="Y45">
        <v>390</v>
      </c>
      <c r="Z45">
        <v>10</v>
      </c>
    </row>
    <row r="46" spans="1:26" x14ac:dyDescent="0.25">
      <c r="A46" t="s">
        <v>120</v>
      </c>
      <c r="B46" t="s">
        <v>121</v>
      </c>
      <c r="C46" t="s">
        <v>122</v>
      </c>
      <c r="D46">
        <v>272.5</v>
      </c>
      <c r="E46">
        <v>40</v>
      </c>
      <c r="F46">
        <v>9</v>
      </c>
      <c r="G46">
        <v>32</v>
      </c>
      <c r="H46">
        <v>21</v>
      </c>
      <c r="I46">
        <v>193.5</v>
      </c>
      <c r="J46">
        <v>74</v>
      </c>
      <c r="K46">
        <v>8</v>
      </c>
      <c r="L46">
        <v>39</v>
      </c>
      <c r="M46">
        <v>79</v>
      </c>
      <c r="N46">
        <v>10</v>
      </c>
      <c r="O46">
        <v>14</v>
      </c>
      <c r="P46">
        <v>7</v>
      </c>
      <c r="Q46">
        <v>12.5</v>
      </c>
      <c r="R46">
        <v>9</v>
      </c>
      <c r="S46">
        <v>208</v>
      </c>
      <c r="T46">
        <v>27.5</v>
      </c>
      <c r="U46">
        <v>129.5</v>
      </c>
      <c r="V46">
        <v>237</v>
      </c>
      <c r="W46">
        <v>148</v>
      </c>
      <c r="X46">
        <v>691.5</v>
      </c>
      <c r="Y46">
        <v>461</v>
      </c>
      <c r="Z46">
        <v>12</v>
      </c>
    </row>
    <row r="47" spans="1:26" x14ac:dyDescent="0.25">
      <c r="A47" t="s">
        <v>123</v>
      </c>
      <c r="B47" t="s">
        <v>124</v>
      </c>
      <c r="C47" t="s">
        <v>125</v>
      </c>
      <c r="D47">
        <v>346</v>
      </c>
      <c r="E47">
        <v>12.5</v>
      </c>
      <c r="F47">
        <v>8</v>
      </c>
      <c r="G47">
        <v>37</v>
      </c>
      <c r="H47">
        <v>21</v>
      </c>
      <c r="I47">
        <v>67</v>
      </c>
      <c r="J47">
        <v>69.5</v>
      </c>
      <c r="K47">
        <v>6</v>
      </c>
      <c r="L47">
        <v>31</v>
      </c>
      <c r="M47">
        <v>81</v>
      </c>
      <c r="N47">
        <v>7</v>
      </c>
      <c r="O47">
        <v>15</v>
      </c>
      <c r="P47">
        <v>6</v>
      </c>
      <c r="Q47">
        <v>10</v>
      </c>
      <c r="R47">
        <v>9</v>
      </c>
      <c r="S47">
        <v>92.5</v>
      </c>
      <c r="T47">
        <v>31</v>
      </c>
      <c r="U47">
        <v>36</v>
      </c>
      <c r="V47">
        <v>28.5</v>
      </c>
      <c r="W47">
        <v>37</v>
      </c>
      <c r="X47">
        <v>140</v>
      </c>
      <c r="Y47">
        <v>222.5</v>
      </c>
      <c r="Z47">
        <v>11.5</v>
      </c>
    </row>
    <row r="48" spans="1:26" x14ac:dyDescent="0.25">
      <c r="A48" t="s">
        <v>127</v>
      </c>
      <c r="B48" t="s">
        <v>128</v>
      </c>
      <c r="C48" t="s">
        <v>129</v>
      </c>
      <c r="D48">
        <v>854</v>
      </c>
      <c r="E48">
        <v>19</v>
      </c>
      <c r="F48">
        <v>9</v>
      </c>
      <c r="G48">
        <v>94.5</v>
      </c>
      <c r="H48">
        <v>25</v>
      </c>
      <c r="I48">
        <v>153.5</v>
      </c>
      <c r="J48">
        <v>72</v>
      </c>
      <c r="K48">
        <v>14</v>
      </c>
      <c r="L48">
        <v>36</v>
      </c>
      <c r="M48">
        <v>129.5</v>
      </c>
      <c r="N48">
        <v>12</v>
      </c>
      <c r="O48">
        <v>50</v>
      </c>
      <c r="P48">
        <v>6</v>
      </c>
      <c r="Q48">
        <v>13</v>
      </c>
      <c r="R48">
        <v>10</v>
      </c>
      <c r="S48">
        <v>128</v>
      </c>
      <c r="T48">
        <v>111</v>
      </c>
      <c r="U48">
        <v>57</v>
      </c>
      <c r="V48">
        <v>70</v>
      </c>
      <c r="W48">
        <v>114</v>
      </c>
      <c r="X48">
        <v>518</v>
      </c>
      <c r="Y48">
        <v>1161.5</v>
      </c>
      <c r="Z48">
        <v>20</v>
      </c>
    </row>
    <row r="49" spans="1:26" x14ac:dyDescent="0.25">
      <c r="A49" t="s">
        <v>130</v>
      </c>
      <c r="B49" t="s">
        <v>131</v>
      </c>
      <c r="C49" t="s">
        <v>132</v>
      </c>
      <c r="D49">
        <v>617</v>
      </c>
      <c r="E49">
        <v>16</v>
      </c>
      <c r="F49">
        <v>10</v>
      </c>
      <c r="G49">
        <v>83</v>
      </c>
      <c r="H49">
        <v>23</v>
      </c>
      <c r="I49">
        <v>52</v>
      </c>
      <c r="J49">
        <v>78.5</v>
      </c>
      <c r="K49">
        <v>21</v>
      </c>
      <c r="L49">
        <v>37</v>
      </c>
      <c r="M49">
        <v>108</v>
      </c>
      <c r="N49">
        <v>12.5</v>
      </c>
      <c r="O49">
        <v>59.5</v>
      </c>
      <c r="P49">
        <v>7</v>
      </c>
      <c r="Q49">
        <v>15</v>
      </c>
      <c r="R49">
        <v>11</v>
      </c>
      <c r="S49">
        <v>99.5</v>
      </c>
      <c r="T49">
        <v>97.5</v>
      </c>
      <c r="U49">
        <v>31</v>
      </c>
      <c r="V49">
        <v>17</v>
      </c>
      <c r="W49">
        <v>39</v>
      </c>
      <c r="X49">
        <v>89.5</v>
      </c>
      <c r="Y49">
        <v>834</v>
      </c>
      <c r="Z49">
        <v>20</v>
      </c>
    </row>
    <row r="50" spans="1:26" x14ac:dyDescent="0.25">
      <c r="A50" t="s">
        <v>133</v>
      </c>
      <c r="B50" t="s">
        <v>134</v>
      </c>
      <c r="C50" t="s">
        <v>135</v>
      </c>
      <c r="D50">
        <v>602.5</v>
      </c>
      <c r="E50">
        <v>14</v>
      </c>
      <c r="F50">
        <v>7.5</v>
      </c>
      <c r="G50">
        <v>30</v>
      </c>
      <c r="H50">
        <v>18</v>
      </c>
      <c r="I50">
        <v>132</v>
      </c>
      <c r="J50">
        <v>75</v>
      </c>
      <c r="K50">
        <v>5</v>
      </c>
      <c r="L50">
        <v>28</v>
      </c>
      <c r="M50">
        <v>67</v>
      </c>
      <c r="N50">
        <v>7</v>
      </c>
      <c r="O50">
        <v>15.5</v>
      </c>
      <c r="P50">
        <v>6</v>
      </c>
      <c r="Q50">
        <v>12</v>
      </c>
      <c r="R50">
        <v>8</v>
      </c>
      <c r="S50">
        <v>101</v>
      </c>
      <c r="T50">
        <v>31</v>
      </c>
      <c r="U50">
        <v>47</v>
      </c>
      <c r="V50">
        <v>22.5</v>
      </c>
      <c r="W50">
        <v>49.5</v>
      </c>
      <c r="X50">
        <v>226</v>
      </c>
      <c r="Y50">
        <v>1220</v>
      </c>
      <c r="Z50">
        <v>12</v>
      </c>
    </row>
    <row r="51" spans="1:26" x14ac:dyDescent="0.25">
      <c r="A51" t="s">
        <v>136</v>
      </c>
      <c r="B51" t="s">
        <v>137</v>
      </c>
      <c r="C51" t="s">
        <v>138</v>
      </c>
      <c r="D51">
        <v>298</v>
      </c>
      <c r="E51">
        <v>14</v>
      </c>
      <c r="F51">
        <v>9</v>
      </c>
      <c r="G51">
        <v>27</v>
      </c>
      <c r="H51">
        <v>18.5</v>
      </c>
      <c r="I51">
        <v>77</v>
      </c>
      <c r="J51">
        <v>70</v>
      </c>
      <c r="K51">
        <v>5</v>
      </c>
      <c r="L51">
        <v>42</v>
      </c>
      <c r="M51">
        <v>70</v>
      </c>
      <c r="N51">
        <v>8</v>
      </c>
      <c r="O51">
        <v>13</v>
      </c>
      <c r="P51">
        <v>5.5</v>
      </c>
      <c r="Q51">
        <v>10</v>
      </c>
      <c r="R51">
        <v>11</v>
      </c>
      <c r="S51">
        <v>121</v>
      </c>
      <c r="T51">
        <v>26</v>
      </c>
      <c r="U51">
        <v>56</v>
      </c>
      <c r="V51">
        <v>50</v>
      </c>
      <c r="W51">
        <v>49</v>
      </c>
      <c r="X51">
        <v>185</v>
      </c>
      <c r="Y51">
        <v>208</v>
      </c>
      <c r="Z51">
        <v>9</v>
      </c>
    </row>
    <row r="52" spans="1:26" x14ac:dyDescent="0.25">
      <c r="A52" t="s">
        <v>139</v>
      </c>
      <c r="B52" t="s">
        <v>140</v>
      </c>
      <c r="C52" t="s">
        <v>141</v>
      </c>
      <c r="D52">
        <v>293</v>
      </c>
      <c r="E52">
        <v>22</v>
      </c>
      <c r="F52">
        <v>8</v>
      </c>
      <c r="G52">
        <v>30.5</v>
      </c>
      <c r="H52">
        <v>19</v>
      </c>
      <c r="I52">
        <v>87.5</v>
      </c>
      <c r="J52">
        <v>68</v>
      </c>
      <c r="K52">
        <v>8</v>
      </c>
      <c r="L52">
        <v>42</v>
      </c>
      <c r="M52">
        <v>104</v>
      </c>
      <c r="N52">
        <v>12</v>
      </c>
      <c r="O52">
        <v>19</v>
      </c>
      <c r="P52">
        <v>5</v>
      </c>
      <c r="Q52">
        <v>13</v>
      </c>
      <c r="R52">
        <v>9</v>
      </c>
      <c r="S52">
        <v>138</v>
      </c>
      <c r="T52">
        <v>28</v>
      </c>
      <c r="U52">
        <v>123</v>
      </c>
      <c r="V52">
        <v>68</v>
      </c>
      <c r="W52">
        <v>54</v>
      </c>
      <c r="X52">
        <v>226</v>
      </c>
      <c r="Y52">
        <v>103</v>
      </c>
      <c r="Z52">
        <v>11</v>
      </c>
    </row>
    <row r="53" spans="1:26" x14ac:dyDescent="0.25">
      <c r="A53" t="s">
        <v>142</v>
      </c>
      <c r="B53" t="s">
        <v>143</v>
      </c>
      <c r="C53" t="s">
        <v>144</v>
      </c>
      <c r="D53">
        <v>447.5</v>
      </c>
      <c r="E53">
        <v>14</v>
      </c>
      <c r="F53">
        <v>8</v>
      </c>
      <c r="G53">
        <v>36</v>
      </c>
      <c r="H53">
        <v>23</v>
      </c>
      <c r="I53">
        <v>104</v>
      </c>
      <c r="J53">
        <v>74</v>
      </c>
      <c r="K53">
        <v>6</v>
      </c>
      <c r="L53">
        <v>29</v>
      </c>
      <c r="M53">
        <v>58.5</v>
      </c>
      <c r="N53">
        <v>8</v>
      </c>
      <c r="O53">
        <v>12.5</v>
      </c>
      <c r="P53">
        <v>5</v>
      </c>
      <c r="Q53">
        <v>14.5</v>
      </c>
      <c r="R53">
        <v>10</v>
      </c>
      <c r="S53">
        <v>88.5</v>
      </c>
      <c r="T53">
        <v>29</v>
      </c>
      <c r="U53">
        <v>42</v>
      </c>
      <c r="V53">
        <v>17</v>
      </c>
      <c r="W53">
        <v>82</v>
      </c>
      <c r="X53">
        <v>276</v>
      </c>
      <c r="Y53">
        <v>1044.5</v>
      </c>
      <c r="Z53">
        <v>11</v>
      </c>
    </row>
    <row r="54" spans="1:26" x14ac:dyDescent="0.25">
      <c r="A54" t="s">
        <v>145</v>
      </c>
      <c r="B54" t="s">
        <v>146</v>
      </c>
      <c r="C54" t="s">
        <v>147</v>
      </c>
      <c r="D54">
        <v>259</v>
      </c>
      <c r="E54">
        <v>14</v>
      </c>
      <c r="F54">
        <v>9</v>
      </c>
      <c r="G54">
        <v>26</v>
      </c>
      <c r="H54">
        <v>23</v>
      </c>
      <c r="I54">
        <v>115.5</v>
      </c>
      <c r="J54">
        <v>69</v>
      </c>
      <c r="K54">
        <v>6</v>
      </c>
      <c r="L54">
        <v>38.5</v>
      </c>
      <c r="M54">
        <v>81</v>
      </c>
      <c r="N54">
        <v>7.5</v>
      </c>
      <c r="O54">
        <v>11</v>
      </c>
      <c r="P54">
        <v>6</v>
      </c>
      <c r="Q54">
        <v>12</v>
      </c>
      <c r="R54">
        <v>9</v>
      </c>
      <c r="S54">
        <v>106</v>
      </c>
      <c r="T54">
        <v>29</v>
      </c>
      <c r="U54">
        <v>41</v>
      </c>
      <c r="V54">
        <v>21.5</v>
      </c>
      <c r="W54">
        <v>35</v>
      </c>
      <c r="X54">
        <v>149</v>
      </c>
      <c r="Y54">
        <v>187</v>
      </c>
      <c r="Z54">
        <v>9</v>
      </c>
    </row>
    <row r="55" spans="1:26" x14ac:dyDescent="0.25">
      <c r="A55" t="s">
        <v>148</v>
      </c>
      <c r="B55" t="s">
        <v>149</v>
      </c>
      <c r="C55" t="s">
        <v>150</v>
      </c>
      <c r="D55">
        <v>369</v>
      </c>
      <c r="E55">
        <v>17</v>
      </c>
      <c r="F55">
        <v>7</v>
      </c>
      <c r="G55">
        <v>30.5</v>
      </c>
      <c r="H55">
        <v>24.5</v>
      </c>
      <c r="I55">
        <v>171</v>
      </c>
      <c r="J55">
        <v>72</v>
      </c>
      <c r="K55">
        <v>5</v>
      </c>
      <c r="L55">
        <v>27</v>
      </c>
      <c r="M55">
        <v>58</v>
      </c>
      <c r="N55">
        <v>8</v>
      </c>
      <c r="O55">
        <v>14</v>
      </c>
      <c r="P55">
        <v>8</v>
      </c>
      <c r="Q55">
        <v>11</v>
      </c>
      <c r="R55">
        <v>10</v>
      </c>
      <c r="S55">
        <v>105</v>
      </c>
      <c r="T55">
        <v>32</v>
      </c>
      <c r="U55">
        <v>114.5</v>
      </c>
      <c r="V55">
        <v>105</v>
      </c>
      <c r="W55">
        <v>127</v>
      </c>
      <c r="X55">
        <v>643.5</v>
      </c>
      <c r="Y55">
        <v>2183</v>
      </c>
      <c r="Z55">
        <v>11</v>
      </c>
    </row>
    <row r="56" spans="1:26" x14ac:dyDescent="0.25">
      <c r="A56" t="s">
        <v>151</v>
      </c>
      <c r="B56" t="s">
        <v>152</v>
      </c>
      <c r="C56" t="s">
        <v>153</v>
      </c>
      <c r="D56">
        <v>281</v>
      </c>
      <c r="E56">
        <v>12</v>
      </c>
      <c r="F56">
        <v>8</v>
      </c>
      <c r="G56">
        <v>46.5</v>
      </c>
      <c r="H56">
        <v>24</v>
      </c>
      <c r="I56">
        <v>31</v>
      </c>
      <c r="J56">
        <v>67.5</v>
      </c>
      <c r="K56">
        <v>8</v>
      </c>
      <c r="L56">
        <v>35</v>
      </c>
      <c r="M56">
        <v>86</v>
      </c>
      <c r="N56">
        <v>9</v>
      </c>
      <c r="O56">
        <v>23</v>
      </c>
      <c r="P56">
        <v>6</v>
      </c>
      <c r="Q56">
        <v>13</v>
      </c>
      <c r="R56">
        <v>10</v>
      </c>
      <c r="S56">
        <v>85</v>
      </c>
      <c r="T56">
        <v>32.5</v>
      </c>
      <c r="U56">
        <v>27</v>
      </c>
      <c r="V56">
        <v>13</v>
      </c>
      <c r="W56">
        <v>35.5</v>
      </c>
      <c r="X56">
        <v>88</v>
      </c>
      <c r="Y56">
        <v>475</v>
      </c>
      <c r="Z56">
        <v>14</v>
      </c>
    </row>
    <row r="57" spans="1:26" x14ac:dyDescent="0.25">
      <c r="A57" t="s">
        <v>154</v>
      </c>
      <c r="B57" t="s">
        <v>155</v>
      </c>
      <c r="C57" t="s">
        <v>156</v>
      </c>
      <c r="D57">
        <v>329</v>
      </c>
      <c r="E57">
        <v>127</v>
      </c>
      <c r="F57">
        <v>11</v>
      </c>
      <c r="G57">
        <v>35</v>
      </c>
      <c r="H57">
        <v>33.5</v>
      </c>
      <c r="I57">
        <v>313</v>
      </c>
      <c r="J57">
        <v>94</v>
      </c>
      <c r="K57">
        <v>6</v>
      </c>
      <c r="L57">
        <v>35</v>
      </c>
      <c r="M57">
        <v>201</v>
      </c>
      <c r="N57">
        <v>15</v>
      </c>
      <c r="O57">
        <v>13</v>
      </c>
      <c r="P57">
        <v>10</v>
      </c>
      <c r="Q57">
        <v>14</v>
      </c>
      <c r="R57">
        <v>13.5</v>
      </c>
      <c r="S57">
        <v>256.5</v>
      </c>
      <c r="T57">
        <v>33</v>
      </c>
      <c r="U57">
        <v>481</v>
      </c>
      <c r="V57">
        <v>681.5</v>
      </c>
      <c r="W57">
        <v>251</v>
      </c>
      <c r="X57">
        <v>1673.5</v>
      </c>
      <c r="Y57">
        <v>1469</v>
      </c>
      <c r="Z57">
        <v>15</v>
      </c>
    </row>
    <row r="58" spans="1:26" x14ac:dyDescent="0.25">
      <c r="A58" t="s">
        <v>157</v>
      </c>
      <c r="B58" t="s">
        <v>158</v>
      </c>
      <c r="C58" t="s">
        <v>159</v>
      </c>
      <c r="D58">
        <v>713</v>
      </c>
      <c r="E58">
        <v>23</v>
      </c>
      <c r="F58">
        <v>12.5</v>
      </c>
      <c r="G58">
        <v>37</v>
      </c>
      <c r="H58">
        <v>21</v>
      </c>
      <c r="I58">
        <v>158</v>
      </c>
      <c r="J58">
        <v>84.5</v>
      </c>
      <c r="K58">
        <v>5</v>
      </c>
      <c r="L58">
        <v>35</v>
      </c>
      <c r="M58">
        <v>76</v>
      </c>
      <c r="N58">
        <v>8</v>
      </c>
      <c r="O58">
        <v>14</v>
      </c>
      <c r="P58">
        <v>7</v>
      </c>
      <c r="Q58">
        <v>12.5</v>
      </c>
      <c r="R58">
        <v>10</v>
      </c>
      <c r="S58">
        <v>117</v>
      </c>
      <c r="T58">
        <v>35</v>
      </c>
      <c r="U58">
        <v>38</v>
      </c>
      <c r="V58">
        <v>29</v>
      </c>
      <c r="W58">
        <v>63</v>
      </c>
      <c r="X58">
        <v>233</v>
      </c>
      <c r="Y58">
        <v>1044</v>
      </c>
      <c r="Z58">
        <v>11</v>
      </c>
    </row>
    <row r="59" spans="1:26" x14ac:dyDescent="0.25">
      <c r="A59" t="s">
        <v>160</v>
      </c>
      <c r="B59" t="s">
        <v>161</v>
      </c>
      <c r="C59" t="s">
        <v>162</v>
      </c>
      <c r="D59">
        <v>571</v>
      </c>
      <c r="E59">
        <v>16</v>
      </c>
      <c r="F59">
        <v>10</v>
      </c>
      <c r="G59">
        <v>35.5</v>
      </c>
      <c r="H59">
        <v>27</v>
      </c>
      <c r="I59">
        <v>81</v>
      </c>
      <c r="J59">
        <v>96.5</v>
      </c>
      <c r="K59">
        <v>7.5</v>
      </c>
      <c r="L59">
        <v>47</v>
      </c>
      <c r="M59">
        <v>65</v>
      </c>
      <c r="N59">
        <v>9</v>
      </c>
      <c r="O59">
        <v>15</v>
      </c>
      <c r="P59">
        <v>9</v>
      </c>
      <c r="Q59">
        <v>14</v>
      </c>
      <c r="R59">
        <v>12</v>
      </c>
      <c r="S59">
        <v>124</v>
      </c>
      <c r="T59">
        <v>39.5</v>
      </c>
      <c r="U59">
        <v>49</v>
      </c>
      <c r="V59">
        <v>28.5</v>
      </c>
      <c r="W59">
        <v>46.5</v>
      </c>
      <c r="X59">
        <v>124</v>
      </c>
      <c r="Y59">
        <v>681</v>
      </c>
      <c r="Z59">
        <v>12</v>
      </c>
    </row>
    <row r="60" spans="1:26" x14ac:dyDescent="0.25">
      <c r="A60" t="s">
        <v>163</v>
      </c>
      <c r="B60" t="s">
        <v>164</v>
      </c>
      <c r="C60" t="s">
        <v>165</v>
      </c>
      <c r="D60">
        <v>853</v>
      </c>
      <c r="E60">
        <v>21.5</v>
      </c>
      <c r="F60">
        <v>11</v>
      </c>
      <c r="G60">
        <v>37.5</v>
      </c>
      <c r="H60">
        <v>30</v>
      </c>
      <c r="I60">
        <v>283</v>
      </c>
      <c r="J60">
        <v>98</v>
      </c>
      <c r="K60">
        <v>5.5</v>
      </c>
      <c r="L60">
        <v>45.5</v>
      </c>
      <c r="M60">
        <v>77.5</v>
      </c>
      <c r="N60">
        <v>9.5</v>
      </c>
      <c r="O60">
        <v>16</v>
      </c>
      <c r="P60">
        <v>7</v>
      </c>
      <c r="Q60">
        <v>18</v>
      </c>
      <c r="R60">
        <v>13.5</v>
      </c>
      <c r="S60">
        <v>147</v>
      </c>
      <c r="T60">
        <v>40</v>
      </c>
      <c r="U60">
        <v>39.5</v>
      </c>
      <c r="V60">
        <v>60.5</v>
      </c>
      <c r="W60">
        <v>79.5</v>
      </c>
      <c r="X60">
        <v>414.5</v>
      </c>
      <c r="Y60">
        <v>1342</v>
      </c>
      <c r="Z60">
        <v>10.5</v>
      </c>
    </row>
    <row r="61" spans="1:26" x14ac:dyDescent="0.25">
      <c r="A61" t="s">
        <v>166</v>
      </c>
      <c r="B61" t="s">
        <v>167</v>
      </c>
      <c r="C61" t="s">
        <v>168</v>
      </c>
      <c r="D61">
        <v>230</v>
      </c>
      <c r="E61">
        <v>16</v>
      </c>
      <c r="F61">
        <v>10</v>
      </c>
      <c r="G61">
        <v>31</v>
      </c>
      <c r="H61">
        <v>27.5</v>
      </c>
      <c r="I61">
        <v>126</v>
      </c>
      <c r="J61">
        <v>86.5</v>
      </c>
      <c r="K61">
        <v>6</v>
      </c>
      <c r="L61">
        <v>47</v>
      </c>
      <c r="M61">
        <v>92</v>
      </c>
      <c r="N61">
        <v>9</v>
      </c>
      <c r="O61">
        <v>14</v>
      </c>
      <c r="P61">
        <v>7</v>
      </c>
      <c r="Q61">
        <v>14.5</v>
      </c>
      <c r="R61">
        <v>10</v>
      </c>
      <c r="S61">
        <v>121</v>
      </c>
      <c r="T61">
        <v>35</v>
      </c>
      <c r="U61">
        <v>39</v>
      </c>
      <c r="V61">
        <v>28.5</v>
      </c>
      <c r="W61">
        <v>65</v>
      </c>
      <c r="X61">
        <v>292</v>
      </c>
      <c r="Y61">
        <v>805</v>
      </c>
      <c r="Z61">
        <v>13</v>
      </c>
    </row>
    <row r="62" spans="1:26" x14ac:dyDescent="0.25">
      <c r="A62" t="s">
        <v>169</v>
      </c>
      <c r="B62" t="s">
        <v>170</v>
      </c>
      <c r="C62" t="s">
        <v>171</v>
      </c>
      <c r="D62">
        <v>261.5</v>
      </c>
      <c r="E62">
        <v>19</v>
      </c>
      <c r="F62">
        <v>7.5</v>
      </c>
      <c r="G62">
        <v>35</v>
      </c>
      <c r="H62">
        <v>32.5</v>
      </c>
      <c r="I62">
        <v>95</v>
      </c>
      <c r="J62">
        <v>96.5</v>
      </c>
      <c r="K62">
        <v>8</v>
      </c>
      <c r="L62">
        <v>42.5</v>
      </c>
      <c r="M62">
        <v>96</v>
      </c>
      <c r="N62">
        <v>8</v>
      </c>
      <c r="O62">
        <v>14.5</v>
      </c>
      <c r="P62">
        <v>10</v>
      </c>
      <c r="Q62">
        <v>18</v>
      </c>
      <c r="R62">
        <v>14</v>
      </c>
      <c r="S62">
        <v>126</v>
      </c>
      <c r="T62">
        <v>32.5</v>
      </c>
      <c r="U62">
        <v>62</v>
      </c>
      <c r="V62">
        <v>34</v>
      </c>
      <c r="W62">
        <v>71</v>
      </c>
      <c r="X62">
        <v>194.5</v>
      </c>
      <c r="Y62">
        <v>876.5</v>
      </c>
      <c r="Z62">
        <v>14</v>
      </c>
    </row>
    <row r="63" spans="1:26" x14ac:dyDescent="0.25">
      <c r="A63" t="s">
        <v>173</v>
      </c>
      <c r="B63" t="s">
        <v>174</v>
      </c>
      <c r="C63" t="s">
        <v>175</v>
      </c>
      <c r="D63">
        <v>270.5</v>
      </c>
      <c r="E63">
        <v>18.5</v>
      </c>
      <c r="F63">
        <v>11</v>
      </c>
      <c r="G63">
        <v>32</v>
      </c>
      <c r="H63">
        <v>30.5</v>
      </c>
      <c r="I63">
        <v>125</v>
      </c>
      <c r="J63">
        <v>92.5</v>
      </c>
      <c r="K63">
        <v>4</v>
      </c>
      <c r="L63">
        <v>30</v>
      </c>
      <c r="M63">
        <v>78</v>
      </c>
      <c r="N63">
        <v>9</v>
      </c>
      <c r="O63">
        <v>10.5</v>
      </c>
      <c r="P63">
        <v>12</v>
      </c>
      <c r="Q63">
        <v>15</v>
      </c>
      <c r="R63">
        <v>13.5</v>
      </c>
      <c r="S63">
        <v>180.5</v>
      </c>
      <c r="T63">
        <v>32</v>
      </c>
      <c r="U63">
        <v>58.5</v>
      </c>
      <c r="V63">
        <v>34.5</v>
      </c>
      <c r="W63">
        <v>112</v>
      </c>
      <c r="X63">
        <v>348</v>
      </c>
      <c r="Y63">
        <v>1374</v>
      </c>
      <c r="Z63">
        <v>13</v>
      </c>
    </row>
    <row r="64" spans="1:26" x14ac:dyDescent="0.25">
      <c r="A64" t="s">
        <v>176</v>
      </c>
      <c r="B64" t="s">
        <v>177</v>
      </c>
      <c r="C64" t="s">
        <v>178</v>
      </c>
      <c r="D64">
        <v>862</v>
      </c>
      <c r="E64">
        <v>17</v>
      </c>
      <c r="F64">
        <v>12</v>
      </c>
      <c r="G64">
        <v>45</v>
      </c>
      <c r="H64">
        <v>35</v>
      </c>
      <c r="I64">
        <v>151</v>
      </c>
      <c r="J64">
        <v>107</v>
      </c>
      <c r="K64">
        <v>7</v>
      </c>
      <c r="L64">
        <v>45</v>
      </c>
      <c r="M64">
        <v>72</v>
      </c>
      <c r="N64">
        <v>12</v>
      </c>
      <c r="O64">
        <v>14</v>
      </c>
      <c r="P64">
        <v>10</v>
      </c>
      <c r="Q64">
        <v>19</v>
      </c>
      <c r="R64">
        <v>11</v>
      </c>
      <c r="S64">
        <v>152.5</v>
      </c>
      <c r="T64">
        <v>39</v>
      </c>
      <c r="U64">
        <v>46</v>
      </c>
      <c r="V64">
        <v>34</v>
      </c>
      <c r="W64">
        <v>110</v>
      </c>
      <c r="X64">
        <v>336</v>
      </c>
      <c r="Y64">
        <v>2048</v>
      </c>
      <c r="Z64">
        <v>15</v>
      </c>
    </row>
    <row r="65" spans="1:26" x14ac:dyDescent="0.25">
      <c r="A65" t="s">
        <v>179</v>
      </c>
      <c r="B65" t="s">
        <v>180</v>
      </c>
      <c r="C65" t="s">
        <v>181</v>
      </c>
      <c r="D65">
        <v>212</v>
      </c>
      <c r="E65">
        <v>13</v>
      </c>
      <c r="F65">
        <v>9</v>
      </c>
      <c r="G65">
        <v>25</v>
      </c>
      <c r="H65">
        <v>21</v>
      </c>
      <c r="I65">
        <v>46</v>
      </c>
      <c r="J65">
        <v>76</v>
      </c>
      <c r="K65">
        <v>6.5</v>
      </c>
      <c r="L65">
        <v>43</v>
      </c>
      <c r="M65">
        <v>50</v>
      </c>
      <c r="N65">
        <v>6</v>
      </c>
      <c r="O65">
        <v>11.5</v>
      </c>
      <c r="P65">
        <v>8</v>
      </c>
      <c r="Q65">
        <v>13</v>
      </c>
      <c r="R65">
        <v>13</v>
      </c>
      <c r="S65">
        <v>100.5</v>
      </c>
      <c r="T65">
        <v>29</v>
      </c>
      <c r="U65">
        <v>31</v>
      </c>
      <c r="V65">
        <v>7</v>
      </c>
      <c r="W65">
        <v>36</v>
      </c>
      <c r="X65">
        <v>86</v>
      </c>
      <c r="Y65">
        <v>264</v>
      </c>
      <c r="Z65">
        <v>11</v>
      </c>
    </row>
    <row r="66" spans="1:26" x14ac:dyDescent="0.25">
      <c r="A66" t="s">
        <v>182</v>
      </c>
      <c r="B66" t="s">
        <v>183</v>
      </c>
      <c r="C66" t="s">
        <v>184</v>
      </c>
      <c r="D66">
        <v>253</v>
      </c>
      <c r="E66">
        <v>18</v>
      </c>
      <c r="F66">
        <v>9</v>
      </c>
      <c r="G66">
        <v>31</v>
      </c>
      <c r="H66">
        <v>22</v>
      </c>
      <c r="I66">
        <v>99</v>
      </c>
      <c r="J66">
        <v>71</v>
      </c>
      <c r="K66">
        <v>5</v>
      </c>
      <c r="L66">
        <v>33.5</v>
      </c>
      <c r="M66">
        <v>49.5</v>
      </c>
      <c r="N66">
        <v>7</v>
      </c>
      <c r="O66">
        <v>10</v>
      </c>
      <c r="P66">
        <v>8</v>
      </c>
      <c r="Q66">
        <v>13</v>
      </c>
      <c r="R66">
        <v>8</v>
      </c>
      <c r="S66">
        <v>113.5</v>
      </c>
      <c r="T66">
        <v>29.5</v>
      </c>
      <c r="U66">
        <v>50.5</v>
      </c>
      <c r="V66">
        <v>24</v>
      </c>
      <c r="W66">
        <v>43.5</v>
      </c>
      <c r="X66">
        <v>144</v>
      </c>
      <c r="Y66">
        <v>388</v>
      </c>
      <c r="Z66">
        <v>8</v>
      </c>
    </row>
    <row r="67" spans="1:26" x14ac:dyDescent="0.25">
      <c r="A67" t="s">
        <v>185</v>
      </c>
      <c r="B67" t="s">
        <v>186</v>
      </c>
      <c r="C67" t="s">
        <v>187</v>
      </c>
      <c r="D67">
        <v>320.5</v>
      </c>
      <c r="E67">
        <v>14</v>
      </c>
      <c r="F67">
        <v>8</v>
      </c>
      <c r="G67">
        <v>19.5</v>
      </c>
      <c r="H67">
        <v>18</v>
      </c>
      <c r="I67">
        <v>99.5</v>
      </c>
      <c r="J67">
        <v>69</v>
      </c>
      <c r="K67">
        <v>4</v>
      </c>
      <c r="L67">
        <v>26</v>
      </c>
      <c r="M67">
        <v>34</v>
      </c>
      <c r="N67">
        <v>7</v>
      </c>
      <c r="O67">
        <v>7</v>
      </c>
      <c r="P67">
        <v>7</v>
      </c>
      <c r="Q67">
        <v>10.5</v>
      </c>
      <c r="R67">
        <v>9.5</v>
      </c>
      <c r="S67">
        <v>105</v>
      </c>
      <c r="T67">
        <v>28</v>
      </c>
      <c r="U67">
        <v>24</v>
      </c>
      <c r="V67">
        <v>14</v>
      </c>
      <c r="W67">
        <v>45.5</v>
      </c>
      <c r="X67">
        <v>113.5</v>
      </c>
      <c r="Y67">
        <v>512</v>
      </c>
      <c r="Z67">
        <v>9</v>
      </c>
    </row>
    <row r="68" spans="1:26" x14ac:dyDescent="0.25">
      <c r="A68" t="s">
        <v>188</v>
      </c>
      <c r="B68" t="s">
        <v>189</v>
      </c>
      <c r="C68" t="s">
        <v>190</v>
      </c>
      <c r="D68">
        <v>314</v>
      </c>
      <c r="E68">
        <v>25</v>
      </c>
      <c r="F68">
        <v>10</v>
      </c>
      <c r="G68">
        <v>28</v>
      </c>
      <c r="H68">
        <v>21</v>
      </c>
      <c r="I68">
        <v>150</v>
      </c>
      <c r="J68">
        <v>75.5</v>
      </c>
      <c r="K68">
        <v>6</v>
      </c>
      <c r="L68">
        <v>30.5</v>
      </c>
      <c r="M68">
        <v>74</v>
      </c>
      <c r="N68">
        <v>12</v>
      </c>
      <c r="O68">
        <v>9</v>
      </c>
      <c r="P68">
        <v>7</v>
      </c>
      <c r="Q68">
        <v>12</v>
      </c>
      <c r="R68">
        <v>10.5</v>
      </c>
      <c r="S68">
        <v>121</v>
      </c>
      <c r="T68">
        <v>23</v>
      </c>
      <c r="U68">
        <v>118</v>
      </c>
      <c r="V68">
        <v>53.5</v>
      </c>
      <c r="W68">
        <v>163.5</v>
      </c>
      <c r="X68">
        <v>505</v>
      </c>
      <c r="Y68">
        <v>490</v>
      </c>
      <c r="Z68">
        <v>9</v>
      </c>
    </row>
    <row r="69" spans="1:26" x14ac:dyDescent="0.25">
      <c r="A69" t="s">
        <v>191</v>
      </c>
      <c r="B69" t="s">
        <v>192</v>
      </c>
      <c r="C69" t="s">
        <v>193</v>
      </c>
      <c r="D69">
        <v>392</v>
      </c>
      <c r="E69">
        <v>12</v>
      </c>
      <c r="F69">
        <v>9</v>
      </c>
      <c r="G69">
        <v>22</v>
      </c>
      <c r="H69">
        <v>20.5</v>
      </c>
      <c r="I69">
        <v>100</v>
      </c>
      <c r="J69">
        <v>78</v>
      </c>
      <c r="K69">
        <v>5</v>
      </c>
      <c r="L69">
        <v>27</v>
      </c>
      <c r="M69">
        <v>42</v>
      </c>
      <c r="N69">
        <v>6</v>
      </c>
      <c r="O69">
        <v>11</v>
      </c>
      <c r="P69">
        <v>4.5</v>
      </c>
      <c r="Q69">
        <v>10</v>
      </c>
      <c r="R69">
        <v>7.5</v>
      </c>
      <c r="S69">
        <v>94</v>
      </c>
      <c r="T69">
        <v>28</v>
      </c>
      <c r="U69">
        <v>20.5</v>
      </c>
      <c r="V69">
        <v>13</v>
      </c>
      <c r="W69">
        <v>55.5</v>
      </c>
      <c r="X69">
        <v>144</v>
      </c>
      <c r="Y69">
        <v>750.5</v>
      </c>
      <c r="Z69">
        <v>10</v>
      </c>
    </row>
    <row r="70" spans="1:26" x14ac:dyDescent="0.25">
      <c r="A70" t="s">
        <v>194</v>
      </c>
      <c r="B70" t="s">
        <v>195</v>
      </c>
      <c r="C70" t="s">
        <v>196</v>
      </c>
      <c r="D70">
        <v>608.5</v>
      </c>
      <c r="E70">
        <v>16</v>
      </c>
      <c r="F70">
        <v>9</v>
      </c>
      <c r="G70">
        <v>43</v>
      </c>
      <c r="H70">
        <v>26</v>
      </c>
      <c r="I70">
        <v>47</v>
      </c>
      <c r="J70">
        <v>79</v>
      </c>
      <c r="K70">
        <v>8.5</v>
      </c>
      <c r="L70">
        <v>35</v>
      </c>
      <c r="M70">
        <v>88.5</v>
      </c>
      <c r="N70">
        <v>10</v>
      </c>
      <c r="O70">
        <v>26</v>
      </c>
      <c r="P70">
        <v>8.5</v>
      </c>
      <c r="Q70">
        <v>14</v>
      </c>
      <c r="R70">
        <v>10.5</v>
      </c>
      <c r="S70">
        <v>93</v>
      </c>
      <c r="T70">
        <v>60.5</v>
      </c>
      <c r="U70">
        <v>35</v>
      </c>
      <c r="V70">
        <v>22</v>
      </c>
      <c r="W70">
        <v>57</v>
      </c>
      <c r="X70">
        <v>135</v>
      </c>
      <c r="Y70">
        <v>1541</v>
      </c>
      <c r="Z70">
        <v>14</v>
      </c>
    </row>
    <row r="71" spans="1:26" x14ac:dyDescent="0.25">
      <c r="A71" t="s">
        <v>197</v>
      </c>
      <c r="B71" t="s">
        <v>198</v>
      </c>
      <c r="C71" t="s">
        <v>199</v>
      </c>
      <c r="D71">
        <v>243</v>
      </c>
      <c r="E71">
        <v>11</v>
      </c>
      <c r="F71">
        <v>7.5</v>
      </c>
      <c r="G71">
        <v>-7.5</v>
      </c>
      <c r="H71">
        <v>18</v>
      </c>
      <c r="I71">
        <v>129</v>
      </c>
      <c r="J71">
        <v>72</v>
      </c>
      <c r="K71">
        <v>5</v>
      </c>
      <c r="L71">
        <v>22.5</v>
      </c>
      <c r="M71">
        <v>36</v>
      </c>
      <c r="N71">
        <v>6</v>
      </c>
      <c r="O71">
        <v>9.5</v>
      </c>
      <c r="P71">
        <v>3</v>
      </c>
      <c r="Q71">
        <v>5</v>
      </c>
      <c r="R71">
        <v>6</v>
      </c>
      <c r="S71">
        <v>77</v>
      </c>
      <c r="T71">
        <v>21</v>
      </c>
      <c r="U71">
        <v>27</v>
      </c>
      <c r="V71">
        <v>13</v>
      </c>
      <c r="W71">
        <v>39</v>
      </c>
      <c r="X71">
        <v>96</v>
      </c>
      <c r="Y71">
        <v>919</v>
      </c>
      <c r="Z71">
        <v>8</v>
      </c>
    </row>
    <row r="72" spans="1:26" x14ac:dyDescent="0.25">
      <c r="A72" t="s">
        <v>200</v>
      </c>
      <c r="B72" t="s">
        <v>201</v>
      </c>
      <c r="C72" t="s">
        <v>202</v>
      </c>
      <c r="D72">
        <v>237</v>
      </c>
      <c r="E72">
        <v>12</v>
      </c>
      <c r="F72">
        <v>6</v>
      </c>
      <c r="G72">
        <v>26</v>
      </c>
      <c r="H72">
        <v>19</v>
      </c>
      <c r="I72">
        <v>219.5</v>
      </c>
      <c r="J72">
        <v>75</v>
      </c>
      <c r="K72">
        <v>5</v>
      </c>
      <c r="L72">
        <v>26</v>
      </c>
      <c r="M72">
        <v>53.5</v>
      </c>
      <c r="N72">
        <v>6</v>
      </c>
      <c r="O72">
        <v>8.5</v>
      </c>
      <c r="P72">
        <v>4</v>
      </c>
      <c r="Q72">
        <v>10</v>
      </c>
      <c r="R72">
        <v>11</v>
      </c>
      <c r="S72">
        <v>91</v>
      </c>
      <c r="T72">
        <v>26</v>
      </c>
      <c r="U72">
        <v>42</v>
      </c>
      <c r="V72">
        <v>16</v>
      </c>
      <c r="W72">
        <v>35</v>
      </c>
      <c r="X72">
        <v>84</v>
      </c>
      <c r="Y72">
        <v>366</v>
      </c>
      <c r="Z72">
        <v>9</v>
      </c>
    </row>
    <row r="73" spans="1:26" x14ac:dyDescent="0.25">
      <c r="A73" t="s">
        <v>203</v>
      </c>
      <c r="B73" t="s">
        <v>204</v>
      </c>
      <c r="C73" t="s">
        <v>205</v>
      </c>
      <c r="D73">
        <v>164.5</v>
      </c>
      <c r="E73">
        <v>10</v>
      </c>
      <c r="F73">
        <v>6</v>
      </c>
      <c r="G73">
        <v>18</v>
      </c>
      <c r="H73">
        <v>17</v>
      </c>
      <c r="I73">
        <v>87</v>
      </c>
      <c r="J73">
        <v>71</v>
      </c>
      <c r="K73">
        <v>5</v>
      </c>
      <c r="L73">
        <v>28</v>
      </c>
      <c r="M73">
        <v>29</v>
      </c>
      <c r="N73">
        <v>5</v>
      </c>
      <c r="O73">
        <v>8</v>
      </c>
      <c r="P73">
        <v>6</v>
      </c>
      <c r="Q73">
        <v>7</v>
      </c>
      <c r="R73">
        <v>7</v>
      </c>
      <c r="S73">
        <v>83</v>
      </c>
      <c r="T73">
        <v>24.5</v>
      </c>
      <c r="U73">
        <v>14</v>
      </c>
      <c r="V73">
        <v>6</v>
      </c>
      <c r="W73">
        <v>33</v>
      </c>
      <c r="X73">
        <v>88</v>
      </c>
      <c r="Y73">
        <v>569.5</v>
      </c>
      <c r="Z73">
        <v>8</v>
      </c>
    </row>
    <row r="74" spans="1:26" x14ac:dyDescent="0.25">
      <c r="A74" t="s">
        <v>206</v>
      </c>
      <c r="B74" t="s">
        <v>207</v>
      </c>
      <c r="C74" t="s">
        <v>208</v>
      </c>
      <c r="D74">
        <v>438</v>
      </c>
      <c r="E74">
        <v>38</v>
      </c>
      <c r="F74">
        <v>11</v>
      </c>
      <c r="G74">
        <v>33</v>
      </c>
      <c r="H74">
        <v>31</v>
      </c>
      <c r="I74">
        <v>1053</v>
      </c>
      <c r="J74">
        <v>86</v>
      </c>
      <c r="K74">
        <v>9</v>
      </c>
      <c r="L74">
        <v>27</v>
      </c>
      <c r="M74">
        <v>107.5</v>
      </c>
      <c r="N74">
        <v>24.5</v>
      </c>
      <c r="O74">
        <v>15</v>
      </c>
      <c r="P74">
        <v>13</v>
      </c>
      <c r="Q74">
        <v>19</v>
      </c>
      <c r="R74">
        <v>14.5</v>
      </c>
      <c r="S74">
        <v>289</v>
      </c>
      <c r="T74">
        <v>40.5</v>
      </c>
      <c r="U74">
        <v>156</v>
      </c>
      <c r="V74">
        <v>520.5</v>
      </c>
      <c r="W74">
        <v>1010.5</v>
      </c>
      <c r="X74">
        <v>2112.5</v>
      </c>
      <c r="Y74">
        <v>4924</v>
      </c>
      <c r="Z74">
        <v>10</v>
      </c>
    </row>
    <row r="75" spans="1:26" x14ac:dyDescent="0.25">
      <c r="A75" t="s">
        <v>209</v>
      </c>
      <c r="B75" t="s">
        <v>210</v>
      </c>
      <c r="C75" t="s">
        <v>211</v>
      </c>
      <c r="D75">
        <v>730</v>
      </c>
      <c r="E75">
        <v>127</v>
      </c>
      <c r="F75">
        <v>13</v>
      </c>
      <c r="G75">
        <v>46</v>
      </c>
      <c r="H75">
        <v>34</v>
      </c>
      <c r="I75">
        <v>1012</v>
      </c>
      <c r="J75">
        <v>94</v>
      </c>
      <c r="K75">
        <v>8</v>
      </c>
      <c r="L75">
        <v>31</v>
      </c>
      <c r="M75">
        <v>248</v>
      </c>
      <c r="N75">
        <v>26</v>
      </c>
      <c r="O75">
        <v>14</v>
      </c>
      <c r="P75">
        <v>9.5</v>
      </c>
      <c r="Q75">
        <v>18</v>
      </c>
      <c r="R75">
        <v>22</v>
      </c>
      <c r="S75">
        <v>562</v>
      </c>
      <c r="T75">
        <v>40.5</v>
      </c>
      <c r="U75">
        <v>1090</v>
      </c>
      <c r="V75">
        <v>604.5</v>
      </c>
      <c r="W75">
        <v>814</v>
      </c>
      <c r="X75">
        <v>1685.5</v>
      </c>
      <c r="Y75">
        <v>2449</v>
      </c>
      <c r="Z75">
        <v>13</v>
      </c>
    </row>
    <row r="76" spans="1:26" x14ac:dyDescent="0.25">
      <c r="A76" t="s">
        <v>212</v>
      </c>
      <c r="B76" t="s">
        <v>213</v>
      </c>
      <c r="C76" t="s">
        <v>214</v>
      </c>
      <c r="D76">
        <v>443</v>
      </c>
      <c r="E76">
        <v>11</v>
      </c>
      <c r="F76">
        <v>7</v>
      </c>
      <c r="G76">
        <v>21.5</v>
      </c>
      <c r="H76">
        <v>21</v>
      </c>
      <c r="I76">
        <v>142</v>
      </c>
      <c r="J76">
        <v>71</v>
      </c>
      <c r="K76">
        <v>6</v>
      </c>
      <c r="L76">
        <v>36</v>
      </c>
      <c r="M76">
        <v>37</v>
      </c>
      <c r="N76">
        <v>7</v>
      </c>
      <c r="O76">
        <v>13</v>
      </c>
      <c r="P76">
        <v>7</v>
      </c>
      <c r="Q76">
        <v>11</v>
      </c>
      <c r="R76">
        <v>9</v>
      </c>
      <c r="S76">
        <v>87</v>
      </c>
      <c r="T76">
        <v>26</v>
      </c>
      <c r="U76">
        <v>30.5</v>
      </c>
      <c r="V76">
        <v>15</v>
      </c>
      <c r="W76">
        <v>37.5</v>
      </c>
      <c r="X76">
        <v>97</v>
      </c>
      <c r="Y76">
        <v>1110</v>
      </c>
      <c r="Z76">
        <v>9</v>
      </c>
    </row>
    <row r="77" spans="1:26" x14ac:dyDescent="0.25">
      <c r="A77" t="s">
        <v>215</v>
      </c>
      <c r="B77" t="s">
        <v>216</v>
      </c>
      <c r="C77" t="s">
        <v>217</v>
      </c>
      <c r="D77">
        <v>284.5</v>
      </c>
      <c r="E77">
        <v>14</v>
      </c>
      <c r="F77">
        <v>7</v>
      </c>
      <c r="G77">
        <v>28</v>
      </c>
      <c r="H77">
        <v>30</v>
      </c>
      <c r="I77">
        <v>487</v>
      </c>
      <c r="J77">
        <v>80</v>
      </c>
      <c r="K77">
        <v>6</v>
      </c>
      <c r="L77">
        <v>33</v>
      </c>
      <c r="M77">
        <v>48.5</v>
      </c>
      <c r="N77">
        <v>9</v>
      </c>
      <c r="O77">
        <v>12</v>
      </c>
      <c r="P77">
        <v>5.5</v>
      </c>
      <c r="Q77">
        <v>12</v>
      </c>
      <c r="R77">
        <v>10</v>
      </c>
      <c r="S77">
        <v>103</v>
      </c>
      <c r="T77">
        <v>29</v>
      </c>
      <c r="U77">
        <v>83</v>
      </c>
      <c r="V77">
        <v>34</v>
      </c>
      <c r="W77">
        <v>186.5</v>
      </c>
      <c r="X77">
        <v>1078</v>
      </c>
      <c r="Y77">
        <v>1349</v>
      </c>
      <c r="Z77">
        <v>8</v>
      </c>
    </row>
    <row r="78" spans="1:26" x14ac:dyDescent="0.25">
      <c r="A78" t="s">
        <v>219</v>
      </c>
      <c r="B78" t="s">
        <v>220</v>
      </c>
      <c r="C78" t="s">
        <v>221</v>
      </c>
      <c r="D78">
        <v>1522</v>
      </c>
      <c r="E78">
        <v>79</v>
      </c>
      <c r="F78">
        <v>12</v>
      </c>
      <c r="G78">
        <v>37</v>
      </c>
      <c r="H78">
        <v>29</v>
      </c>
      <c r="I78">
        <v>515.5</v>
      </c>
      <c r="J78">
        <v>74.5</v>
      </c>
      <c r="K78">
        <v>8</v>
      </c>
      <c r="L78">
        <v>27</v>
      </c>
      <c r="M78">
        <v>146</v>
      </c>
      <c r="N78">
        <v>29.5</v>
      </c>
      <c r="O78">
        <v>13.5</v>
      </c>
      <c r="P78">
        <v>8</v>
      </c>
      <c r="Q78">
        <v>33</v>
      </c>
      <c r="R78">
        <v>67</v>
      </c>
      <c r="S78">
        <v>305</v>
      </c>
      <c r="T78">
        <v>38</v>
      </c>
      <c r="U78">
        <v>396</v>
      </c>
      <c r="V78">
        <v>86.5</v>
      </c>
      <c r="W78">
        <v>607</v>
      </c>
      <c r="X78">
        <v>991</v>
      </c>
      <c r="Y78">
        <v>5295</v>
      </c>
      <c r="Z78">
        <v>10.5</v>
      </c>
    </row>
    <row r="79" spans="1:26" x14ac:dyDescent="0.25">
      <c r="A79" t="s">
        <v>222</v>
      </c>
      <c r="B79" t="s">
        <v>223</v>
      </c>
      <c r="C79" t="s">
        <v>224</v>
      </c>
      <c r="D79">
        <v>403</v>
      </c>
      <c r="E79">
        <v>73</v>
      </c>
      <c r="F79">
        <v>10</v>
      </c>
      <c r="G79">
        <v>34</v>
      </c>
      <c r="H79">
        <v>31</v>
      </c>
      <c r="I79">
        <v>324</v>
      </c>
      <c r="J79">
        <v>83</v>
      </c>
      <c r="K79">
        <v>7</v>
      </c>
      <c r="L79">
        <v>23</v>
      </c>
      <c r="M79">
        <v>74.5</v>
      </c>
      <c r="N79">
        <v>23</v>
      </c>
      <c r="O79">
        <v>12.5</v>
      </c>
      <c r="P79">
        <v>8</v>
      </c>
      <c r="Q79">
        <v>15</v>
      </c>
      <c r="R79">
        <v>16</v>
      </c>
      <c r="S79">
        <v>134</v>
      </c>
      <c r="T79">
        <v>33</v>
      </c>
      <c r="U79">
        <v>130</v>
      </c>
      <c r="V79">
        <v>152.5</v>
      </c>
      <c r="W79">
        <v>902</v>
      </c>
      <c r="X79">
        <v>1895</v>
      </c>
      <c r="Y79">
        <v>4537</v>
      </c>
      <c r="Z79">
        <v>11</v>
      </c>
    </row>
    <row r="80" spans="1:26" x14ac:dyDescent="0.25">
      <c r="A80" t="s">
        <v>225</v>
      </c>
      <c r="B80" t="s">
        <v>226</v>
      </c>
      <c r="C80" t="s">
        <v>227</v>
      </c>
      <c r="D80">
        <v>792.5</v>
      </c>
      <c r="E80">
        <v>59.5</v>
      </c>
      <c r="F80">
        <v>12.5</v>
      </c>
      <c r="G80">
        <v>46</v>
      </c>
      <c r="H80">
        <v>36</v>
      </c>
      <c r="I80">
        <v>386</v>
      </c>
      <c r="J80">
        <v>88.5</v>
      </c>
      <c r="K80">
        <v>8</v>
      </c>
      <c r="L80">
        <v>25</v>
      </c>
      <c r="M80">
        <v>128.5</v>
      </c>
      <c r="N80">
        <v>47</v>
      </c>
      <c r="O80">
        <v>16.5</v>
      </c>
      <c r="P80">
        <v>11.5</v>
      </c>
      <c r="Q80">
        <v>16</v>
      </c>
      <c r="R80">
        <v>11</v>
      </c>
      <c r="S80">
        <v>252</v>
      </c>
      <c r="T80">
        <v>43.5</v>
      </c>
      <c r="U80">
        <v>381</v>
      </c>
      <c r="V80">
        <v>336</v>
      </c>
      <c r="W80">
        <v>2782</v>
      </c>
      <c r="X80">
        <v>4169.5</v>
      </c>
      <c r="Y80">
        <v>7689</v>
      </c>
      <c r="Z80">
        <v>13</v>
      </c>
    </row>
    <row r="81" spans="1:26" x14ac:dyDescent="0.25">
      <c r="A81" t="s">
        <v>228</v>
      </c>
      <c r="B81" t="s">
        <v>229</v>
      </c>
      <c r="C81" t="s">
        <v>230</v>
      </c>
      <c r="D81">
        <v>311</v>
      </c>
      <c r="E81">
        <v>57</v>
      </c>
      <c r="F81">
        <v>10</v>
      </c>
      <c r="G81">
        <v>38</v>
      </c>
      <c r="H81">
        <v>44</v>
      </c>
      <c r="I81">
        <v>173</v>
      </c>
      <c r="J81">
        <v>88</v>
      </c>
      <c r="K81">
        <v>6</v>
      </c>
      <c r="L81">
        <v>31</v>
      </c>
      <c r="M81">
        <v>90</v>
      </c>
      <c r="N81">
        <v>20</v>
      </c>
      <c r="O81">
        <v>17</v>
      </c>
      <c r="P81">
        <v>9.5</v>
      </c>
      <c r="Q81">
        <v>16</v>
      </c>
      <c r="R81">
        <v>10</v>
      </c>
      <c r="S81">
        <v>191</v>
      </c>
      <c r="T81">
        <v>38</v>
      </c>
      <c r="U81">
        <v>79</v>
      </c>
      <c r="V81">
        <v>439.5</v>
      </c>
      <c r="W81">
        <v>4368</v>
      </c>
      <c r="X81">
        <v>6897.5</v>
      </c>
      <c r="Y81">
        <v>2265</v>
      </c>
      <c r="Z81">
        <v>12</v>
      </c>
    </row>
    <row r="82" spans="1:26" x14ac:dyDescent="0.25">
      <c r="A82" t="s">
        <v>231</v>
      </c>
      <c r="B82" t="s">
        <v>232</v>
      </c>
      <c r="C82" t="s">
        <v>233</v>
      </c>
      <c r="D82">
        <v>306</v>
      </c>
      <c r="E82">
        <v>12</v>
      </c>
      <c r="F82">
        <v>7.5</v>
      </c>
      <c r="G82">
        <v>26</v>
      </c>
      <c r="H82">
        <v>17</v>
      </c>
      <c r="I82">
        <v>66</v>
      </c>
      <c r="J82">
        <v>74</v>
      </c>
      <c r="K82">
        <v>5</v>
      </c>
      <c r="L82">
        <v>32.5</v>
      </c>
      <c r="M82">
        <v>43</v>
      </c>
      <c r="N82">
        <v>9</v>
      </c>
      <c r="O82">
        <v>9</v>
      </c>
      <c r="P82">
        <v>8</v>
      </c>
      <c r="Q82">
        <v>8</v>
      </c>
      <c r="R82">
        <v>10</v>
      </c>
      <c r="S82">
        <v>82.5</v>
      </c>
      <c r="T82">
        <v>23.5</v>
      </c>
      <c r="U82">
        <v>44.5</v>
      </c>
      <c r="V82">
        <v>7.5</v>
      </c>
      <c r="W82">
        <v>34</v>
      </c>
      <c r="X82">
        <v>90</v>
      </c>
      <c r="Y82">
        <v>629</v>
      </c>
      <c r="Z82">
        <v>9</v>
      </c>
    </row>
    <row r="83" spans="1:26" x14ac:dyDescent="0.25">
      <c r="A83" t="s">
        <v>234</v>
      </c>
      <c r="B83" t="s">
        <v>235</v>
      </c>
      <c r="C83" t="s">
        <v>236</v>
      </c>
      <c r="D83">
        <v>1081</v>
      </c>
      <c r="E83">
        <v>95</v>
      </c>
      <c r="F83">
        <v>11</v>
      </c>
      <c r="G83">
        <v>46</v>
      </c>
      <c r="H83">
        <v>50</v>
      </c>
      <c r="I83">
        <v>1309.5</v>
      </c>
      <c r="J83">
        <v>91</v>
      </c>
      <c r="K83">
        <v>10</v>
      </c>
      <c r="L83">
        <v>32.5</v>
      </c>
      <c r="M83">
        <v>167</v>
      </c>
      <c r="N83">
        <v>46</v>
      </c>
      <c r="O83">
        <v>21</v>
      </c>
      <c r="P83">
        <v>14</v>
      </c>
      <c r="Q83">
        <v>20</v>
      </c>
      <c r="R83">
        <v>36</v>
      </c>
      <c r="S83">
        <v>256</v>
      </c>
      <c r="T83">
        <v>45</v>
      </c>
      <c r="U83">
        <v>220</v>
      </c>
      <c r="V83">
        <v>257.5</v>
      </c>
      <c r="W83">
        <v>1079.5</v>
      </c>
      <c r="X83">
        <v>2259</v>
      </c>
      <c r="Y83">
        <v>8593.5</v>
      </c>
      <c r="Z83">
        <v>15</v>
      </c>
    </row>
    <row r="84" spans="1:26" x14ac:dyDescent="0.25">
      <c r="A84" t="s">
        <v>237</v>
      </c>
      <c r="B84" t="s">
        <v>238</v>
      </c>
      <c r="C84" t="s">
        <v>239</v>
      </c>
      <c r="D84">
        <v>266</v>
      </c>
      <c r="E84">
        <v>12</v>
      </c>
      <c r="F84">
        <v>9</v>
      </c>
      <c r="G84">
        <v>26</v>
      </c>
      <c r="H84">
        <v>26</v>
      </c>
      <c r="I84">
        <v>172.5</v>
      </c>
      <c r="J84">
        <v>79</v>
      </c>
      <c r="K84">
        <v>6</v>
      </c>
      <c r="L84">
        <v>30</v>
      </c>
      <c r="M84">
        <v>27.5</v>
      </c>
      <c r="N84">
        <v>7</v>
      </c>
      <c r="O84">
        <v>12</v>
      </c>
      <c r="P84">
        <v>6</v>
      </c>
      <c r="Q84">
        <v>11</v>
      </c>
      <c r="R84">
        <v>8</v>
      </c>
      <c r="S84">
        <v>105.5</v>
      </c>
      <c r="T84">
        <v>27.5</v>
      </c>
      <c r="U84">
        <v>22</v>
      </c>
      <c r="V84">
        <v>10</v>
      </c>
      <c r="W84">
        <v>52</v>
      </c>
      <c r="X84">
        <v>128.5</v>
      </c>
      <c r="Y84">
        <v>1113</v>
      </c>
      <c r="Z84">
        <v>11</v>
      </c>
    </row>
    <row r="85" spans="1:26" x14ac:dyDescent="0.25">
      <c r="A85" t="s">
        <v>240</v>
      </c>
      <c r="B85" t="s">
        <v>241</v>
      </c>
      <c r="C85" t="s">
        <v>242</v>
      </c>
      <c r="D85">
        <v>300.5</v>
      </c>
      <c r="E85">
        <v>12</v>
      </c>
      <c r="F85">
        <v>8</v>
      </c>
      <c r="G85">
        <v>29</v>
      </c>
      <c r="H85">
        <v>21.5</v>
      </c>
      <c r="I85">
        <v>142</v>
      </c>
      <c r="J85">
        <v>73</v>
      </c>
      <c r="K85">
        <v>5</v>
      </c>
      <c r="L85">
        <v>21</v>
      </c>
      <c r="M85">
        <v>36.5</v>
      </c>
      <c r="N85">
        <v>10</v>
      </c>
      <c r="O85">
        <v>11</v>
      </c>
      <c r="P85">
        <v>7</v>
      </c>
      <c r="Q85">
        <v>9</v>
      </c>
      <c r="R85">
        <v>9</v>
      </c>
      <c r="S85">
        <v>85</v>
      </c>
      <c r="T85">
        <v>23</v>
      </c>
      <c r="U85">
        <v>32.5</v>
      </c>
      <c r="V85">
        <v>9</v>
      </c>
      <c r="W85">
        <v>51</v>
      </c>
      <c r="X85">
        <v>124</v>
      </c>
      <c r="Y85">
        <v>2581</v>
      </c>
      <c r="Z85">
        <v>8</v>
      </c>
    </row>
    <row r="86" spans="1:26" x14ac:dyDescent="0.25">
      <c r="A86" t="s">
        <v>243</v>
      </c>
      <c r="B86" t="s">
        <v>244</v>
      </c>
      <c r="C86" t="s">
        <v>245</v>
      </c>
      <c r="D86">
        <v>618.5</v>
      </c>
      <c r="E86">
        <v>43</v>
      </c>
      <c r="F86">
        <v>9</v>
      </c>
      <c r="G86">
        <v>28</v>
      </c>
      <c r="H86">
        <v>27</v>
      </c>
      <c r="I86">
        <v>259</v>
      </c>
      <c r="J86">
        <v>73.5</v>
      </c>
      <c r="K86">
        <v>6</v>
      </c>
      <c r="L86">
        <v>27</v>
      </c>
      <c r="M86">
        <v>79</v>
      </c>
      <c r="N86">
        <v>22</v>
      </c>
      <c r="O86">
        <v>10</v>
      </c>
      <c r="P86">
        <v>9</v>
      </c>
      <c r="Q86">
        <v>12</v>
      </c>
      <c r="R86">
        <v>13</v>
      </c>
      <c r="S86">
        <v>168</v>
      </c>
      <c r="T86">
        <v>34</v>
      </c>
      <c r="U86">
        <v>148</v>
      </c>
      <c r="V86">
        <v>79</v>
      </c>
      <c r="W86">
        <v>400</v>
      </c>
      <c r="X86">
        <v>883</v>
      </c>
      <c r="Y86">
        <v>4855</v>
      </c>
      <c r="Z86">
        <v>11</v>
      </c>
    </row>
    <row r="87" spans="1:26" x14ac:dyDescent="0.25">
      <c r="A87" t="s">
        <v>246</v>
      </c>
      <c r="B87" t="s">
        <v>247</v>
      </c>
      <c r="C87" t="s">
        <v>248</v>
      </c>
      <c r="D87">
        <v>540.5</v>
      </c>
      <c r="E87">
        <v>82</v>
      </c>
      <c r="F87">
        <v>12</v>
      </c>
      <c r="G87">
        <v>39.5</v>
      </c>
      <c r="H87">
        <v>35</v>
      </c>
      <c r="I87">
        <v>665.5</v>
      </c>
      <c r="J87">
        <v>90.5</v>
      </c>
      <c r="K87">
        <v>8</v>
      </c>
      <c r="L87">
        <v>28.5</v>
      </c>
      <c r="M87">
        <v>92</v>
      </c>
      <c r="N87">
        <v>41</v>
      </c>
      <c r="O87">
        <v>15</v>
      </c>
      <c r="P87">
        <v>12</v>
      </c>
      <c r="Q87">
        <v>22</v>
      </c>
      <c r="R87">
        <v>17</v>
      </c>
      <c r="S87">
        <v>303</v>
      </c>
      <c r="T87">
        <v>45</v>
      </c>
      <c r="U87">
        <v>193.5</v>
      </c>
      <c r="V87">
        <v>154</v>
      </c>
      <c r="W87">
        <v>2294</v>
      </c>
      <c r="X87">
        <v>2869</v>
      </c>
      <c r="Y87">
        <v>10109.5</v>
      </c>
      <c r="Z87">
        <v>14.5</v>
      </c>
    </row>
    <row r="88" spans="1:26" x14ac:dyDescent="0.25">
      <c r="A88" t="s">
        <v>249</v>
      </c>
      <c r="B88" t="s">
        <v>250</v>
      </c>
      <c r="C88" t="s">
        <v>251</v>
      </c>
      <c r="D88">
        <v>157</v>
      </c>
      <c r="E88">
        <v>10</v>
      </c>
      <c r="F88">
        <v>7.5</v>
      </c>
      <c r="G88">
        <v>20.5</v>
      </c>
      <c r="H88">
        <v>16.5</v>
      </c>
      <c r="I88">
        <v>86</v>
      </c>
      <c r="J88">
        <v>65</v>
      </c>
      <c r="K88">
        <v>6</v>
      </c>
      <c r="L88">
        <v>34</v>
      </c>
      <c r="M88">
        <v>38</v>
      </c>
      <c r="N88">
        <v>9</v>
      </c>
      <c r="O88">
        <v>9</v>
      </c>
      <c r="P88">
        <v>5</v>
      </c>
      <c r="Q88">
        <v>8</v>
      </c>
      <c r="R88">
        <v>8</v>
      </c>
      <c r="S88">
        <v>76</v>
      </c>
      <c r="T88">
        <v>24</v>
      </c>
      <c r="U88">
        <v>48</v>
      </c>
      <c r="V88">
        <v>41</v>
      </c>
      <c r="W88">
        <v>81</v>
      </c>
      <c r="X88">
        <v>320</v>
      </c>
      <c r="Y88">
        <v>2174</v>
      </c>
      <c r="Z88">
        <v>7.5</v>
      </c>
    </row>
    <row r="89" spans="1:26" x14ac:dyDescent="0.25">
      <c r="A89" t="s">
        <v>252</v>
      </c>
      <c r="B89" t="s">
        <v>253</v>
      </c>
      <c r="C89" t="s">
        <v>254</v>
      </c>
      <c r="D89">
        <v>345</v>
      </c>
      <c r="E89">
        <v>14</v>
      </c>
      <c r="F89">
        <v>9</v>
      </c>
      <c r="G89">
        <v>22</v>
      </c>
      <c r="H89">
        <v>19</v>
      </c>
      <c r="I89">
        <v>124</v>
      </c>
      <c r="J89">
        <v>71</v>
      </c>
      <c r="K89">
        <v>7</v>
      </c>
      <c r="L89">
        <v>25</v>
      </c>
      <c r="M89">
        <v>38</v>
      </c>
      <c r="N89">
        <v>10</v>
      </c>
      <c r="O89">
        <v>11</v>
      </c>
      <c r="P89">
        <v>7</v>
      </c>
      <c r="Q89">
        <v>9</v>
      </c>
      <c r="R89">
        <v>10</v>
      </c>
      <c r="S89">
        <v>82</v>
      </c>
      <c r="T89">
        <v>27</v>
      </c>
      <c r="U89">
        <v>41.5</v>
      </c>
      <c r="V89">
        <v>13</v>
      </c>
      <c r="W89">
        <v>51.5</v>
      </c>
      <c r="X89">
        <v>129</v>
      </c>
      <c r="Y89">
        <v>1348</v>
      </c>
      <c r="Z89">
        <v>9.5</v>
      </c>
    </row>
    <row r="90" spans="1:26" x14ac:dyDescent="0.25">
      <c r="A90" t="s">
        <v>255</v>
      </c>
      <c r="B90" t="s">
        <v>256</v>
      </c>
      <c r="C90" t="s">
        <v>257</v>
      </c>
      <c r="D90">
        <v>425</v>
      </c>
      <c r="E90">
        <v>11</v>
      </c>
      <c r="F90">
        <v>7</v>
      </c>
      <c r="G90">
        <v>29.5</v>
      </c>
      <c r="H90">
        <v>17</v>
      </c>
      <c r="I90">
        <v>51</v>
      </c>
      <c r="J90">
        <v>67</v>
      </c>
      <c r="K90">
        <v>4</v>
      </c>
      <c r="L90">
        <v>26</v>
      </c>
      <c r="M90">
        <v>40.5</v>
      </c>
      <c r="N90">
        <v>8</v>
      </c>
      <c r="O90">
        <v>8.5</v>
      </c>
      <c r="P90">
        <v>5</v>
      </c>
      <c r="Q90">
        <v>10</v>
      </c>
      <c r="R90">
        <v>7</v>
      </c>
      <c r="S90">
        <v>86</v>
      </c>
      <c r="T90">
        <v>27</v>
      </c>
      <c r="U90">
        <v>36</v>
      </c>
      <c r="V90">
        <v>10</v>
      </c>
      <c r="W90">
        <v>29</v>
      </c>
      <c r="X90">
        <v>77</v>
      </c>
      <c r="Y90">
        <v>700</v>
      </c>
      <c r="Z90">
        <v>9</v>
      </c>
    </row>
    <row r="91" spans="1:26" x14ac:dyDescent="0.25">
      <c r="A91" t="s">
        <v>258</v>
      </c>
      <c r="B91" t="s">
        <v>259</v>
      </c>
      <c r="C91" t="s">
        <v>260</v>
      </c>
      <c r="D91">
        <v>558</v>
      </c>
      <c r="E91">
        <v>119.5</v>
      </c>
      <c r="F91">
        <v>13.5</v>
      </c>
      <c r="G91">
        <v>45.5</v>
      </c>
      <c r="H91">
        <v>49</v>
      </c>
      <c r="I91">
        <v>1203</v>
      </c>
      <c r="J91">
        <v>88</v>
      </c>
      <c r="K91">
        <v>9</v>
      </c>
      <c r="L91">
        <v>24</v>
      </c>
      <c r="M91">
        <v>183</v>
      </c>
      <c r="N91">
        <v>39</v>
      </c>
      <c r="O91">
        <v>23</v>
      </c>
      <c r="P91">
        <v>16</v>
      </c>
      <c r="Q91">
        <v>21</v>
      </c>
      <c r="R91">
        <v>24.5</v>
      </c>
      <c r="S91">
        <v>272</v>
      </c>
      <c r="T91">
        <v>47</v>
      </c>
      <c r="U91">
        <v>312.5</v>
      </c>
      <c r="V91">
        <v>521</v>
      </c>
      <c r="W91">
        <v>4012</v>
      </c>
      <c r="X91">
        <v>5043.5</v>
      </c>
      <c r="Y91">
        <v>10817</v>
      </c>
      <c r="Z91">
        <v>16</v>
      </c>
    </row>
    <row r="92" spans="1:26" x14ac:dyDescent="0.25">
      <c r="A92" t="s">
        <v>261</v>
      </c>
      <c r="B92" t="s">
        <v>262</v>
      </c>
      <c r="C92" t="s">
        <v>263</v>
      </c>
      <c r="D92">
        <v>281.5</v>
      </c>
      <c r="E92">
        <v>79.5</v>
      </c>
      <c r="F92">
        <v>11</v>
      </c>
      <c r="G92">
        <v>41</v>
      </c>
      <c r="H92">
        <v>45</v>
      </c>
      <c r="I92">
        <v>1748</v>
      </c>
      <c r="J92">
        <v>87</v>
      </c>
      <c r="K92">
        <v>7</v>
      </c>
      <c r="L92">
        <v>31</v>
      </c>
      <c r="M92">
        <v>82</v>
      </c>
      <c r="N92">
        <v>42</v>
      </c>
      <c r="O92">
        <v>17</v>
      </c>
      <c r="P92">
        <v>8.5</v>
      </c>
      <c r="Q92">
        <v>16</v>
      </c>
      <c r="R92">
        <v>19.5</v>
      </c>
      <c r="S92">
        <v>142.5</v>
      </c>
      <c r="T92">
        <v>34</v>
      </c>
      <c r="U92">
        <v>180.5</v>
      </c>
      <c r="V92">
        <v>174.5</v>
      </c>
      <c r="W92">
        <v>2858</v>
      </c>
      <c r="X92">
        <v>2265.5</v>
      </c>
      <c r="Y92">
        <v>7764</v>
      </c>
      <c r="Z92">
        <v>14</v>
      </c>
    </row>
    <row r="93" spans="1:26" x14ac:dyDescent="0.25">
      <c r="A93" t="s">
        <v>265</v>
      </c>
      <c r="B93" t="s">
        <v>266</v>
      </c>
      <c r="C93" t="s">
        <v>267</v>
      </c>
      <c r="D93">
        <v>170</v>
      </c>
      <c r="E93">
        <v>10.5</v>
      </c>
      <c r="F93">
        <v>7</v>
      </c>
      <c r="G93">
        <v>38</v>
      </c>
      <c r="H93">
        <v>18</v>
      </c>
      <c r="I93">
        <v>26</v>
      </c>
      <c r="J93">
        <v>70</v>
      </c>
      <c r="K93">
        <v>8</v>
      </c>
      <c r="L93">
        <v>37</v>
      </c>
      <c r="M93">
        <v>113</v>
      </c>
      <c r="N93">
        <v>8</v>
      </c>
      <c r="O93">
        <v>60</v>
      </c>
      <c r="P93">
        <v>7</v>
      </c>
      <c r="Q93">
        <v>8</v>
      </c>
      <c r="R93">
        <v>9.5</v>
      </c>
      <c r="S93">
        <v>72</v>
      </c>
      <c r="T93">
        <v>55</v>
      </c>
      <c r="U93">
        <v>21</v>
      </c>
      <c r="V93">
        <v>8</v>
      </c>
      <c r="W93">
        <v>26.5</v>
      </c>
      <c r="X93">
        <v>49</v>
      </c>
      <c r="Y93">
        <v>258</v>
      </c>
      <c r="Z93">
        <v>13</v>
      </c>
    </row>
    <row r="94" spans="1:26" x14ac:dyDescent="0.25">
      <c r="A94" t="s">
        <v>268</v>
      </c>
      <c r="B94" t="s">
        <v>269</v>
      </c>
      <c r="C94" t="s">
        <v>270</v>
      </c>
      <c r="D94">
        <v>778</v>
      </c>
      <c r="E94">
        <v>13</v>
      </c>
      <c r="F94">
        <v>10</v>
      </c>
      <c r="G94">
        <v>71</v>
      </c>
      <c r="H94">
        <v>23.5</v>
      </c>
      <c r="I94">
        <v>141</v>
      </c>
      <c r="J94">
        <v>72</v>
      </c>
      <c r="K94">
        <v>9</v>
      </c>
      <c r="L94">
        <v>27</v>
      </c>
      <c r="M94">
        <v>98</v>
      </c>
      <c r="N94">
        <v>11</v>
      </c>
      <c r="O94">
        <v>45</v>
      </c>
      <c r="P94">
        <v>8</v>
      </c>
      <c r="Q94">
        <v>11.5</v>
      </c>
      <c r="R94">
        <v>9</v>
      </c>
      <c r="S94">
        <v>77</v>
      </c>
      <c r="T94">
        <v>77.5</v>
      </c>
      <c r="U94">
        <v>41.5</v>
      </c>
      <c r="V94">
        <v>20</v>
      </c>
      <c r="W94">
        <v>46</v>
      </c>
      <c r="X94">
        <v>103</v>
      </c>
      <c r="Y94">
        <v>1908</v>
      </c>
      <c r="Z94">
        <v>14</v>
      </c>
    </row>
    <row r="95" spans="1:26" x14ac:dyDescent="0.25">
      <c r="A95" t="s">
        <v>271</v>
      </c>
      <c r="B95" t="s">
        <v>272</v>
      </c>
      <c r="C95" t="s">
        <v>273</v>
      </c>
      <c r="D95">
        <v>229</v>
      </c>
      <c r="E95">
        <v>12</v>
      </c>
      <c r="F95">
        <v>6</v>
      </c>
      <c r="G95">
        <v>33</v>
      </c>
      <c r="H95">
        <v>20</v>
      </c>
      <c r="I95">
        <v>127</v>
      </c>
      <c r="J95">
        <v>65</v>
      </c>
      <c r="K95">
        <v>6</v>
      </c>
      <c r="L95">
        <v>27</v>
      </c>
      <c r="M95">
        <v>67</v>
      </c>
      <c r="N95">
        <v>6</v>
      </c>
      <c r="O95">
        <v>19</v>
      </c>
      <c r="P95">
        <v>6.5</v>
      </c>
      <c r="Q95">
        <v>11</v>
      </c>
      <c r="R95">
        <v>8</v>
      </c>
      <c r="S95">
        <v>83</v>
      </c>
      <c r="T95">
        <v>43.5</v>
      </c>
      <c r="U95">
        <v>22</v>
      </c>
      <c r="V95">
        <v>6</v>
      </c>
      <c r="W95">
        <v>44</v>
      </c>
      <c r="X95">
        <v>143</v>
      </c>
      <c r="Y95">
        <v>1595</v>
      </c>
      <c r="Z95">
        <v>10</v>
      </c>
    </row>
    <row r="96" spans="1:26" x14ac:dyDescent="0.25">
      <c r="A96" t="s">
        <v>274</v>
      </c>
      <c r="B96" t="s">
        <v>275</v>
      </c>
      <c r="C96" t="s">
        <v>276</v>
      </c>
      <c r="D96">
        <v>393.5</v>
      </c>
      <c r="E96">
        <v>13</v>
      </c>
      <c r="F96">
        <v>10</v>
      </c>
      <c r="G96">
        <v>61</v>
      </c>
      <c r="H96">
        <v>23</v>
      </c>
      <c r="I96">
        <v>80</v>
      </c>
      <c r="J96">
        <v>68</v>
      </c>
      <c r="K96">
        <v>12</v>
      </c>
      <c r="L96">
        <v>39</v>
      </c>
      <c r="M96">
        <v>113</v>
      </c>
      <c r="N96">
        <v>10</v>
      </c>
      <c r="O96">
        <v>61</v>
      </c>
      <c r="P96">
        <v>8</v>
      </c>
      <c r="Q96">
        <v>11</v>
      </c>
      <c r="R96">
        <v>9</v>
      </c>
      <c r="S96">
        <v>81</v>
      </c>
      <c r="T96">
        <v>90</v>
      </c>
      <c r="U96">
        <v>20.5</v>
      </c>
      <c r="V96">
        <v>9</v>
      </c>
      <c r="W96">
        <v>38.5</v>
      </c>
      <c r="X96">
        <v>81</v>
      </c>
      <c r="Y96">
        <v>1069</v>
      </c>
      <c r="Z96">
        <v>17</v>
      </c>
    </row>
    <row r="97" spans="1:26" x14ac:dyDescent="0.25">
      <c r="A97" t="s">
        <v>277</v>
      </c>
      <c r="B97" t="s">
        <v>278</v>
      </c>
      <c r="C97" t="s">
        <v>279</v>
      </c>
      <c r="D97">
        <v>335.5</v>
      </c>
      <c r="E97">
        <v>16</v>
      </c>
      <c r="F97">
        <v>9</v>
      </c>
      <c r="G97">
        <v>73</v>
      </c>
      <c r="H97">
        <v>33</v>
      </c>
      <c r="I97">
        <v>1003</v>
      </c>
      <c r="J97">
        <v>70</v>
      </c>
      <c r="K97">
        <v>12</v>
      </c>
      <c r="L97">
        <v>30</v>
      </c>
      <c r="M97">
        <v>124</v>
      </c>
      <c r="N97">
        <v>12.5</v>
      </c>
      <c r="O97">
        <v>44</v>
      </c>
      <c r="P97">
        <v>6</v>
      </c>
      <c r="Q97">
        <v>9</v>
      </c>
      <c r="R97">
        <v>8</v>
      </c>
      <c r="S97">
        <v>87.5</v>
      </c>
      <c r="T97">
        <v>128</v>
      </c>
      <c r="U97">
        <v>43</v>
      </c>
      <c r="V97">
        <v>19.5</v>
      </c>
      <c r="W97">
        <v>72</v>
      </c>
      <c r="X97">
        <v>289</v>
      </c>
      <c r="Y97">
        <v>1236.5</v>
      </c>
      <c r="Z97">
        <v>20.5</v>
      </c>
    </row>
    <row r="99" spans="1:26" x14ac:dyDescent="0.25">
      <c r="A99" t="s">
        <v>310</v>
      </c>
    </row>
    <row r="100" spans="1:26" x14ac:dyDescent="0.25">
      <c r="A100" t="s">
        <v>311</v>
      </c>
    </row>
    <row r="101" spans="1:26" x14ac:dyDescent="0.25">
      <c r="A101" t="s">
        <v>312</v>
      </c>
    </row>
    <row r="102" spans="1:26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"/>
  <sheetViews>
    <sheetView workbookViewId="0"/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8.85546875" bestFit="1" customWidth="1"/>
    <col min="8" max="8" width="9" bestFit="1" customWidth="1"/>
    <col min="9" max="10" width="12.140625" bestFit="1" customWidth="1"/>
    <col min="11" max="11" width="9" bestFit="1" customWidth="1"/>
    <col min="12" max="12" width="10.28515625" bestFit="1" customWidth="1"/>
    <col min="13" max="13" width="9" bestFit="1" customWidth="1"/>
    <col min="15" max="20" width="8" bestFit="1" customWidth="1"/>
    <col min="21" max="21" width="7.7109375" bestFit="1" customWidth="1"/>
    <col min="22" max="22" width="10.7109375" bestFit="1" customWidth="1"/>
    <col min="23" max="23" width="11.28515625" bestFit="1" customWidth="1"/>
    <col min="24" max="24" width="11.140625" bestFit="1" customWidth="1"/>
    <col min="25" max="25" width="11.7109375" bestFit="1" customWidth="1"/>
    <col min="26" max="26" width="9.285156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320</v>
      </c>
      <c r="E9" s="1" t="s">
        <v>320</v>
      </c>
      <c r="F9" s="1" t="s">
        <v>320</v>
      </c>
      <c r="G9" s="1" t="s">
        <v>320</v>
      </c>
      <c r="H9" s="1" t="s">
        <v>320</v>
      </c>
      <c r="I9" s="1" t="s">
        <v>320</v>
      </c>
      <c r="J9" s="1" t="s">
        <v>320</v>
      </c>
      <c r="K9" s="1" t="s">
        <v>320</v>
      </c>
      <c r="L9" s="1" t="s">
        <v>320</v>
      </c>
      <c r="M9" s="1" t="s">
        <v>320</v>
      </c>
      <c r="N9" s="1" t="s">
        <v>320</v>
      </c>
      <c r="O9" s="1" t="s">
        <v>320</v>
      </c>
      <c r="P9" s="1" t="s">
        <v>320</v>
      </c>
      <c r="Q9" s="1" t="s">
        <v>320</v>
      </c>
      <c r="R9" s="1" t="s">
        <v>320</v>
      </c>
      <c r="S9" s="1" t="s">
        <v>320</v>
      </c>
      <c r="T9" s="1" t="s">
        <v>320</v>
      </c>
      <c r="U9" s="1" t="s">
        <v>320</v>
      </c>
      <c r="V9" s="1" t="s">
        <v>320</v>
      </c>
      <c r="W9" s="1" t="s">
        <v>320</v>
      </c>
      <c r="X9" s="1" t="s">
        <v>320</v>
      </c>
      <c r="Y9" s="1" t="s">
        <v>320</v>
      </c>
      <c r="Z9" s="1" t="s">
        <v>320</v>
      </c>
    </row>
    <row r="10" spans="1:26" x14ac:dyDescent="0.25">
      <c r="A10" t="s">
        <v>281</v>
      </c>
      <c r="B10" t="s">
        <v>282</v>
      </c>
      <c r="C10" t="s">
        <v>283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306</v>
      </c>
      <c r="B11" t="s">
        <v>307</v>
      </c>
      <c r="C11" t="s">
        <v>308</v>
      </c>
      <c r="E11">
        <v>235.47</v>
      </c>
      <c r="F11">
        <v>8.84</v>
      </c>
      <c r="G11">
        <v>258.8</v>
      </c>
      <c r="H11">
        <v>23.33</v>
      </c>
      <c r="I11">
        <v>264.45999999999998</v>
      </c>
      <c r="J11">
        <v>268.35000000000002</v>
      </c>
      <c r="K11">
        <v>239</v>
      </c>
      <c r="L11">
        <v>557.20000000000005</v>
      </c>
      <c r="M11">
        <v>65.05</v>
      </c>
      <c r="N11">
        <v>122.33</v>
      </c>
      <c r="O11">
        <v>226.63</v>
      </c>
      <c r="P11">
        <v>49.85</v>
      </c>
      <c r="Q11">
        <v>44.19</v>
      </c>
      <c r="R11">
        <v>98.64</v>
      </c>
      <c r="S11">
        <v>345.07</v>
      </c>
      <c r="T11">
        <v>36.06</v>
      </c>
      <c r="U11">
        <v>427.8</v>
      </c>
      <c r="V11">
        <v>82.73</v>
      </c>
      <c r="X11">
        <v>188.09</v>
      </c>
      <c r="Y11">
        <v>530.33000000000004</v>
      </c>
      <c r="Z11">
        <v>169.71</v>
      </c>
    </row>
    <row r="12" spans="1:26" x14ac:dyDescent="0.25">
      <c r="A12" t="s">
        <v>284</v>
      </c>
      <c r="B12" t="s">
        <v>285</v>
      </c>
      <c r="C12" t="s">
        <v>286</v>
      </c>
      <c r="D12">
        <v>630.39</v>
      </c>
      <c r="E12">
        <v>381.48</v>
      </c>
      <c r="F12">
        <v>763.68</v>
      </c>
      <c r="G12">
        <v>175.36</v>
      </c>
      <c r="H12">
        <v>222.39</v>
      </c>
      <c r="I12">
        <v>195.52</v>
      </c>
      <c r="J12">
        <v>117.03</v>
      </c>
      <c r="K12">
        <v>192.69</v>
      </c>
      <c r="L12">
        <v>239.71</v>
      </c>
      <c r="M12">
        <v>466.69</v>
      </c>
      <c r="N12">
        <v>642.04999999999995</v>
      </c>
      <c r="O12">
        <v>228.75</v>
      </c>
      <c r="P12">
        <v>207.18</v>
      </c>
      <c r="Q12">
        <v>468.1</v>
      </c>
      <c r="R12">
        <v>632.51</v>
      </c>
      <c r="S12">
        <v>66.47</v>
      </c>
      <c r="T12">
        <v>317.49</v>
      </c>
      <c r="U12">
        <v>470.23</v>
      </c>
      <c r="V12">
        <v>713.47</v>
      </c>
      <c r="W12">
        <v>416.49</v>
      </c>
      <c r="X12">
        <v>261.27999999999997</v>
      </c>
      <c r="Y12">
        <v>744.23</v>
      </c>
      <c r="Z12">
        <v>322.79000000000002</v>
      </c>
    </row>
    <row r="13" spans="1:26" x14ac:dyDescent="0.25">
      <c r="A13" t="s">
        <v>288</v>
      </c>
      <c r="B13" t="s">
        <v>289</v>
      </c>
      <c r="C13" t="s">
        <v>290</v>
      </c>
      <c r="D13">
        <v>101.12</v>
      </c>
      <c r="E13">
        <v>131.52000000000001</v>
      </c>
      <c r="F13">
        <v>193.04</v>
      </c>
      <c r="G13">
        <v>87.68</v>
      </c>
      <c r="H13">
        <v>115.97</v>
      </c>
      <c r="I13">
        <v>450.43</v>
      </c>
      <c r="J13">
        <v>72.12</v>
      </c>
      <c r="K13">
        <v>107.13</v>
      </c>
      <c r="L13">
        <v>139.30000000000001</v>
      </c>
      <c r="M13">
        <v>96.17</v>
      </c>
      <c r="N13">
        <v>110.31</v>
      </c>
      <c r="O13">
        <v>174.66</v>
      </c>
      <c r="P13">
        <v>86.27</v>
      </c>
      <c r="Q13">
        <v>158.75</v>
      </c>
      <c r="R13">
        <v>253.85</v>
      </c>
      <c r="S13">
        <v>73.540000000000006</v>
      </c>
      <c r="T13">
        <v>240.42</v>
      </c>
      <c r="U13">
        <v>214.96</v>
      </c>
      <c r="V13">
        <v>58.69</v>
      </c>
      <c r="W13">
        <v>3.18</v>
      </c>
      <c r="X13">
        <v>111.37</v>
      </c>
      <c r="Y13">
        <v>244.66</v>
      </c>
      <c r="Z13">
        <v>194.81</v>
      </c>
    </row>
    <row r="14" spans="1:26" x14ac:dyDescent="0.25">
      <c r="A14" t="s">
        <v>291</v>
      </c>
      <c r="B14" t="s">
        <v>292</v>
      </c>
      <c r="C14" t="s">
        <v>293</v>
      </c>
      <c r="D14">
        <v>187.74</v>
      </c>
      <c r="E14">
        <v>158.38999999999999</v>
      </c>
      <c r="F14">
        <v>589.02</v>
      </c>
      <c r="G14">
        <v>105.01</v>
      </c>
      <c r="H14">
        <v>165.46</v>
      </c>
      <c r="I14">
        <v>336.94</v>
      </c>
      <c r="J14">
        <v>69.650000000000006</v>
      </c>
      <c r="K14">
        <v>162.99</v>
      </c>
      <c r="L14">
        <v>140.01</v>
      </c>
      <c r="M14">
        <v>137.18</v>
      </c>
      <c r="N14">
        <v>294.16000000000003</v>
      </c>
      <c r="O14">
        <v>117.73</v>
      </c>
      <c r="P14">
        <v>108.54</v>
      </c>
      <c r="Q14">
        <v>166.17</v>
      </c>
      <c r="R14">
        <v>128.34</v>
      </c>
      <c r="S14">
        <v>201.53</v>
      </c>
      <c r="T14">
        <v>243.24</v>
      </c>
      <c r="U14">
        <v>167.23</v>
      </c>
      <c r="V14">
        <v>192.33</v>
      </c>
      <c r="W14">
        <v>147.79</v>
      </c>
      <c r="X14">
        <v>185.97</v>
      </c>
      <c r="Y14">
        <v>177.48</v>
      </c>
      <c r="Z14">
        <v>34.65</v>
      </c>
    </row>
    <row r="15" spans="1:26" x14ac:dyDescent="0.25">
      <c r="A15" t="s">
        <v>294</v>
      </c>
      <c r="B15" t="s">
        <v>295</v>
      </c>
      <c r="C15" t="s">
        <v>296</v>
      </c>
      <c r="D15">
        <v>0.71</v>
      </c>
      <c r="E15">
        <v>0</v>
      </c>
      <c r="F15">
        <v>22.98</v>
      </c>
      <c r="G15">
        <v>12.37</v>
      </c>
      <c r="H15">
        <v>0.71</v>
      </c>
      <c r="I15">
        <v>6.36</v>
      </c>
      <c r="J15">
        <v>9.19</v>
      </c>
      <c r="K15">
        <v>10.25</v>
      </c>
      <c r="L15">
        <v>5.66</v>
      </c>
      <c r="M15">
        <v>2.12</v>
      </c>
      <c r="N15">
        <v>4.24</v>
      </c>
      <c r="O15">
        <v>1.06</v>
      </c>
      <c r="P15">
        <v>3.54</v>
      </c>
      <c r="Q15">
        <v>4.5999999999999996</v>
      </c>
      <c r="R15">
        <v>2.12</v>
      </c>
      <c r="S15">
        <v>25.46</v>
      </c>
      <c r="T15">
        <v>4.95</v>
      </c>
      <c r="U15">
        <v>22.98</v>
      </c>
      <c r="V15">
        <v>8.49</v>
      </c>
      <c r="W15">
        <v>7.07</v>
      </c>
      <c r="X15">
        <v>6.36</v>
      </c>
      <c r="Y15">
        <v>3.89</v>
      </c>
      <c r="Z15">
        <v>0.71</v>
      </c>
    </row>
    <row r="16" spans="1:26" x14ac:dyDescent="0.25">
      <c r="A16" t="s">
        <v>297</v>
      </c>
      <c r="B16" t="s">
        <v>298</v>
      </c>
      <c r="C16" t="s">
        <v>299</v>
      </c>
      <c r="D16">
        <v>1.41</v>
      </c>
      <c r="E16">
        <v>4.24</v>
      </c>
      <c r="F16">
        <v>2.12</v>
      </c>
      <c r="G16">
        <v>9.19</v>
      </c>
      <c r="H16">
        <v>7.78</v>
      </c>
      <c r="I16">
        <v>12.02</v>
      </c>
      <c r="J16">
        <v>0.71</v>
      </c>
      <c r="K16">
        <v>5.66</v>
      </c>
      <c r="L16">
        <v>2.12</v>
      </c>
      <c r="M16">
        <v>7.07</v>
      </c>
      <c r="N16">
        <v>2.12</v>
      </c>
      <c r="O16">
        <v>1.77</v>
      </c>
      <c r="P16">
        <v>2.4700000000000002</v>
      </c>
      <c r="Q16">
        <v>0</v>
      </c>
      <c r="R16">
        <v>0.71</v>
      </c>
      <c r="S16">
        <v>2.83</v>
      </c>
      <c r="T16">
        <v>1.41</v>
      </c>
      <c r="U16">
        <v>1.77</v>
      </c>
      <c r="V16">
        <v>2.4700000000000002</v>
      </c>
      <c r="W16">
        <v>0.71</v>
      </c>
      <c r="X16">
        <v>6.01</v>
      </c>
      <c r="Y16">
        <v>2.12</v>
      </c>
      <c r="Z16">
        <v>2.12</v>
      </c>
    </row>
    <row r="17" spans="1:26" x14ac:dyDescent="0.25">
      <c r="A17" t="s">
        <v>300</v>
      </c>
      <c r="B17" t="s">
        <v>301</v>
      </c>
      <c r="C17" t="s">
        <v>302</v>
      </c>
      <c r="D17">
        <v>2.12</v>
      </c>
      <c r="E17">
        <v>0</v>
      </c>
      <c r="F17">
        <v>1.41</v>
      </c>
      <c r="G17">
        <v>0.71</v>
      </c>
      <c r="H17">
        <v>3.18</v>
      </c>
      <c r="I17">
        <v>2.4700000000000002</v>
      </c>
      <c r="J17">
        <v>2.4700000000000002</v>
      </c>
      <c r="K17">
        <v>1.41</v>
      </c>
      <c r="L17">
        <v>1.41</v>
      </c>
      <c r="M17">
        <v>0</v>
      </c>
      <c r="N17">
        <v>0.35</v>
      </c>
      <c r="O17">
        <v>0.71</v>
      </c>
      <c r="P17">
        <v>2.12</v>
      </c>
      <c r="Q17">
        <v>0.71</v>
      </c>
      <c r="R17">
        <v>0.71</v>
      </c>
      <c r="S17">
        <v>3.54</v>
      </c>
      <c r="T17">
        <v>1.41</v>
      </c>
      <c r="U17">
        <v>0</v>
      </c>
      <c r="V17">
        <v>1.41</v>
      </c>
      <c r="W17">
        <v>2.12</v>
      </c>
      <c r="X17">
        <v>1.41</v>
      </c>
      <c r="Y17">
        <v>3.54</v>
      </c>
      <c r="Z17">
        <v>0.35</v>
      </c>
    </row>
    <row r="18" spans="1:26" x14ac:dyDescent="0.25">
      <c r="A18" t="s">
        <v>303</v>
      </c>
      <c r="B18" t="s">
        <v>304</v>
      </c>
      <c r="C18" t="s">
        <v>305</v>
      </c>
      <c r="E18">
        <v>0</v>
      </c>
      <c r="G18">
        <v>0.35</v>
      </c>
      <c r="I18">
        <v>2.83</v>
      </c>
      <c r="J18">
        <v>8.84</v>
      </c>
      <c r="K18">
        <v>1.06</v>
      </c>
      <c r="L18">
        <v>3.89</v>
      </c>
      <c r="M18">
        <v>1.41</v>
      </c>
      <c r="N18">
        <v>0.71</v>
      </c>
      <c r="O18">
        <v>0.71</v>
      </c>
      <c r="P18">
        <v>2.12</v>
      </c>
      <c r="Q18">
        <v>0</v>
      </c>
      <c r="R18">
        <v>0.71</v>
      </c>
      <c r="S18">
        <v>7.07</v>
      </c>
      <c r="X18">
        <v>0.71</v>
      </c>
      <c r="Z18">
        <v>0</v>
      </c>
    </row>
    <row r="19" spans="1:26" x14ac:dyDescent="0.25">
      <c r="A19" t="s">
        <v>38</v>
      </c>
      <c r="B19" t="s">
        <v>39</v>
      </c>
      <c r="C19" t="s">
        <v>40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41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44</v>
      </c>
      <c r="B21" t="s">
        <v>45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47</v>
      </c>
      <c r="B22" t="s">
        <v>48</v>
      </c>
      <c r="C22" t="s">
        <v>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50</v>
      </c>
      <c r="B23" t="s">
        <v>51</v>
      </c>
      <c r="C23" t="s">
        <v>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53</v>
      </c>
      <c r="B24" t="s">
        <v>54</v>
      </c>
      <c r="C24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56</v>
      </c>
      <c r="B25" t="s">
        <v>57</v>
      </c>
      <c r="C25" t="s">
        <v>58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59</v>
      </c>
      <c r="B26" t="s">
        <v>60</v>
      </c>
      <c r="C26" t="s">
        <v>61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62</v>
      </c>
      <c r="B27" t="s">
        <v>63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65</v>
      </c>
      <c r="B28" t="s">
        <v>66</v>
      </c>
      <c r="C28" t="s">
        <v>67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68</v>
      </c>
      <c r="B29" t="s">
        <v>69</v>
      </c>
      <c r="C29" t="s">
        <v>70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71</v>
      </c>
      <c r="B30" t="s">
        <v>72</v>
      </c>
      <c r="C30" t="s">
        <v>73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74</v>
      </c>
      <c r="B31" t="s">
        <v>75</v>
      </c>
      <c r="C31" t="s">
        <v>76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77</v>
      </c>
      <c r="B32" t="s">
        <v>78</v>
      </c>
      <c r="C32" t="s">
        <v>79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81</v>
      </c>
      <c r="B33" t="s">
        <v>82</v>
      </c>
      <c r="C3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84</v>
      </c>
      <c r="B34" t="s">
        <v>85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87</v>
      </c>
      <c r="B35" t="s">
        <v>88</v>
      </c>
      <c r="C35" t="s">
        <v>89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90</v>
      </c>
      <c r="B36" t="s">
        <v>91</v>
      </c>
      <c r="C36" t="s">
        <v>92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93</v>
      </c>
      <c r="B37" t="s">
        <v>94</v>
      </c>
      <c r="C37" t="s">
        <v>95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96</v>
      </c>
      <c r="B38" t="s">
        <v>97</v>
      </c>
      <c r="C38" t="s">
        <v>98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99</v>
      </c>
      <c r="B39" t="s">
        <v>100</v>
      </c>
      <c r="C39" t="s">
        <v>101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102</v>
      </c>
      <c r="B40" t="s">
        <v>103</v>
      </c>
      <c r="C40" t="s">
        <v>104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105</v>
      </c>
      <c r="B41" t="s">
        <v>106</v>
      </c>
      <c r="C41" t="s">
        <v>107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108</v>
      </c>
      <c r="B42" t="s">
        <v>109</v>
      </c>
      <c r="C42" t="s">
        <v>110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111</v>
      </c>
      <c r="B43" t="s">
        <v>112</v>
      </c>
      <c r="C43" t="s">
        <v>113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114</v>
      </c>
      <c r="B44" t="s">
        <v>115</v>
      </c>
      <c r="C44" t="s">
        <v>116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117</v>
      </c>
      <c r="B45" t="s">
        <v>118</v>
      </c>
      <c r="C45" t="s">
        <v>119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120</v>
      </c>
      <c r="B46" t="s">
        <v>121</v>
      </c>
      <c r="C46" t="s">
        <v>122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123</v>
      </c>
      <c r="B47" t="s">
        <v>124</v>
      </c>
      <c r="C47" t="s">
        <v>125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127</v>
      </c>
      <c r="B48" t="s">
        <v>128</v>
      </c>
      <c r="C48" t="s">
        <v>129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130</v>
      </c>
      <c r="B49" t="s">
        <v>131</v>
      </c>
      <c r="C49" t="s">
        <v>132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133</v>
      </c>
      <c r="B50" t="s">
        <v>134</v>
      </c>
      <c r="C50" t="s">
        <v>135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136</v>
      </c>
      <c r="B51" t="s">
        <v>137</v>
      </c>
      <c r="C51" t="s">
        <v>138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139</v>
      </c>
      <c r="B52" t="s">
        <v>140</v>
      </c>
      <c r="C52" t="s">
        <v>141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142</v>
      </c>
      <c r="B53" t="s">
        <v>143</v>
      </c>
      <c r="C53" t="s">
        <v>144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145</v>
      </c>
      <c r="B54" t="s">
        <v>146</v>
      </c>
      <c r="C54" t="s">
        <v>147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148</v>
      </c>
      <c r="B55" t="s">
        <v>149</v>
      </c>
      <c r="C55" t="s">
        <v>150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151</v>
      </c>
      <c r="B56" t="s">
        <v>152</v>
      </c>
      <c r="C56" t="s">
        <v>153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154</v>
      </c>
      <c r="B57" t="s">
        <v>155</v>
      </c>
      <c r="C57" t="s">
        <v>156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157</v>
      </c>
      <c r="B58" t="s">
        <v>158</v>
      </c>
      <c r="C58" t="s">
        <v>159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160</v>
      </c>
      <c r="B59" t="s">
        <v>161</v>
      </c>
      <c r="C59" t="s">
        <v>162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163</v>
      </c>
      <c r="B60" t="s">
        <v>164</v>
      </c>
      <c r="C60" t="s">
        <v>165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166</v>
      </c>
      <c r="B61" t="s">
        <v>167</v>
      </c>
      <c r="C61" t="s">
        <v>168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169</v>
      </c>
      <c r="B62" t="s">
        <v>170</v>
      </c>
      <c r="C62" t="s">
        <v>171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173</v>
      </c>
      <c r="B63" t="s">
        <v>174</v>
      </c>
      <c r="C63" t="s">
        <v>175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176</v>
      </c>
      <c r="B64" t="s">
        <v>177</v>
      </c>
      <c r="C64" t="s">
        <v>178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179</v>
      </c>
      <c r="B65" t="s">
        <v>180</v>
      </c>
      <c r="C65" t="s">
        <v>181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182</v>
      </c>
      <c r="B66" t="s">
        <v>183</v>
      </c>
      <c r="C66" t="s">
        <v>184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185</v>
      </c>
      <c r="B67" t="s">
        <v>186</v>
      </c>
      <c r="C67" t="s">
        <v>187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188</v>
      </c>
      <c r="B68" t="s">
        <v>189</v>
      </c>
      <c r="C68" t="s">
        <v>190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191</v>
      </c>
      <c r="B69" t="s">
        <v>192</v>
      </c>
      <c r="C69" t="s">
        <v>193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194</v>
      </c>
      <c r="B70" t="s">
        <v>195</v>
      </c>
      <c r="C70" t="s">
        <v>196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197</v>
      </c>
      <c r="B71" t="s">
        <v>198</v>
      </c>
      <c r="C71" t="s">
        <v>199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200</v>
      </c>
      <c r="B72" t="s">
        <v>201</v>
      </c>
      <c r="C72" t="s">
        <v>202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203</v>
      </c>
      <c r="B73" t="s">
        <v>204</v>
      </c>
      <c r="C73" t="s">
        <v>205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206</v>
      </c>
      <c r="B74" t="s">
        <v>207</v>
      </c>
      <c r="C74" t="s">
        <v>208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209</v>
      </c>
      <c r="B75" t="s">
        <v>210</v>
      </c>
      <c r="C75" t="s">
        <v>211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212</v>
      </c>
      <c r="B76" t="s">
        <v>213</v>
      </c>
      <c r="C76" t="s">
        <v>214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215</v>
      </c>
      <c r="B77" t="s">
        <v>216</v>
      </c>
      <c r="C77" t="s">
        <v>217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219</v>
      </c>
      <c r="B78" t="s">
        <v>220</v>
      </c>
      <c r="C78" t="s">
        <v>221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222</v>
      </c>
      <c r="B79" t="s">
        <v>223</v>
      </c>
      <c r="C79" t="s">
        <v>224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225</v>
      </c>
      <c r="B80" t="s">
        <v>226</v>
      </c>
      <c r="C80" t="s">
        <v>227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228</v>
      </c>
      <c r="B81" t="s">
        <v>229</v>
      </c>
      <c r="C81" t="s">
        <v>230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231</v>
      </c>
      <c r="B82" t="s">
        <v>232</v>
      </c>
      <c r="C82" t="s">
        <v>233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234</v>
      </c>
      <c r="B83" t="s">
        <v>235</v>
      </c>
      <c r="C83" t="s">
        <v>236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237</v>
      </c>
      <c r="B84" t="s">
        <v>238</v>
      </c>
      <c r="C84" t="s">
        <v>239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240</v>
      </c>
      <c r="B85" t="s">
        <v>241</v>
      </c>
      <c r="C85" t="s">
        <v>242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243</v>
      </c>
      <c r="B86" t="s">
        <v>244</v>
      </c>
      <c r="C86" t="s">
        <v>245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246</v>
      </c>
      <c r="B87" t="s">
        <v>247</v>
      </c>
      <c r="C87" t="s">
        <v>248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249</v>
      </c>
      <c r="B88" t="s">
        <v>250</v>
      </c>
      <c r="C88" t="s">
        <v>251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252</v>
      </c>
      <c r="B89" t="s">
        <v>253</v>
      </c>
      <c r="C89" t="s">
        <v>254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255</v>
      </c>
      <c r="B90" t="s">
        <v>256</v>
      </c>
      <c r="C90" t="s">
        <v>257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258</v>
      </c>
      <c r="B91" t="s">
        <v>259</v>
      </c>
      <c r="C91" t="s">
        <v>260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261</v>
      </c>
      <c r="B92" t="s">
        <v>262</v>
      </c>
      <c r="C92" t="s">
        <v>263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265</v>
      </c>
      <c r="B93" t="s">
        <v>266</v>
      </c>
      <c r="C93" t="s">
        <v>267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268</v>
      </c>
      <c r="B94" t="s">
        <v>269</v>
      </c>
      <c r="C94" t="s">
        <v>270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271</v>
      </c>
      <c r="B95" t="s">
        <v>272</v>
      </c>
      <c r="C95" t="s">
        <v>273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274</v>
      </c>
      <c r="B96" t="s">
        <v>275</v>
      </c>
      <c r="C96" t="s">
        <v>276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277</v>
      </c>
      <c r="B97" t="s">
        <v>278</v>
      </c>
      <c r="C97" t="s">
        <v>279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9" spans="1:26" x14ac:dyDescent="0.25">
      <c r="A99" t="s">
        <v>310</v>
      </c>
    </row>
    <row r="100" spans="1:26" x14ac:dyDescent="0.25">
      <c r="A100" t="s">
        <v>311</v>
      </c>
    </row>
    <row r="101" spans="1:26" x14ac:dyDescent="0.25">
      <c r="A101" t="s">
        <v>312</v>
      </c>
    </row>
    <row r="102" spans="1:26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2"/>
  <sheetViews>
    <sheetView workbookViewId="0"/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8.85546875" bestFit="1" customWidth="1"/>
    <col min="8" max="8" width="9" bestFit="1" customWidth="1"/>
    <col min="9" max="10" width="12.140625" bestFit="1" customWidth="1"/>
    <col min="11" max="11" width="9" bestFit="1" customWidth="1"/>
    <col min="12" max="12" width="10.28515625" bestFit="1" customWidth="1"/>
    <col min="13" max="13" width="9" bestFit="1" customWidth="1"/>
    <col min="15" max="20" width="8" bestFit="1" customWidth="1"/>
    <col min="21" max="21" width="7.140625" bestFit="1" customWidth="1"/>
    <col min="22" max="22" width="10.7109375" bestFit="1" customWidth="1"/>
    <col min="23" max="23" width="11.28515625" bestFit="1" customWidth="1"/>
    <col min="24" max="24" width="11.140625" bestFit="1" customWidth="1"/>
    <col min="25" max="25" width="11.7109375" bestFit="1" customWidth="1"/>
    <col min="26" max="26" width="9.285156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321</v>
      </c>
      <c r="E9" s="1" t="s">
        <v>321</v>
      </c>
      <c r="F9" s="1" t="s">
        <v>321</v>
      </c>
      <c r="G9" s="1" t="s">
        <v>321</v>
      </c>
      <c r="H9" s="1" t="s">
        <v>321</v>
      </c>
      <c r="I9" s="1" t="s">
        <v>321</v>
      </c>
      <c r="J9" s="1" t="s">
        <v>321</v>
      </c>
      <c r="K9" s="1" t="s">
        <v>321</v>
      </c>
      <c r="L9" s="1" t="s">
        <v>321</v>
      </c>
      <c r="M9" s="1" t="s">
        <v>321</v>
      </c>
      <c r="N9" s="1" t="s">
        <v>321</v>
      </c>
      <c r="O9" s="1" t="s">
        <v>321</v>
      </c>
      <c r="P9" s="1" t="s">
        <v>321</v>
      </c>
      <c r="Q9" s="1" t="s">
        <v>321</v>
      </c>
      <c r="R9" s="1" t="s">
        <v>321</v>
      </c>
      <c r="S9" s="1" t="s">
        <v>321</v>
      </c>
      <c r="T9" s="1" t="s">
        <v>321</v>
      </c>
      <c r="U9" s="1" t="s">
        <v>321</v>
      </c>
      <c r="V9" s="1" t="s">
        <v>321</v>
      </c>
      <c r="W9" s="1" t="s">
        <v>321</v>
      </c>
      <c r="X9" s="1" t="s">
        <v>321</v>
      </c>
      <c r="Y9" s="1" t="s">
        <v>321</v>
      </c>
      <c r="Z9" s="1" t="s">
        <v>321</v>
      </c>
    </row>
    <row r="10" spans="1:26" x14ac:dyDescent="0.25">
      <c r="A10" t="s">
        <v>281</v>
      </c>
      <c r="B10" t="s">
        <v>282</v>
      </c>
      <c r="C10" t="s">
        <v>283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306</v>
      </c>
      <c r="B11" t="s">
        <v>307</v>
      </c>
      <c r="C11" t="s">
        <v>308</v>
      </c>
      <c r="E11">
        <v>0.94</v>
      </c>
      <c r="F11">
        <v>0.05</v>
      </c>
      <c r="G11">
        <v>2.2000000000000002</v>
      </c>
      <c r="H11">
        <v>0.1</v>
      </c>
      <c r="I11">
        <v>0.85</v>
      </c>
      <c r="J11">
        <v>1.77</v>
      </c>
      <c r="K11">
        <v>0.93</v>
      </c>
      <c r="L11">
        <v>2.46</v>
      </c>
      <c r="M11">
        <v>0.26</v>
      </c>
      <c r="N11">
        <v>0.69</v>
      </c>
      <c r="O11">
        <v>1.02</v>
      </c>
      <c r="P11">
        <v>0.32</v>
      </c>
      <c r="Q11">
        <v>0.25</v>
      </c>
      <c r="R11">
        <v>0.46</v>
      </c>
      <c r="S11">
        <v>1.52</v>
      </c>
      <c r="T11">
        <v>0.39</v>
      </c>
      <c r="U11">
        <v>3.49</v>
      </c>
      <c r="V11">
        <v>0.54</v>
      </c>
      <c r="X11">
        <v>0.97</v>
      </c>
      <c r="Y11">
        <v>3.04</v>
      </c>
      <c r="Z11">
        <v>0.86</v>
      </c>
    </row>
    <row r="12" spans="1:26" x14ac:dyDescent="0.25">
      <c r="A12" t="s">
        <v>284</v>
      </c>
      <c r="B12" t="s">
        <v>285</v>
      </c>
      <c r="C12" t="s">
        <v>286</v>
      </c>
      <c r="D12">
        <v>4.09</v>
      </c>
      <c r="E12">
        <v>3.15</v>
      </c>
      <c r="F12">
        <v>4.5999999999999996</v>
      </c>
      <c r="G12">
        <v>2.27</v>
      </c>
      <c r="H12">
        <v>1.25</v>
      </c>
      <c r="I12">
        <v>0.82</v>
      </c>
      <c r="J12">
        <v>1.65</v>
      </c>
      <c r="K12">
        <v>1.26</v>
      </c>
      <c r="L12">
        <v>1.65</v>
      </c>
      <c r="M12">
        <v>3.33</v>
      </c>
      <c r="N12">
        <v>4.97</v>
      </c>
      <c r="O12">
        <v>1.93</v>
      </c>
      <c r="P12">
        <v>2.8</v>
      </c>
      <c r="Q12">
        <v>5.0599999999999996</v>
      </c>
      <c r="R12">
        <v>5.84</v>
      </c>
      <c r="S12">
        <v>0.49</v>
      </c>
      <c r="T12">
        <v>4.63</v>
      </c>
      <c r="U12">
        <v>5.27</v>
      </c>
      <c r="V12">
        <v>5.83</v>
      </c>
      <c r="W12">
        <v>4.28</v>
      </c>
      <c r="X12">
        <v>1.94</v>
      </c>
      <c r="Y12">
        <v>5.35</v>
      </c>
      <c r="Z12">
        <v>3.93</v>
      </c>
    </row>
    <row r="13" spans="1:26" x14ac:dyDescent="0.25">
      <c r="A13" t="s">
        <v>288</v>
      </c>
      <c r="B13" t="s">
        <v>289</v>
      </c>
      <c r="C13" t="s">
        <v>290</v>
      </c>
      <c r="D13">
        <v>1.39</v>
      </c>
      <c r="E13">
        <v>3.09</v>
      </c>
      <c r="F13">
        <v>1.59</v>
      </c>
      <c r="G13">
        <v>2.84</v>
      </c>
      <c r="H13">
        <v>1.54</v>
      </c>
      <c r="I13">
        <v>3.77</v>
      </c>
      <c r="J13">
        <v>3.16</v>
      </c>
      <c r="K13">
        <v>1.84</v>
      </c>
      <c r="L13">
        <v>2.6</v>
      </c>
      <c r="M13">
        <v>1.9</v>
      </c>
      <c r="N13">
        <v>1.76</v>
      </c>
      <c r="O13">
        <v>4.66</v>
      </c>
      <c r="P13">
        <v>3.8</v>
      </c>
      <c r="Q13">
        <v>5.34</v>
      </c>
      <c r="R13">
        <v>8.81</v>
      </c>
      <c r="S13">
        <v>1.42</v>
      </c>
      <c r="T13">
        <v>5.87</v>
      </c>
      <c r="U13">
        <v>5.39</v>
      </c>
      <c r="V13">
        <v>0.88</v>
      </c>
      <c r="W13">
        <v>0.06</v>
      </c>
      <c r="X13">
        <v>1.71</v>
      </c>
      <c r="Y13">
        <v>3.85</v>
      </c>
      <c r="Z13">
        <v>8.98</v>
      </c>
    </row>
    <row r="14" spans="1:26" x14ac:dyDescent="0.25">
      <c r="A14" t="s">
        <v>291</v>
      </c>
      <c r="B14" t="s">
        <v>292</v>
      </c>
      <c r="C14" t="s">
        <v>293</v>
      </c>
      <c r="D14">
        <v>12.02</v>
      </c>
      <c r="E14">
        <v>13.08</v>
      </c>
      <c r="F14">
        <v>12.58</v>
      </c>
      <c r="G14">
        <v>9.66</v>
      </c>
      <c r="H14">
        <v>8.4</v>
      </c>
      <c r="I14">
        <v>6.76</v>
      </c>
      <c r="J14">
        <v>8.2100000000000009</v>
      </c>
      <c r="K14">
        <v>9.75</v>
      </c>
      <c r="L14">
        <v>8.84</v>
      </c>
      <c r="M14">
        <v>9.73</v>
      </c>
      <c r="N14">
        <v>13.73</v>
      </c>
      <c r="O14">
        <v>12.51</v>
      </c>
      <c r="P14">
        <v>13.99</v>
      </c>
      <c r="Q14">
        <v>16.66</v>
      </c>
      <c r="R14">
        <v>15.7</v>
      </c>
      <c r="S14">
        <v>12.84</v>
      </c>
      <c r="T14">
        <v>14.44</v>
      </c>
      <c r="U14">
        <v>15.26</v>
      </c>
      <c r="V14">
        <v>10.67</v>
      </c>
      <c r="W14">
        <v>13.06</v>
      </c>
      <c r="X14">
        <v>9.4499999999999993</v>
      </c>
      <c r="Y14">
        <v>10.25</v>
      </c>
      <c r="Z14">
        <v>5.07</v>
      </c>
    </row>
    <row r="15" spans="1:26" x14ac:dyDescent="0.25">
      <c r="A15" t="s">
        <v>294</v>
      </c>
      <c r="B15" t="s">
        <v>295</v>
      </c>
      <c r="C15" t="s">
        <v>296</v>
      </c>
      <c r="D15">
        <v>0.22</v>
      </c>
      <c r="E15">
        <v>0</v>
      </c>
      <c r="F15">
        <v>4.1399999999999997</v>
      </c>
      <c r="G15">
        <v>4.24</v>
      </c>
      <c r="H15">
        <v>0.17</v>
      </c>
      <c r="I15">
        <v>0.49</v>
      </c>
      <c r="J15">
        <v>3.63</v>
      </c>
      <c r="K15">
        <v>2.82</v>
      </c>
      <c r="L15">
        <v>1.37</v>
      </c>
      <c r="M15">
        <v>0.63</v>
      </c>
      <c r="N15">
        <v>0.76</v>
      </c>
      <c r="O15">
        <v>0.51</v>
      </c>
      <c r="P15">
        <v>1.79</v>
      </c>
      <c r="Q15">
        <v>1.79</v>
      </c>
      <c r="R15">
        <v>1.0900000000000001</v>
      </c>
      <c r="S15">
        <v>6.15</v>
      </c>
      <c r="T15">
        <v>1.21</v>
      </c>
      <c r="U15">
        <v>10.51</v>
      </c>
      <c r="V15">
        <v>3.37</v>
      </c>
      <c r="W15">
        <v>3.95</v>
      </c>
      <c r="X15">
        <v>1.31</v>
      </c>
      <c r="Y15">
        <v>1.27</v>
      </c>
      <c r="Z15">
        <v>0.41</v>
      </c>
    </row>
    <row r="16" spans="1:26" x14ac:dyDescent="0.25">
      <c r="A16" t="s">
        <v>297</v>
      </c>
      <c r="B16" t="s">
        <v>298</v>
      </c>
      <c r="C16" t="s">
        <v>299</v>
      </c>
      <c r="D16">
        <v>1.66</v>
      </c>
      <c r="E16">
        <v>5.51</v>
      </c>
      <c r="F16">
        <v>3.26</v>
      </c>
      <c r="G16">
        <v>11.56</v>
      </c>
      <c r="H16">
        <v>7.55</v>
      </c>
      <c r="I16">
        <v>3.59</v>
      </c>
      <c r="J16">
        <v>0.74</v>
      </c>
      <c r="K16">
        <v>6.73</v>
      </c>
      <c r="L16">
        <v>1.78</v>
      </c>
      <c r="M16">
        <v>8.1300000000000008</v>
      </c>
      <c r="N16">
        <v>1.53</v>
      </c>
      <c r="O16">
        <v>3.35</v>
      </c>
      <c r="P16">
        <v>4.4000000000000004</v>
      </c>
      <c r="Q16">
        <v>0</v>
      </c>
      <c r="R16">
        <v>1.35</v>
      </c>
      <c r="S16">
        <v>2.02</v>
      </c>
      <c r="T16">
        <v>1.31</v>
      </c>
      <c r="U16">
        <v>3.42</v>
      </c>
      <c r="V16">
        <v>5.79</v>
      </c>
      <c r="W16">
        <v>1.4</v>
      </c>
      <c r="X16">
        <v>4.76</v>
      </c>
      <c r="Y16">
        <v>3.05</v>
      </c>
      <c r="Z16">
        <v>4.7699999999999996</v>
      </c>
    </row>
    <row r="17" spans="1:26" x14ac:dyDescent="0.25">
      <c r="A17" t="s">
        <v>300</v>
      </c>
      <c r="B17" t="s">
        <v>301</v>
      </c>
      <c r="C17" t="s">
        <v>302</v>
      </c>
      <c r="D17">
        <v>5.51</v>
      </c>
      <c r="E17">
        <v>0</v>
      </c>
      <c r="F17">
        <v>6.43</v>
      </c>
      <c r="G17">
        <v>2.1800000000000002</v>
      </c>
      <c r="H17">
        <v>7.03</v>
      </c>
      <c r="I17">
        <v>2.8</v>
      </c>
      <c r="J17">
        <v>3.94</v>
      </c>
      <c r="K17">
        <v>5.05</v>
      </c>
      <c r="L17">
        <v>3.14</v>
      </c>
      <c r="M17">
        <v>0</v>
      </c>
      <c r="N17">
        <v>0.76</v>
      </c>
      <c r="O17">
        <v>3.01</v>
      </c>
      <c r="P17">
        <v>8.66</v>
      </c>
      <c r="Q17">
        <v>2.1800000000000002</v>
      </c>
      <c r="R17">
        <v>2.67</v>
      </c>
      <c r="S17">
        <v>3.99</v>
      </c>
      <c r="T17">
        <v>2.89</v>
      </c>
      <c r="U17">
        <v>0</v>
      </c>
      <c r="V17">
        <v>7.44</v>
      </c>
      <c r="W17">
        <v>6.53</v>
      </c>
      <c r="X17">
        <v>2.95</v>
      </c>
      <c r="Y17">
        <v>10.55</v>
      </c>
      <c r="Z17">
        <v>1.89</v>
      </c>
    </row>
    <row r="18" spans="1:26" x14ac:dyDescent="0.25">
      <c r="A18" t="s">
        <v>303</v>
      </c>
      <c r="B18" t="s">
        <v>304</v>
      </c>
      <c r="C18" t="s">
        <v>305</v>
      </c>
      <c r="E18">
        <v>0</v>
      </c>
      <c r="G18">
        <v>1.59</v>
      </c>
      <c r="I18">
        <v>8.57</v>
      </c>
      <c r="J18">
        <v>16.760000000000002</v>
      </c>
      <c r="K18">
        <v>8</v>
      </c>
      <c r="L18">
        <v>13.77</v>
      </c>
      <c r="M18">
        <v>5.05</v>
      </c>
      <c r="N18">
        <v>3.63</v>
      </c>
      <c r="O18">
        <v>5.24</v>
      </c>
      <c r="P18">
        <v>13.69</v>
      </c>
      <c r="Q18">
        <v>0</v>
      </c>
      <c r="R18">
        <v>4.04</v>
      </c>
      <c r="S18">
        <v>9.56</v>
      </c>
      <c r="X18">
        <v>2.89</v>
      </c>
      <c r="Z18">
        <v>0</v>
      </c>
    </row>
    <row r="19" spans="1:26" x14ac:dyDescent="0.25">
      <c r="A19" t="s">
        <v>38</v>
      </c>
      <c r="B19" t="s">
        <v>39</v>
      </c>
      <c r="C19" t="s">
        <v>40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41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44</v>
      </c>
      <c r="B21" t="s">
        <v>45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47</v>
      </c>
      <c r="B22" t="s">
        <v>48</v>
      </c>
      <c r="C22" t="s">
        <v>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50</v>
      </c>
      <c r="B23" t="s">
        <v>51</v>
      </c>
      <c r="C23" t="s">
        <v>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53</v>
      </c>
      <c r="B24" t="s">
        <v>54</v>
      </c>
      <c r="C24" t="s">
        <v>55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56</v>
      </c>
      <c r="B25" t="s">
        <v>57</v>
      </c>
      <c r="C25" t="s">
        <v>58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59</v>
      </c>
      <c r="B26" t="s">
        <v>60</v>
      </c>
      <c r="C26" t="s">
        <v>61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62</v>
      </c>
      <c r="B27" t="s">
        <v>63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65</v>
      </c>
      <c r="B28" t="s">
        <v>66</v>
      </c>
      <c r="C28" t="s">
        <v>67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68</v>
      </c>
      <c r="B29" t="s">
        <v>69</v>
      </c>
      <c r="C29" t="s">
        <v>70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71</v>
      </c>
      <c r="B30" t="s">
        <v>72</v>
      </c>
      <c r="C30" t="s">
        <v>73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74</v>
      </c>
      <c r="B31" t="s">
        <v>75</v>
      </c>
      <c r="C31" t="s">
        <v>76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77</v>
      </c>
      <c r="B32" t="s">
        <v>78</v>
      </c>
      <c r="C32" t="s">
        <v>79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81</v>
      </c>
      <c r="B33" t="s">
        <v>82</v>
      </c>
      <c r="C3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84</v>
      </c>
      <c r="B34" t="s">
        <v>85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 t="s">
        <v>87</v>
      </c>
      <c r="B35" t="s">
        <v>88</v>
      </c>
      <c r="C35" t="s">
        <v>89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90</v>
      </c>
      <c r="B36" t="s">
        <v>91</v>
      </c>
      <c r="C36" t="s">
        <v>92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93</v>
      </c>
      <c r="B37" t="s">
        <v>94</v>
      </c>
      <c r="C37" t="s">
        <v>95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96</v>
      </c>
      <c r="B38" t="s">
        <v>97</v>
      </c>
      <c r="C38" t="s">
        <v>98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99</v>
      </c>
      <c r="B39" t="s">
        <v>100</v>
      </c>
      <c r="C39" t="s">
        <v>101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 t="s">
        <v>102</v>
      </c>
      <c r="B40" t="s">
        <v>103</v>
      </c>
      <c r="C40" t="s">
        <v>104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105</v>
      </c>
      <c r="B41" t="s">
        <v>106</v>
      </c>
      <c r="C41" t="s">
        <v>107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108</v>
      </c>
      <c r="B42" t="s">
        <v>109</v>
      </c>
      <c r="C42" t="s">
        <v>110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111</v>
      </c>
      <c r="B43" t="s">
        <v>112</v>
      </c>
      <c r="C43" t="s">
        <v>113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5">
      <c r="A44" t="s">
        <v>114</v>
      </c>
      <c r="B44" t="s">
        <v>115</v>
      </c>
      <c r="C44" t="s">
        <v>116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5">
      <c r="A45" t="s">
        <v>117</v>
      </c>
      <c r="B45" t="s">
        <v>118</v>
      </c>
      <c r="C45" t="s">
        <v>119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120</v>
      </c>
      <c r="B46" t="s">
        <v>121</v>
      </c>
      <c r="C46" t="s">
        <v>122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123</v>
      </c>
      <c r="B47" t="s">
        <v>124</v>
      </c>
      <c r="C47" t="s">
        <v>125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127</v>
      </c>
      <c r="B48" t="s">
        <v>128</v>
      </c>
      <c r="C48" t="s">
        <v>129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130</v>
      </c>
      <c r="B49" t="s">
        <v>131</v>
      </c>
      <c r="C49" t="s">
        <v>132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133</v>
      </c>
      <c r="B50" t="s">
        <v>134</v>
      </c>
      <c r="C50" t="s">
        <v>135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t="s">
        <v>136</v>
      </c>
      <c r="B51" t="s">
        <v>137</v>
      </c>
      <c r="C51" t="s">
        <v>138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 t="s">
        <v>139</v>
      </c>
      <c r="B52" t="s">
        <v>140</v>
      </c>
      <c r="C52" t="s">
        <v>141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 t="s">
        <v>142</v>
      </c>
      <c r="B53" t="s">
        <v>143</v>
      </c>
      <c r="C53" t="s">
        <v>144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5">
      <c r="A54" t="s">
        <v>145</v>
      </c>
      <c r="B54" t="s">
        <v>146</v>
      </c>
      <c r="C54" t="s">
        <v>147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148</v>
      </c>
      <c r="B55" t="s">
        <v>149</v>
      </c>
      <c r="C55" t="s">
        <v>150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151</v>
      </c>
      <c r="B56" t="s">
        <v>152</v>
      </c>
      <c r="C56" t="s">
        <v>153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154</v>
      </c>
      <c r="B57" t="s">
        <v>155</v>
      </c>
      <c r="C57" t="s">
        <v>156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157</v>
      </c>
      <c r="B58" t="s">
        <v>158</v>
      </c>
      <c r="C58" t="s">
        <v>159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160</v>
      </c>
      <c r="B59" t="s">
        <v>161</v>
      </c>
      <c r="C59" t="s">
        <v>162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t="s">
        <v>163</v>
      </c>
      <c r="B60" t="s">
        <v>164</v>
      </c>
      <c r="C60" t="s">
        <v>165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166</v>
      </c>
      <c r="B61" t="s">
        <v>167</v>
      </c>
      <c r="C61" t="s">
        <v>168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5">
      <c r="A62" t="s">
        <v>169</v>
      </c>
      <c r="B62" t="s">
        <v>170</v>
      </c>
      <c r="C62" t="s">
        <v>171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5">
      <c r="A63" t="s">
        <v>173</v>
      </c>
      <c r="B63" t="s">
        <v>174</v>
      </c>
      <c r="C63" t="s">
        <v>175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176</v>
      </c>
      <c r="B64" t="s">
        <v>177</v>
      </c>
      <c r="C64" t="s">
        <v>178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179</v>
      </c>
      <c r="B65" t="s">
        <v>180</v>
      </c>
      <c r="C65" t="s">
        <v>181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182</v>
      </c>
      <c r="B66" t="s">
        <v>183</v>
      </c>
      <c r="C66" t="s">
        <v>184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185</v>
      </c>
      <c r="B67" t="s">
        <v>186</v>
      </c>
      <c r="C67" t="s">
        <v>187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5">
      <c r="A68" t="s">
        <v>188</v>
      </c>
      <c r="B68" t="s">
        <v>189</v>
      </c>
      <c r="C68" t="s">
        <v>190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 t="s">
        <v>191</v>
      </c>
      <c r="B69" t="s">
        <v>192</v>
      </c>
      <c r="C69" t="s">
        <v>193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 t="s">
        <v>194</v>
      </c>
      <c r="B70" t="s">
        <v>195</v>
      </c>
      <c r="C70" t="s">
        <v>196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197</v>
      </c>
      <c r="B71" t="s">
        <v>198</v>
      </c>
      <c r="C71" t="s">
        <v>199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200</v>
      </c>
      <c r="B72" t="s">
        <v>201</v>
      </c>
      <c r="C72" t="s">
        <v>202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203</v>
      </c>
      <c r="B73" t="s">
        <v>204</v>
      </c>
      <c r="C73" t="s">
        <v>205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206</v>
      </c>
      <c r="B74" t="s">
        <v>207</v>
      </c>
      <c r="C74" t="s">
        <v>208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209</v>
      </c>
      <c r="B75" t="s">
        <v>210</v>
      </c>
      <c r="C75" t="s">
        <v>211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212</v>
      </c>
      <c r="B76" t="s">
        <v>213</v>
      </c>
      <c r="C76" t="s">
        <v>214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 t="s">
        <v>215</v>
      </c>
      <c r="B77" t="s">
        <v>216</v>
      </c>
      <c r="C77" t="s">
        <v>217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 t="s">
        <v>219</v>
      </c>
      <c r="B78" t="s">
        <v>220</v>
      </c>
      <c r="C78" t="s">
        <v>221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5">
      <c r="A79" t="s">
        <v>222</v>
      </c>
      <c r="B79" t="s">
        <v>223</v>
      </c>
      <c r="C79" t="s">
        <v>224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 t="s">
        <v>225</v>
      </c>
      <c r="B80" t="s">
        <v>226</v>
      </c>
      <c r="C80" t="s">
        <v>227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 t="s">
        <v>228</v>
      </c>
      <c r="B81" t="s">
        <v>229</v>
      </c>
      <c r="C81" t="s">
        <v>230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5">
      <c r="A82" t="s">
        <v>231</v>
      </c>
      <c r="B82" t="s">
        <v>232</v>
      </c>
      <c r="C82" t="s">
        <v>233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 t="s">
        <v>234</v>
      </c>
      <c r="B83" t="s">
        <v>235</v>
      </c>
      <c r="C83" t="s">
        <v>236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 t="s">
        <v>237</v>
      </c>
      <c r="B84" t="s">
        <v>238</v>
      </c>
      <c r="C84" t="s">
        <v>239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 t="s">
        <v>240</v>
      </c>
      <c r="B85" t="s">
        <v>241</v>
      </c>
      <c r="C85" t="s">
        <v>242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243</v>
      </c>
      <c r="B86" t="s">
        <v>244</v>
      </c>
      <c r="C86" t="s">
        <v>245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t="s">
        <v>246</v>
      </c>
      <c r="B87" t="s">
        <v>247</v>
      </c>
      <c r="C87" t="s">
        <v>248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5">
      <c r="A88" t="s">
        <v>249</v>
      </c>
      <c r="B88" t="s">
        <v>250</v>
      </c>
      <c r="C88" t="s">
        <v>251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5">
      <c r="A89" t="s">
        <v>252</v>
      </c>
      <c r="B89" t="s">
        <v>253</v>
      </c>
      <c r="C89" t="s">
        <v>254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 t="s">
        <v>255</v>
      </c>
      <c r="B90" t="s">
        <v>256</v>
      </c>
      <c r="C90" t="s">
        <v>257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 t="s">
        <v>258</v>
      </c>
      <c r="B91" t="s">
        <v>259</v>
      </c>
      <c r="C91" t="s">
        <v>260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t="s">
        <v>261</v>
      </c>
      <c r="B92" t="s">
        <v>262</v>
      </c>
      <c r="C92" t="s">
        <v>263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 t="s">
        <v>265</v>
      </c>
      <c r="B93" t="s">
        <v>266</v>
      </c>
      <c r="C93" t="s">
        <v>267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 t="s">
        <v>268</v>
      </c>
      <c r="B94" t="s">
        <v>269</v>
      </c>
      <c r="C94" t="s">
        <v>270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5">
      <c r="A95" t="s">
        <v>271</v>
      </c>
      <c r="B95" t="s">
        <v>272</v>
      </c>
      <c r="C95" t="s">
        <v>273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 t="s">
        <v>274</v>
      </c>
      <c r="B96" t="s">
        <v>275</v>
      </c>
      <c r="C96" t="s">
        <v>276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t="s">
        <v>277</v>
      </c>
      <c r="B97" t="s">
        <v>278</v>
      </c>
      <c r="C97" t="s">
        <v>279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9" spans="1:26" x14ac:dyDescent="0.25">
      <c r="A99" t="s">
        <v>310</v>
      </c>
    </row>
    <row r="100" spans="1:26" x14ac:dyDescent="0.25">
      <c r="A100" t="s">
        <v>311</v>
      </c>
    </row>
    <row r="101" spans="1:26" x14ac:dyDescent="0.25">
      <c r="A101" t="s">
        <v>312</v>
      </c>
    </row>
    <row r="102" spans="1:26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2"/>
  <sheetViews>
    <sheetView workbookViewId="0">
      <selection activeCell="M18" sqref="M18"/>
    </sheetView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26" width="13.425781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322</v>
      </c>
      <c r="E9" s="1" t="s">
        <v>322</v>
      </c>
      <c r="F9" s="1" t="s">
        <v>322</v>
      </c>
      <c r="G9" s="1" t="s">
        <v>322</v>
      </c>
      <c r="H9" s="1" t="s">
        <v>322</v>
      </c>
      <c r="I9" s="1" t="s">
        <v>322</v>
      </c>
      <c r="J9" s="1" t="s">
        <v>322</v>
      </c>
      <c r="K9" s="1" t="s">
        <v>322</v>
      </c>
      <c r="L9" s="1" t="s">
        <v>322</v>
      </c>
      <c r="M9" s="1" t="s">
        <v>322</v>
      </c>
      <c r="N9" s="1" t="s">
        <v>322</v>
      </c>
      <c r="O9" s="1" t="s">
        <v>322</v>
      </c>
      <c r="P9" s="1" t="s">
        <v>322</v>
      </c>
      <c r="Q9" s="1" t="s">
        <v>322</v>
      </c>
      <c r="R9" s="1" t="s">
        <v>322</v>
      </c>
      <c r="S9" s="1" t="s">
        <v>322</v>
      </c>
      <c r="T9" s="1" t="s">
        <v>322</v>
      </c>
      <c r="U9" s="1" t="s">
        <v>322</v>
      </c>
      <c r="V9" s="1" t="s">
        <v>322</v>
      </c>
      <c r="W9" s="1" t="s">
        <v>322</v>
      </c>
      <c r="X9" s="1" t="s">
        <v>322</v>
      </c>
      <c r="Y9" s="1" t="s">
        <v>322</v>
      </c>
      <c r="Z9" s="1" t="s">
        <v>322</v>
      </c>
    </row>
    <row r="10" spans="1:26" x14ac:dyDescent="0.25">
      <c r="A10" t="s">
        <v>281</v>
      </c>
      <c r="B10" t="s">
        <v>282</v>
      </c>
      <c r="C10" t="s">
        <v>283</v>
      </c>
    </row>
    <row r="11" spans="1:26" x14ac:dyDescent="0.25">
      <c r="A11" t="s">
        <v>306</v>
      </c>
      <c r="B11" t="s">
        <v>307</v>
      </c>
      <c r="C11" t="s">
        <v>308</v>
      </c>
      <c r="E11">
        <v>75271.48</v>
      </c>
      <c r="F11" t="s">
        <v>309</v>
      </c>
      <c r="G11">
        <v>20632.919999999998</v>
      </c>
      <c r="H11">
        <v>67622.880000000005</v>
      </c>
      <c r="I11">
        <v>221421.44</v>
      </c>
      <c r="J11">
        <v>74274.070000000007</v>
      </c>
      <c r="K11">
        <v>205544.34</v>
      </c>
      <c r="L11">
        <v>9210.68</v>
      </c>
      <c r="M11">
        <v>9631.44</v>
      </c>
      <c r="N11">
        <v>35573.81</v>
      </c>
      <c r="O11">
        <v>24681.88</v>
      </c>
      <c r="P11">
        <v>8306.52</v>
      </c>
      <c r="Q11">
        <v>10750.31</v>
      </c>
      <c r="R11">
        <v>16550.599999999999</v>
      </c>
      <c r="S11">
        <v>14187.1</v>
      </c>
      <c r="T11">
        <v>54609.99</v>
      </c>
      <c r="U11">
        <v>33825.72</v>
      </c>
      <c r="V11">
        <v>334974.42</v>
      </c>
      <c r="X11">
        <v>8980.11</v>
      </c>
      <c r="Y11">
        <v>47151.040000000001</v>
      </c>
      <c r="Z11">
        <v>57585.58</v>
      </c>
    </row>
    <row r="12" spans="1:26" x14ac:dyDescent="0.25">
      <c r="A12" t="s">
        <v>284</v>
      </c>
      <c r="B12" t="s">
        <v>285</v>
      </c>
      <c r="C12" t="s">
        <v>286</v>
      </c>
      <c r="D12">
        <v>8839.77</v>
      </c>
      <c r="E12">
        <v>18762.25</v>
      </c>
      <c r="F12">
        <v>20960.91</v>
      </c>
      <c r="G12">
        <v>6067.06</v>
      </c>
      <c r="H12">
        <v>18204.66</v>
      </c>
      <c r="I12">
        <v>65672.5</v>
      </c>
      <c r="J12">
        <v>20743.36</v>
      </c>
      <c r="K12">
        <v>51435.54</v>
      </c>
      <c r="L12">
        <v>2407.4</v>
      </c>
      <c r="M12">
        <v>2459.85</v>
      </c>
      <c r="N12">
        <v>8941.9699999999993</v>
      </c>
      <c r="O12">
        <v>6199.85</v>
      </c>
      <c r="P12">
        <v>2266.7399999999998</v>
      </c>
      <c r="Q12">
        <v>2993.32</v>
      </c>
      <c r="R12">
        <v>4232.43</v>
      </c>
      <c r="S12">
        <v>3726.07</v>
      </c>
      <c r="T12">
        <v>11468.02</v>
      </c>
      <c r="U12">
        <v>8837.4</v>
      </c>
      <c r="V12">
        <v>71857.72</v>
      </c>
      <c r="W12">
        <v>12733.22</v>
      </c>
      <c r="X12">
        <v>1992.22</v>
      </c>
      <c r="Y12">
        <v>14200.46</v>
      </c>
      <c r="Z12">
        <v>15873.78</v>
      </c>
    </row>
    <row r="13" spans="1:26" x14ac:dyDescent="0.25">
      <c r="A13" t="s">
        <v>288</v>
      </c>
      <c r="B13" t="s">
        <v>289</v>
      </c>
      <c r="C13" t="s">
        <v>290</v>
      </c>
      <c r="D13">
        <v>2210.09</v>
      </c>
      <c r="E13">
        <v>4659.45</v>
      </c>
      <c r="F13">
        <v>4943.59</v>
      </c>
      <c r="G13">
        <v>1264.27</v>
      </c>
      <c r="H13">
        <v>4343.26</v>
      </c>
      <c r="I13">
        <v>13638.08</v>
      </c>
      <c r="J13">
        <v>4292.3599999999997</v>
      </c>
      <c r="K13">
        <v>12617.12</v>
      </c>
      <c r="L13">
        <v>571.29999999999995</v>
      </c>
      <c r="M13">
        <v>595.57000000000005</v>
      </c>
      <c r="N13">
        <v>2180.9699999999998</v>
      </c>
      <c r="O13">
        <v>1529.79</v>
      </c>
      <c r="P13">
        <v>482.82</v>
      </c>
      <c r="Q13">
        <v>630.64</v>
      </c>
      <c r="R13">
        <v>989.79</v>
      </c>
      <c r="S13">
        <v>875.31</v>
      </c>
      <c r="T13">
        <v>3065.88</v>
      </c>
      <c r="U13">
        <v>2131.63</v>
      </c>
      <c r="V13">
        <v>18752.97</v>
      </c>
      <c r="W13">
        <v>3175.73</v>
      </c>
      <c r="X13">
        <v>537.65</v>
      </c>
      <c r="Y13">
        <v>3156.06</v>
      </c>
      <c r="Z13">
        <v>3309.65</v>
      </c>
    </row>
    <row r="14" spans="1:26" x14ac:dyDescent="0.25">
      <c r="A14" t="s">
        <v>291</v>
      </c>
      <c r="B14" t="s">
        <v>292</v>
      </c>
      <c r="C14" t="s">
        <v>293</v>
      </c>
      <c r="D14">
        <v>552.21</v>
      </c>
      <c r="E14">
        <v>1196.17</v>
      </c>
      <c r="F14">
        <v>1392.85</v>
      </c>
      <c r="G14">
        <v>352.44</v>
      </c>
      <c r="H14">
        <v>1116.5999999999999</v>
      </c>
      <c r="I14">
        <v>3934.18</v>
      </c>
      <c r="J14">
        <v>1278.06</v>
      </c>
      <c r="K14">
        <v>3323.88</v>
      </c>
      <c r="L14">
        <v>149.99</v>
      </c>
      <c r="M14">
        <v>153.61000000000001</v>
      </c>
      <c r="N14">
        <v>570.27</v>
      </c>
      <c r="O14">
        <v>394.94</v>
      </c>
      <c r="P14">
        <v>144.05000000000001</v>
      </c>
      <c r="Q14">
        <v>183.82</v>
      </c>
      <c r="R14">
        <v>283.56</v>
      </c>
      <c r="S14">
        <v>229.82</v>
      </c>
      <c r="T14">
        <v>805.52</v>
      </c>
      <c r="U14">
        <v>546.33000000000004</v>
      </c>
      <c r="V14">
        <v>4756.05</v>
      </c>
      <c r="W14">
        <v>796.62</v>
      </c>
      <c r="X14">
        <v>132.15</v>
      </c>
      <c r="Y14">
        <v>836.13</v>
      </c>
      <c r="Z14">
        <v>982.57</v>
      </c>
    </row>
    <row r="15" spans="1:26" x14ac:dyDescent="0.25">
      <c r="A15" t="s">
        <v>294</v>
      </c>
      <c r="B15" t="s">
        <v>295</v>
      </c>
      <c r="C15" t="s">
        <v>296</v>
      </c>
      <c r="D15">
        <v>138.34</v>
      </c>
      <c r="E15">
        <v>291.92</v>
      </c>
      <c r="F15">
        <v>325.2</v>
      </c>
      <c r="G15">
        <v>86.8</v>
      </c>
      <c r="H15">
        <v>275.88</v>
      </c>
      <c r="I15">
        <v>897.49</v>
      </c>
      <c r="J15">
        <v>300.13</v>
      </c>
      <c r="K15">
        <v>783.38</v>
      </c>
      <c r="L15">
        <v>36.880000000000003</v>
      </c>
      <c r="M15">
        <v>38.32</v>
      </c>
      <c r="N15">
        <v>138.08000000000001</v>
      </c>
      <c r="O15">
        <v>95.53</v>
      </c>
      <c r="P15">
        <v>33.21</v>
      </c>
      <c r="Q15">
        <v>44.44</v>
      </c>
      <c r="R15">
        <v>66.400000000000006</v>
      </c>
      <c r="S15">
        <v>56.82</v>
      </c>
      <c r="T15">
        <v>185.71</v>
      </c>
      <c r="U15">
        <v>134.16</v>
      </c>
      <c r="V15">
        <v>1151.05</v>
      </c>
      <c r="W15">
        <v>197.31</v>
      </c>
      <c r="X15">
        <v>32.130000000000003</v>
      </c>
      <c r="Y15">
        <v>201.83</v>
      </c>
      <c r="Z15">
        <v>242.43</v>
      </c>
    </row>
    <row r="16" spans="1:26" x14ac:dyDescent="0.25">
      <c r="A16" t="s">
        <v>297</v>
      </c>
      <c r="B16" t="s">
        <v>298</v>
      </c>
      <c r="C16" t="s">
        <v>299</v>
      </c>
      <c r="D16">
        <v>34.450000000000003</v>
      </c>
      <c r="E16">
        <v>70.36</v>
      </c>
      <c r="F16">
        <v>86.09</v>
      </c>
      <c r="G16">
        <v>20.86</v>
      </c>
      <c r="H16">
        <v>68.47</v>
      </c>
      <c r="I16">
        <v>231.11</v>
      </c>
      <c r="J16">
        <v>69.14</v>
      </c>
      <c r="K16">
        <v>194.07</v>
      </c>
      <c r="L16">
        <v>9.19</v>
      </c>
      <c r="M16">
        <v>8.98</v>
      </c>
      <c r="N16">
        <v>33.1</v>
      </c>
      <c r="O16">
        <v>22.96</v>
      </c>
      <c r="P16">
        <v>7.87</v>
      </c>
      <c r="Q16">
        <v>9.93</v>
      </c>
      <c r="R16">
        <v>14.54</v>
      </c>
      <c r="S16">
        <v>13.51</v>
      </c>
      <c r="T16">
        <v>49.84</v>
      </c>
      <c r="U16">
        <v>33.93</v>
      </c>
      <c r="V16">
        <v>301.16000000000003</v>
      </c>
      <c r="W16">
        <v>50.71</v>
      </c>
      <c r="X16">
        <v>7.96</v>
      </c>
      <c r="Y16">
        <v>51.43</v>
      </c>
      <c r="Z16">
        <v>53.72</v>
      </c>
    </row>
    <row r="17" spans="1:26" x14ac:dyDescent="0.25">
      <c r="A17" t="s">
        <v>300</v>
      </c>
      <c r="B17" t="s">
        <v>301</v>
      </c>
      <c r="C17" t="s">
        <v>302</v>
      </c>
      <c r="D17">
        <v>8.65</v>
      </c>
      <c r="E17">
        <v>21.38</v>
      </c>
      <c r="F17">
        <v>19.78</v>
      </c>
      <c r="G17">
        <v>5.25</v>
      </c>
      <c r="H17">
        <v>17.399999999999999</v>
      </c>
      <c r="I17">
        <v>58.14</v>
      </c>
      <c r="J17">
        <v>20.7</v>
      </c>
      <c r="K17">
        <v>55.28</v>
      </c>
      <c r="L17">
        <v>2.19</v>
      </c>
      <c r="M17">
        <v>2.77</v>
      </c>
      <c r="N17">
        <v>9.4499999999999993</v>
      </c>
      <c r="O17">
        <v>7.3</v>
      </c>
      <c r="P17">
        <v>2.17</v>
      </c>
      <c r="Q17">
        <v>3.05</v>
      </c>
      <c r="R17">
        <v>4.58</v>
      </c>
      <c r="S17">
        <v>3.97</v>
      </c>
      <c r="T17">
        <v>11.59</v>
      </c>
      <c r="U17">
        <v>8.42</v>
      </c>
      <c r="V17">
        <v>69.33</v>
      </c>
      <c r="W17">
        <v>11.71</v>
      </c>
      <c r="X17">
        <v>2.31</v>
      </c>
      <c r="Y17">
        <v>12.7</v>
      </c>
      <c r="Z17">
        <v>13.77</v>
      </c>
    </row>
    <row r="18" spans="1:26" x14ac:dyDescent="0.25">
      <c r="A18" t="s">
        <v>303</v>
      </c>
      <c r="B18" t="s">
        <v>304</v>
      </c>
      <c r="C18" t="s">
        <v>305</v>
      </c>
      <c r="E18">
        <v>3.4</v>
      </c>
      <c r="G18">
        <v>1.41</v>
      </c>
      <c r="I18">
        <v>14.34</v>
      </c>
      <c r="J18">
        <v>4.43</v>
      </c>
      <c r="K18">
        <v>11.23</v>
      </c>
      <c r="L18">
        <v>0.61</v>
      </c>
      <c r="M18">
        <v>0.43</v>
      </c>
      <c r="N18">
        <v>2.0499999999999998</v>
      </c>
      <c r="O18">
        <v>1.0900000000000001</v>
      </c>
      <c r="P18">
        <v>0.51</v>
      </c>
      <c r="Q18">
        <v>0.59</v>
      </c>
      <c r="R18">
        <v>0.99</v>
      </c>
      <c r="S18">
        <v>0.71</v>
      </c>
      <c r="X18">
        <v>0.44</v>
      </c>
      <c r="Z18">
        <v>4.17</v>
      </c>
    </row>
    <row r="19" spans="1:26" x14ac:dyDescent="0.25">
      <c r="A19" t="s">
        <v>38</v>
      </c>
      <c r="B19" t="s">
        <v>39</v>
      </c>
      <c r="C19" t="s">
        <v>40</v>
      </c>
      <c r="D19">
        <v>97.06</v>
      </c>
      <c r="E19" t="s">
        <v>323</v>
      </c>
      <c r="F19" t="s">
        <v>323</v>
      </c>
      <c r="G19">
        <v>7.87</v>
      </c>
      <c r="H19" t="s">
        <v>323</v>
      </c>
      <c r="I19">
        <v>21.16</v>
      </c>
      <c r="J19">
        <v>54.59</v>
      </c>
      <c r="K19" t="s">
        <v>323</v>
      </c>
      <c r="L19">
        <v>1.02</v>
      </c>
      <c r="M19">
        <v>9.3699999999999992</v>
      </c>
      <c r="N19" t="s">
        <v>323</v>
      </c>
      <c r="O19">
        <v>10.41</v>
      </c>
      <c r="P19">
        <v>0.79</v>
      </c>
      <c r="Q19">
        <v>0.59</v>
      </c>
      <c r="R19">
        <v>2</v>
      </c>
      <c r="S19">
        <v>12.11</v>
      </c>
      <c r="T19" t="s">
        <v>323</v>
      </c>
      <c r="U19">
        <v>9.56</v>
      </c>
      <c r="V19">
        <v>109.59</v>
      </c>
      <c r="W19">
        <v>28.77</v>
      </c>
      <c r="X19">
        <v>5.39</v>
      </c>
      <c r="Y19">
        <v>68.36</v>
      </c>
      <c r="Z19">
        <v>9.26</v>
      </c>
    </row>
    <row r="20" spans="1:26" x14ac:dyDescent="0.25">
      <c r="A20" t="s">
        <v>41</v>
      </c>
      <c r="B20" t="s">
        <v>42</v>
      </c>
      <c r="C20" t="s">
        <v>43</v>
      </c>
      <c r="D20">
        <v>142.04</v>
      </c>
      <c r="E20" t="s">
        <v>323</v>
      </c>
      <c r="F20" t="s">
        <v>323</v>
      </c>
      <c r="G20">
        <v>8.2200000000000006</v>
      </c>
      <c r="H20" t="s">
        <v>323</v>
      </c>
      <c r="I20">
        <v>35.32</v>
      </c>
      <c r="J20">
        <v>62.6</v>
      </c>
      <c r="K20">
        <v>13.79</v>
      </c>
      <c r="L20">
        <v>1.91</v>
      </c>
      <c r="M20">
        <v>8.1999999999999993</v>
      </c>
      <c r="N20" t="s">
        <v>323</v>
      </c>
      <c r="O20">
        <v>10.97</v>
      </c>
      <c r="P20">
        <v>0.79</v>
      </c>
      <c r="Q20">
        <v>0.82</v>
      </c>
      <c r="R20">
        <v>1.6</v>
      </c>
      <c r="S20">
        <v>8.51</v>
      </c>
      <c r="T20" t="s">
        <v>323</v>
      </c>
      <c r="U20">
        <v>18.53</v>
      </c>
      <c r="V20">
        <v>168.36</v>
      </c>
      <c r="W20">
        <v>37.08</v>
      </c>
      <c r="X20">
        <v>5.68</v>
      </c>
      <c r="Y20">
        <v>300.35000000000002</v>
      </c>
      <c r="Z20">
        <v>12.55</v>
      </c>
    </row>
    <row r="21" spans="1:26" x14ac:dyDescent="0.25">
      <c r="A21" t="s">
        <v>44</v>
      </c>
      <c r="B21" t="s">
        <v>45</v>
      </c>
      <c r="C21" t="s">
        <v>46</v>
      </c>
      <c r="D21">
        <v>76.63</v>
      </c>
      <c r="E21" t="s">
        <v>323</v>
      </c>
      <c r="F21" t="s">
        <v>323</v>
      </c>
      <c r="G21">
        <v>8.9</v>
      </c>
      <c r="H21" t="s">
        <v>323</v>
      </c>
      <c r="I21">
        <v>33.729999999999997</v>
      </c>
      <c r="J21">
        <v>61.15</v>
      </c>
      <c r="K21">
        <v>23.43</v>
      </c>
      <c r="L21">
        <v>2.85</v>
      </c>
      <c r="M21">
        <v>9.11</v>
      </c>
      <c r="N21" t="s">
        <v>323</v>
      </c>
      <c r="O21">
        <v>11.52</v>
      </c>
      <c r="P21">
        <v>0.79</v>
      </c>
      <c r="Q21">
        <v>1.27</v>
      </c>
      <c r="R21">
        <v>1.6</v>
      </c>
      <c r="S21">
        <v>11.49</v>
      </c>
      <c r="T21" t="s">
        <v>323</v>
      </c>
      <c r="U21">
        <v>16.68</v>
      </c>
      <c r="V21">
        <v>129.19999999999999</v>
      </c>
      <c r="W21">
        <v>26.52</v>
      </c>
      <c r="X21">
        <v>4.24</v>
      </c>
      <c r="Y21">
        <v>128.21</v>
      </c>
      <c r="Z21">
        <v>15.79</v>
      </c>
    </row>
    <row r="22" spans="1:26" x14ac:dyDescent="0.25">
      <c r="A22" t="s">
        <v>47</v>
      </c>
      <c r="B22" t="s">
        <v>48</v>
      </c>
      <c r="C22" t="s">
        <v>49</v>
      </c>
      <c r="D22">
        <v>90.77</v>
      </c>
      <c r="E22" t="s">
        <v>323</v>
      </c>
      <c r="F22" t="s">
        <v>323</v>
      </c>
      <c r="G22">
        <v>6.49</v>
      </c>
      <c r="H22" t="s">
        <v>323</v>
      </c>
      <c r="I22">
        <v>58.71</v>
      </c>
      <c r="J22">
        <v>64.06</v>
      </c>
      <c r="K22">
        <v>13.79</v>
      </c>
      <c r="L22">
        <v>2.29</v>
      </c>
      <c r="M22">
        <v>3.88</v>
      </c>
      <c r="N22" t="s">
        <v>323</v>
      </c>
      <c r="O22">
        <v>5.25</v>
      </c>
      <c r="P22">
        <v>0.6</v>
      </c>
      <c r="Q22">
        <v>1.49</v>
      </c>
      <c r="R22">
        <v>1.19</v>
      </c>
      <c r="S22">
        <v>11.04</v>
      </c>
      <c r="T22" t="s">
        <v>323</v>
      </c>
      <c r="U22">
        <v>12.77</v>
      </c>
      <c r="V22">
        <v>129.19999999999999</v>
      </c>
      <c r="W22">
        <v>44.59</v>
      </c>
      <c r="X22">
        <v>7.31</v>
      </c>
      <c r="Y22">
        <v>225.49</v>
      </c>
      <c r="Z22">
        <v>9.26</v>
      </c>
    </row>
    <row r="23" spans="1:26" x14ac:dyDescent="0.25">
      <c r="A23" t="s">
        <v>50</v>
      </c>
      <c r="B23" t="s">
        <v>51</v>
      </c>
      <c r="C23" t="s">
        <v>52</v>
      </c>
      <c r="D23">
        <v>136.97</v>
      </c>
      <c r="E23" t="s">
        <v>323</v>
      </c>
      <c r="F23" t="s">
        <v>323</v>
      </c>
      <c r="G23">
        <v>13.9</v>
      </c>
      <c r="H23" t="s">
        <v>323</v>
      </c>
      <c r="I23">
        <v>63.19</v>
      </c>
      <c r="J23">
        <v>56.78</v>
      </c>
      <c r="K23">
        <v>29.54</v>
      </c>
      <c r="L23">
        <v>1.35</v>
      </c>
      <c r="M23">
        <v>12.66</v>
      </c>
      <c r="N23">
        <v>2.19</v>
      </c>
      <c r="O23">
        <v>18.98</v>
      </c>
      <c r="P23">
        <v>0.6</v>
      </c>
      <c r="Q23">
        <v>1.05</v>
      </c>
      <c r="R23">
        <v>1.19</v>
      </c>
      <c r="S23">
        <v>6.44</v>
      </c>
      <c r="T23">
        <v>20.77</v>
      </c>
      <c r="U23">
        <v>22.93</v>
      </c>
      <c r="V23">
        <v>183.28</v>
      </c>
      <c r="W23">
        <v>33.04</v>
      </c>
      <c r="X23">
        <v>4.5999999999999996</v>
      </c>
      <c r="Y23">
        <v>217.12</v>
      </c>
      <c r="Z23">
        <v>20.58</v>
      </c>
    </row>
    <row r="24" spans="1:26" x14ac:dyDescent="0.25">
      <c r="A24" t="s">
        <v>53</v>
      </c>
      <c r="B24" t="s">
        <v>54</v>
      </c>
      <c r="C24" t="s">
        <v>55</v>
      </c>
      <c r="D24">
        <v>87.81</v>
      </c>
      <c r="E24">
        <v>7.97</v>
      </c>
      <c r="F24" t="s">
        <v>323</v>
      </c>
      <c r="G24">
        <v>10.25</v>
      </c>
      <c r="H24" t="s">
        <v>323</v>
      </c>
      <c r="I24">
        <v>36.5</v>
      </c>
      <c r="J24">
        <v>66.97</v>
      </c>
      <c r="K24">
        <v>23.43</v>
      </c>
      <c r="L24">
        <v>2.4700000000000002</v>
      </c>
      <c r="M24">
        <v>9.76</v>
      </c>
      <c r="N24" t="s">
        <v>323</v>
      </c>
      <c r="O24">
        <v>11.52</v>
      </c>
      <c r="P24">
        <v>0.97</v>
      </c>
      <c r="Q24">
        <v>1.27</v>
      </c>
      <c r="R24">
        <v>1.6</v>
      </c>
      <c r="S24">
        <v>12.9</v>
      </c>
      <c r="T24" t="s">
        <v>323</v>
      </c>
      <c r="U24">
        <v>27.08</v>
      </c>
      <c r="V24">
        <v>141.16999999999999</v>
      </c>
      <c r="W24">
        <v>58.9</v>
      </c>
      <c r="X24">
        <v>7.31</v>
      </c>
      <c r="Y24">
        <v>830.46</v>
      </c>
      <c r="Z24">
        <v>14.17</v>
      </c>
    </row>
    <row r="25" spans="1:26" x14ac:dyDescent="0.25">
      <c r="A25" t="s">
        <v>56</v>
      </c>
      <c r="B25" t="s">
        <v>57</v>
      </c>
      <c r="C25" t="s">
        <v>58</v>
      </c>
      <c r="D25">
        <v>107.8</v>
      </c>
      <c r="E25">
        <v>4.99</v>
      </c>
      <c r="F25" t="s">
        <v>323</v>
      </c>
      <c r="G25">
        <v>7.18</v>
      </c>
      <c r="H25" t="s">
        <v>323</v>
      </c>
      <c r="I25">
        <v>54.95</v>
      </c>
      <c r="J25">
        <v>46.53</v>
      </c>
      <c r="K25">
        <v>13.79</v>
      </c>
      <c r="L25">
        <v>1.49</v>
      </c>
      <c r="M25">
        <v>11.16</v>
      </c>
      <c r="N25" t="s">
        <v>323</v>
      </c>
      <c r="O25">
        <v>8.73</v>
      </c>
      <c r="P25">
        <v>0.51</v>
      </c>
      <c r="Q25">
        <v>0.82</v>
      </c>
      <c r="R25" t="s">
        <v>323</v>
      </c>
      <c r="S25">
        <v>6.63</v>
      </c>
      <c r="T25" t="s">
        <v>323</v>
      </c>
      <c r="U25">
        <v>27.08</v>
      </c>
      <c r="V25">
        <v>163.18</v>
      </c>
      <c r="W25">
        <v>30.94</v>
      </c>
      <c r="X25">
        <v>6.29</v>
      </c>
      <c r="Y25">
        <v>291.64999999999998</v>
      </c>
      <c r="Z25">
        <v>10.91</v>
      </c>
    </row>
    <row r="26" spans="1:26" x14ac:dyDescent="0.25">
      <c r="A26" t="s">
        <v>59</v>
      </c>
      <c r="B26" t="s">
        <v>60</v>
      </c>
      <c r="C26" t="s">
        <v>61</v>
      </c>
      <c r="D26">
        <v>70.94</v>
      </c>
      <c r="E26" t="s">
        <v>323</v>
      </c>
      <c r="F26" t="s">
        <v>323</v>
      </c>
      <c r="G26">
        <v>5.79</v>
      </c>
      <c r="H26" t="s">
        <v>323</v>
      </c>
      <c r="I26">
        <v>34.92</v>
      </c>
      <c r="J26">
        <v>43.58</v>
      </c>
      <c r="K26">
        <v>26.51</v>
      </c>
      <c r="L26">
        <v>3.13</v>
      </c>
      <c r="M26">
        <v>7.81</v>
      </c>
      <c r="N26" t="s">
        <v>323</v>
      </c>
      <c r="O26">
        <v>9.58</v>
      </c>
      <c r="P26">
        <v>0.88</v>
      </c>
      <c r="Q26">
        <v>1.05</v>
      </c>
      <c r="R26">
        <v>2</v>
      </c>
      <c r="S26">
        <v>5.08</v>
      </c>
      <c r="T26" t="s">
        <v>323</v>
      </c>
      <c r="U26">
        <v>11.73</v>
      </c>
      <c r="V26" t="s">
        <v>323</v>
      </c>
      <c r="W26">
        <v>28.77</v>
      </c>
      <c r="X26">
        <v>4.5999999999999996</v>
      </c>
      <c r="Y26">
        <v>417.06</v>
      </c>
      <c r="Z26">
        <v>14.98</v>
      </c>
    </row>
    <row r="27" spans="1:26" x14ac:dyDescent="0.25">
      <c r="A27" t="s">
        <v>62</v>
      </c>
      <c r="B27" t="s">
        <v>63</v>
      </c>
      <c r="C27" t="s">
        <v>64</v>
      </c>
      <c r="D27">
        <v>140.68</v>
      </c>
      <c r="E27" t="s">
        <v>323</v>
      </c>
      <c r="F27" t="s">
        <v>323</v>
      </c>
      <c r="G27">
        <v>5.43</v>
      </c>
      <c r="H27" t="s">
        <v>323</v>
      </c>
      <c r="I27">
        <v>17.78</v>
      </c>
      <c r="J27">
        <v>41.37</v>
      </c>
      <c r="K27">
        <v>17.09</v>
      </c>
      <c r="L27">
        <v>2.57</v>
      </c>
      <c r="M27">
        <v>6.2</v>
      </c>
      <c r="N27" t="s">
        <v>323</v>
      </c>
      <c r="O27">
        <v>4.03</v>
      </c>
      <c r="P27">
        <v>0.6</v>
      </c>
      <c r="Q27">
        <v>0.59</v>
      </c>
      <c r="R27">
        <v>1.6</v>
      </c>
      <c r="S27">
        <v>6.44</v>
      </c>
      <c r="T27" t="s">
        <v>323</v>
      </c>
      <c r="U27">
        <v>12.77</v>
      </c>
      <c r="V27">
        <v>152.46</v>
      </c>
      <c r="W27">
        <v>21.71</v>
      </c>
      <c r="X27">
        <v>2.54</v>
      </c>
      <c r="Y27">
        <v>183.71</v>
      </c>
      <c r="Z27">
        <v>7.59</v>
      </c>
    </row>
    <row r="28" spans="1:26" x14ac:dyDescent="0.25">
      <c r="A28" t="s">
        <v>65</v>
      </c>
      <c r="B28" t="s">
        <v>66</v>
      </c>
      <c r="C28" t="s">
        <v>67</v>
      </c>
      <c r="D28">
        <v>131.28</v>
      </c>
      <c r="E28" t="s">
        <v>323</v>
      </c>
      <c r="F28" t="s">
        <v>323</v>
      </c>
      <c r="G28">
        <v>5.08</v>
      </c>
      <c r="H28" t="s">
        <v>323</v>
      </c>
      <c r="I28">
        <v>48.88</v>
      </c>
      <c r="J28">
        <v>53.86</v>
      </c>
      <c r="K28" t="s">
        <v>323</v>
      </c>
      <c r="L28">
        <v>1.1100000000000001</v>
      </c>
      <c r="M28">
        <v>5.79</v>
      </c>
      <c r="N28" t="s">
        <v>323</v>
      </c>
      <c r="O28">
        <v>3.41</v>
      </c>
      <c r="P28" t="s">
        <v>323</v>
      </c>
      <c r="Q28">
        <v>0.82</v>
      </c>
      <c r="R28">
        <v>2</v>
      </c>
      <c r="S28">
        <v>7.01</v>
      </c>
      <c r="T28" t="s">
        <v>323</v>
      </c>
      <c r="U28">
        <v>16.68</v>
      </c>
      <c r="V28">
        <v>116.39</v>
      </c>
      <c r="W28">
        <v>40.909999999999997</v>
      </c>
      <c r="X28">
        <v>5.18</v>
      </c>
      <c r="Y28">
        <v>209.72</v>
      </c>
      <c r="Z28">
        <v>9.26</v>
      </c>
    </row>
    <row r="29" spans="1:26" x14ac:dyDescent="0.25">
      <c r="A29" t="s">
        <v>68</v>
      </c>
      <c r="B29" t="s">
        <v>69</v>
      </c>
      <c r="C29" t="s">
        <v>70</v>
      </c>
      <c r="D29">
        <v>107.8</v>
      </c>
      <c r="E29" t="s">
        <v>323</v>
      </c>
      <c r="F29" t="s">
        <v>323</v>
      </c>
      <c r="G29">
        <v>4.72</v>
      </c>
      <c r="H29" t="s">
        <v>323</v>
      </c>
      <c r="I29">
        <v>40.409999999999997</v>
      </c>
      <c r="J29">
        <v>31.7</v>
      </c>
      <c r="K29" t="s">
        <v>323</v>
      </c>
      <c r="L29">
        <v>1.72</v>
      </c>
      <c r="M29">
        <v>4.53</v>
      </c>
      <c r="N29" t="s">
        <v>323</v>
      </c>
      <c r="O29">
        <v>4.03</v>
      </c>
      <c r="P29" t="s">
        <v>323</v>
      </c>
      <c r="Q29" t="s">
        <v>323</v>
      </c>
      <c r="R29">
        <v>1.19</v>
      </c>
      <c r="S29">
        <v>4.28</v>
      </c>
      <c r="T29" t="s">
        <v>323</v>
      </c>
      <c r="U29">
        <v>9.56</v>
      </c>
      <c r="V29">
        <v>87.05</v>
      </c>
      <c r="W29">
        <v>19.12</v>
      </c>
      <c r="X29">
        <v>3.06</v>
      </c>
      <c r="Y29">
        <v>162.85</v>
      </c>
      <c r="Z29">
        <v>10.91</v>
      </c>
    </row>
    <row r="30" spans="1:26" x14ac:dyDescent="0.25">
      <c r="A30" t="s">
        <v>71</v>
      </c>
      <c r="B30" t="s">
        <v>72</v>
      </c>
      <c r="C30" t="s">
        <v>73</v>
      </c>
      <c r="D30">
        <v>55.6</v>
      </c>
      <c r="E30" t="s">
        <v>323</v>
      </c>
      <c r="F30" t="s">
        <v>323</v>
      </c>
      <c r="G30" t="s">
        <v>323</v>
      </c>
      <c r="H30" t="s">
        <v>323</v>
      </c>
      <c r="I30" t="s">
        <v>323</v>
      </c>
      <c r="J30">
        <v>21.85</v>
      </c>
      <c r="K30" t="s">
        <v>323</v>
      </c>
      <c r="L30" t="s">
        <v>323</v>
      </c>
      <c r="M30">
        <v>2.77</v>
      </c>
      <c r="N30" t="s">
        <v>323</v>
      </c>
      <c r="O30">
        <v>2.12</v>
      </c>
      <c r="P30" t="s">
        <v>323</v>
      </c>
      <c r="Q30" t="s">
        <v>323</v>
      </c>
      <c r="R30" t="s">
        <v>323</v>
      </c>
      <c r="S30">
        <v>3.87</v>
      </c>
      <c r="T30" t="s">
        <v>323</v>
      </c>
      <c r="U30" t="s">
        <v>323</v>
      </c>
      <c r="V30" t="s">
        <v>323</v>
      </c>
      <c r="W30">
        <v>22.96</v>
      </c>
      <c r="X30">
        <v>4.78</v>
      </c>
      <c r="Y30">
        <v>238.9</v>
      </c>
      <c r="Z30" t="s">
        <v>323</v>
      </c>
    </row>
    <row r="31" spans="1:26" x14ac:dyDescent="0.25">
      <c r="A31" t="s">
        <v>74</v>
      </c>
      <c r="B31" t="s">
        <v>75</v>
      </c>
      <c r="C31" t="s">
        <v>76</v>
      </c>
      <c r="D31">
        <v>114.71</v>
      </c>
      <c r="E31" t="s">
        <v>323</v>
      </c>
      <c r="F31" t="s">
        <v>323</v>
      </c>
      <c r="G31">
        <v>4.3600000000000003</v>
      </c>
      <c r="H31" t="s">
        <v>323</v>
      </c>
      <c r="I31">
        <v>38.07</v>
      </c>
      <c r="J31">
        <v>37.67</v>
      </c>
      <c r="K31">
        <v>13.79</v>
      </c>
      <c r="L31">
        <v>2</v>
      </c>
      <c r="M31">
        <v>5.44</v>
      </c>
      <c r="N31" t="s">
        <v>323</v>
      </c>
      <c r="O31">
        <v>4.6399999999999997</v>
      </c>
      <c r="P31">
        <v>0.6</v>
      </c>
      <c r="Q31">
        <v>0.59</v>
      </c>
      <c r="R31">
        <v>1.6</v>
      </c>
      <c r="S31">
        <v>5.08</v>
      </c>
      <c r="T31" t="s">
        <v>323</v>
      </c>
      <c r="U31">
        <v>18.53</v>
      </c>
      <c r="V31">
        <v>129.19999999999999</v>
      </c>
      <c r="W31">
        <v>25.35</v>
      </c>
      <c r="X31">
        <v>4.09</v>
      </c>
      <c r="Y31">
        <v>237.88</v>
      </c>
      <c r="Z31">
        <v>10.91</v>
      </c>
    </row>
    <row r="32" spans="1:26" x14ac:dyDescent="0.25">
      <c r="A32" t="s">
        <v>77</v>
      </c>
      <c r="B32" t="s">
        <v>78</v>
      </c>
      <c r="C32" t="s">
        <v>79</v>
      </c>
      <c r="D32">
        <v>62.68</v>
      </c>
      <c r="E32" t="s">
        <v>323</v>
      </c>
      <c r="F32" t="s">
        <v>323</v>
      </c>
      <c r="G32">
        <v>3.62</v>
      </c>
      <c r="H32" t="s">
        <v>323</v>
      </c>
      <c r="I32">
        <v>31.35</v>
      </c>
      <c r="J32">
        <v>40.630000000000003</v>
      </c>
      <c r="K32" t="s">
        <v>323</v>
      </c>
      <c r="L32">
        <v>1.25</v>
      </c>
      <c r="M32">
        <v>2.77</v>
      </c>
      <c r="N32" t="s">
        <v>323</v>
      </c>
      <c r="O32">
        <v>4.03</v>
      </c>
      <c r="P32" t="s">
        <v>323</v>
      </c>
      <c r="Q32" t="s">
        <v>323</v>
      </c>
      <c r="R32" t="s">
        <v>323</v>
      </c>
      <c r="S32">
        <v>5.77</v>
      </c>
      <c r="T32" t="s">
        <v>323</v>
      </c>
      <c r="U32">
        <v>9.56</v>
      </c>
      <c r="V32" t="s">
        <v>323</v>
      </c>
      <c r="W32" t="s">
        <v>323</v>
      </c>
      <c r="X32">
        <v>2</v>
      </c>
      <c r="Y32">
        <v>121.29</v>
      </c>
      <c r="Z32">
        <v>9.26</v>
      </c>
    </row>
    <row r="33" spans="1:26" x14ac:dyDescent="0.25">
      <c r="A33" t="s">
        <v>81</v>
      </c>
      <c r="B33" t="s">
        <v>82</v>
      </c>
      <c r="C33" t="s">
        <v>83</v>
      </c>
      <c r="D33">
        <v>159.16</v>
      </c>
      <c r="E33">
        <v>16.21</v>
      </c>
      <c r="F33" t="s">
        <v>323</v>
      </c>
      <c r="G33">
        <v>38.619999999999997</v>
      </c>
      <c r="H33" t="s">
        <v>323</v>
      </c>
      <c r="I33">
        <v>39.630000000000003</v>
      </c>
      <c r="J33">
        <v>72.77</v>
      </c>
      <c r="K33">
        <v>106.26</v>
      </c>
      <c r="L33">
        <v>2.33</v>
      </c>
      <c r="M33">
        <v>19.62</v>
      </c>
      <c r="N33">
        <v>3.86</v>
      </c>
      <c r="O33">
        <v>65.95</v>
      </c>
      <c r="P33">
        <v>0.6</v>
      </c>
      <c r="Q33">
        <v>3.15</v>
      </c>
      <c r="R33">
        <v>8.65</v>
      </c>
      <c r="S33">
        <v>13.85</v>
      </c>
      <c r="T33">
        <v>70.069999999999993</v>
      </c>
      <c r="U33">
        <v>28.69</v>
      </c>
      <c r="V33">
        <v>87.05</v>
      </c>
      <c r="W33">
        <v>46.38</v>
      </c>
      <c r="X33">
        <v>3.8</v>
      </c>
      <c r="Y33">
        <v>143.18</v>
      </c>
      <c r="Z33">
        <v>49.93</v>
      </c>
    </row>
    <row r="34" spans="1:26" x14ac:dyDescent="0.25">
      <c r="A34" t="s">
        <v>84</v>
      </c>
      <c r="B34" t="s">
        <v>85</v>
      </c>
      <c r="C34" t="s">
        <v>86</v>
      </c>
      <c r="D34">
        <v>100.39</v>
      </c>
      <c r="E34">
        <v>3.4</v>
      </c>
      <c r="F34" t="s">
        <v>323</v>
      </c>
      <c r="G34">
        <v>7.87</v>
      </c>
      <c r="H34" t="s">
        <v>323</v>
      </c>
      <c r="I34">
        <v>40.409999999999997</v>
      </c>
      <c r="J34">
        <v>71.319999999999993</v>
      </c>
      <c r="K34">
        <v>13.79</v>
      </c>
      <c r="L34">
        <v>2</v>
      </c>
      <c r="M34">
        <v>6.6</v>
      </c>
      <c r="N34" t="s">
        <v>323</v>
      </c>
      <c r="O34">
        <v>6.14</v>
      </c>
      <c r="P34">
        <v>0.88</v>
      </c>
      <c r="Q34">
        <v>1.05</v>
      </c>
      <c r="R34">
        <v>1.8</v>
      </c>
      <c r="S34">
        <v>8.14</v>
      </c>
      <c r="T34" t="s">
        <v>323</v>
      </c>
      <c r="U34">
        <v>28.29</v>
      </c>
      <c r="V34">
        <v>240.14</v>
      </c>
      <c r="W34">
        <v>99.71</v>
      </c>
      <c r="X34">
        <v>16.559999999999999</v>
      </c>
      <c r="Y34">
        <v>337.86</v>
      </c>
      <c r="Z34">
        <v>14.17</v>
      </c>
    </row>
    <row r="35" spans="1:26" x14ac:dyDescent="0.25">
      <c r="A35" t="s">
        <v>87</v>
      </c>
      <c r="B35" t="s">
        <v>88</v>
      </c>
      <c r="C35" t="s">
        <v>89</v>
      </c>
      <c r="D35">
        <v>74.23</v>
      </c>
      <c r="E35">
        <v>18.82</v>
      </c>
      <c r="F35" t="s">
        <v>323</v>
      </c>
      <c r="G35">
        <v>10.59</v>
      </c>
      <c r="H35" t="s">
        <v>323</v>
      </c>
      <c r="I35">
        <v>79.75</v>
      </c>
      <c r="J35">
        <v>50.93</v>
      </c>
      <c r="K35">
        <v>13.79</v>
      </c>
      <c r="L35">
        <v>1.68</v>
      </c>
      <c r="M35">
        <v>7.54</v>
      </c>
      <c r="N35" t="s">
        <v>323</v>
      </c>
      <c r="O35">
        <v>9.86</v>
      </c>
      <c r="P35">
        <v>0.79</v>
      </c>
      <c r="Q35">
        <v>1.05</v>
      </c>
      <c r="R35">
        <v>2.81</v>
      </c>
      <c r="S35">
        <v>13.33</v>
      </c>
      <c r="T35" t="s">
        <v>323</v>
      </c>
      <c r="U35">
        <v>62.3</v>
      </c>
      <c r="V35">
        <v>660.81</v>
      </c>
      <c r="W35">
        <v>126.09</v>
      </c>
      <c r="X35">
        <v>38.22</v>
      </c>
      <c r="Y35">
        <v>312.33999999999997</v>
      </c>
      <c r="Z35">
        <v>12.55</v>
      </c>
    </row>
    <row r="36" spans="1:26" x14ac:dyDescent="0.25">
      <c r="A36" t="s">
        <v>90</v>
      </c>
      <c r="B36" t="s">
        <v>91</v>
      </c>
      <c r="C36" t="s">
        <v>92</v>
      </c>
      <c r="D36">
        <v>154.38999999999999</v>
      </c>
      <c r="E36">
        <v>6.51</v>
      </c>
      <c r="F36" t="s">
        <v>323</v>
      </c>
      <c r="G36">
        <v>21.33</v>
      </c>
      <c r="H36" t="s">
        <v>323</v>
      </c>
      <c r="I36">
        <v>42.73</v>
      </c>
      <c r="J36">
        <v>49.47</v>
      </c>
      <c r="K36">
        <v>49.74</v>
      </c>
      <c r="L36">
        <v>2.38</v>
      </c>
      <c r="M36">
        <v>14.51</v>
      </c>
      <c r="N36" t="s">
        <v>323</v>
      </c>
      <c r="O36">
        <v>27.62</v>
      </c>
      <c r="P36">
        <v>0.79</v>
      </c>
      <c r="Q36">
        <v>1.27</v>
      </c>
      <c r="R36">
        <v>1.6</v>
      </c>
      <c r="S36">
        <v>5.86</v>
      </c>
      <c r="T36">
        <v>66.66</v>
      </c>
      <c r="U36">
        <v>28.69</v>
      </c>
      <c r="V36">
        <v>227.9</v>
      </c>
      <c r="W36">
        <v>49.86</v>
      </c>
      <c r="X36">
        <v>8.92</v>
      </c>
      <c r="Y36">
        <v>310.89999999999998</v>
      </c>
      <c r="Z36">
        <v>26.88</v>
      </c>
    </row>
    <row r="37" spans="1:26" x14ac:dyDescent="0.25">
      <c r="A37" t="s">
        <v>93</v>
      </c>
      <c r="B37" t="s">
        <v>94</v>
      </c>
      <c r="C37" t="s">
        <v>95</v>
      </c>
      <c r="D37">
        <v>125.53</v>
      </c>
      <c r="E37">
        <v>18.82</v>
      </c>
      <c r="F37" t="s">
        <v>323</v>
      </c>
      <c r="G37">
        <v>20.7</v>
      </c>
      <c r="H37" t="s">
        <v>323</v>
      </c>
      <c r="I37">
        <v>84.48</v>
      </c>
      <c r="J37">
        <v>55.32</v>
      </c>
      <c r="K37">
        <v>76.75</v>
      </c>
      <c r="L37">
        <v>1.63</v>
      </c>
      <c r="M37">
        <v>13.16</v>
      </c>
      <c r="N37">
        <v>2.75</v>
      </c>
      <c r="O37">
        <v>26.87</v>
      </c>
      <c r="P37">
        <v>0.79</v>
      </c>
      <c r="Q37">
        <v>1.49</v>
      </c>
      <c r="R37">
        <v>2.41</v>
      </c>
      <c r="S37">
        <v>16.84</v>
      </c>
      <c r="T37">
        <v>39.92</v>
      </c>
      <c r="U37">
        <v>71.069999999999993</v>
      </c>
      <c r="V37">
        <v>845.47</v>
      </c>
      <c r="W37">
        <v>111.79</v>
      </c>
      <c r="X37">
        <v>24.6</v>
      </c>
      <c r="Y37">
        <v>323.98</v>
      </c>
      <c r="Z37">
        <v>34.64</v>
      </c>
    </row>
    <row r="38" spans="1:26" x14ac:dyDescent="0.25">
      <c r="A38" t="s">
        <v>96</v>
      </c>
      <c r="B38" t="s">
        <v>97</v>
      </c>
      <c r="C38" t="s">
        <v>98</v>
      </c>
      <c r="D38">
        <v>142.43</v>
      </c>
      <c r="E38">
        <v>9.41</v>
      </c>
      <c r="F38" t="s">
        <v>323</v>
      </c>
      <c r="G38">
        <v>7.36</v>
      </c>
      <c r="H38" t="s">
        <v>323</v>
      </c>
      <c r="I38">
        <v>88.47</v>
      </c>
      <c r="J38">
        <v>40.630000000000003</v>
      </c>
      <c r="K38">
        <v>13.79</v>
      </c>
      <c r="L38">
        <v>2.4700000000000002</v>
      </c>
      <c r="M38">
        <v>7.54</v>
      </c>
      <c r="N38" t="s">
        <v>323</v>
      </c>
      <c r="O38">
        <v>4.03</v>
      </c>
      <c r="P38">
        <v>0.6</v>
      </c>
      <c r="Q38">
        <v>0.59</v>
      </c>
      <c r="R38">
        <v>1.6</v>
      </c>
      <c r="S38">
        <v>6.73</v>
      </c>
      <c r="T38" t="s">
        <v>323</v>
      </c>
      <c r="U38">
        <v>31.83</v>
      </c>
      <c r="V38">
        <v>378.96</v>
      </c>
      <c r="W38">
        <v>127.2</v>
      </c>
      <c r="X38">
        <v>26.42</v>
      </c>
      <c r="Y38">
        <v>422.89</v>
      </c>
      <c r="Z38">
        <v>12.55</v>
      </c>
    </row>
    <row r="39" spans="1:26" x14ac:dyDescent="0.25">
      <c r="A39" t="s">
        <v>99</v>
      </c>
      <c r="B39" t="s">
        <v>100</v>
      </c>
      <c r="C39" t="s">
        <v>101</v>
      </c>
      <c r="D39">
        <v>115.31</v>
      </c>
      <c r="E39">
        <v>22.65</v>
      </c>
      <c r="F39" t="s">
        <v>323</v>
      </c>
      <c r="G39">
        <v>32.85</v>
      </c>
      <c r="H39" t="s">
        <v>323</v>
      </c>
      <c r="I39">
        <v>167</v>
      </c>
      <c r="J39">
        <v>66.97</v>
      </c>
      <c r="K39">
        <v>58.02</v>
      </c>
      <c r="L39">
        <v>1.82</v>
      </c>
      <c r="M39">
        <v>18.61</v>
      </c>
      <c r="N39">
        <v>3.59</v>
      </c>
      <c r="O39">
        <v>40.549999999999997</v>
      </c>
      <c r="P39">
        <v>1.07</v>
      </c>
      <c r="Q39">
        <v>2.4300000000000002</v>
      </c>
      <c r="R39">
        <v>3.4</v>
      </c>
      <c r="S39">
        <v>19.440000000000001</v>
      </c>
      <c r="T39">
        <v>68.86</v>
      </c>
      <c r="U39">
        <v>59.08</v>
      </c>
      <c r="V39">
        <v>911.45</v>
      </c>
      <c r="W39">
        <v>354.47</v>
      </c>
      <c r="X39">
        <v>83.13</v>
      </c>
      <c r="Y39">
        <v>561.67999999999995</v>
      </c>
      <c r="Z39">
        <v>39.26</v>
      </c>
    </row>
    <row r="40" spans="1:26" x14ac:dyDescent="0.25">
      <c r="A40" t="s">
        <v>102</v>
      </c>
      <c r="B40" t="s">
        <v>103</v>
      </c>
      <c r="C40" t="s">
        <v>104</v>
      </c>
      <c r="D40">
        <v>130.09</v>
      </c>
      <c r="E40">
        <v>4.99</v>
      </c>
      <c r="F40" t="s">
        <v>323</v>
      </c>
      <c r="G40">
        <v>7.53</v>
      </c>
      <c r="H40" t="s">
        <v>323</v>
      </c>
      <c r="I40">
        <v>29.34</v>
      </c>
      <c r="J40">
        <v>55.32</v>
      </c>
      <c r="K40">
        <v>13.79</v>
      </c>
      <c r="L40">
        <v>1.72</v>
      </c>
      <c r="M40">
        <v>7.54</v>
      </c>
      <c r="N40" t="s">
        <v>323</v>
      </c>
      <c r="O40">
        <v>9.3000000000000007</v>
      </c>
      <c r="P40">
        <v>0.6</v>
      </c>
      <c r="Q40">
        <v>0.59</v>
      </c>
      <c r="R40">
        <v>1.6</v>
      </c>
      <c r="S40">
        <v>13.68</v>
      </c>
      <c r="T40" t="s">
        <v>323</v>
      </c>
      <c r="U40">
        <v>40.03</v>
      </c>
      <c r="V40">
        <v>367.01</v>
      </c>
      <c r="W40">
        <v>92.13</v>
      </c>
      <c r="X40">
        <v>15.88</v>
      </c>
      <c r="Y40">
        <v>326.10000000000002</v>
      </c>
      <c r="Z40">
        <v>10.91</v>
      </c>
    </row>
    <row r="41" spans="1:26" x14ac:dyDescent="0.25">
      <c r="A41" t="s">
        <v>105</v>
      </c>
      <c r="B41" t="s">
        <v>106</v>
      </c>
      <c r="C41" t="s">
        <v>107</v>
      </c>
      <c r="D41">
        <v>62.45</v>
      </c>
      <c r="E41">
        <v>32.5</v>
      </c>
      <c r="F41" t="s">
        <v>323</v>
      </c>
      <c r="G41">
        <v>6.49</v>
      </c>
      <c r="H41" t="s">
        <v>323</v>
      </c>
      <c r="I41">
        <v>101.05</v>
      </c>
      <c r="J41">
        <v>39.89</v>
      </c>
      <c r="K41" t="s">
        <v>323</v>
      </c>
      <c r="L41">
        <v>1.1599999999999999</v>
      </c>
      <c r="M41">
        <v>8.1999999999999993</v>
      </c>
      <c r="N41" t="s">
        <v>323</v>
      </c>
      <c r="O41">
        <v>13.69</v>
      </c>
      <c r="P41" t="s">
        <v>323</v>
      </c>
      <c r="Q41" t="s">
        <v>323</v>
      </c>
      <c r="R41">
        <v>2.41</v>
      </c>
      <c r="S41">
        <v>23.23</v>
      </c>
      <c r="T41" t="s">
        <v>323</v>
      </c>
      <c r="U41">
        <v>52.51</v>
      </c>
      <c r="V41">
        <v>725.97</v>
      </c>
      <c r="W41">
        <v>147.03</v>
      </c>
      <c r="X41">
        <v>30.25</v>
      </c>
      <c r="Y41">
        <v>264.13</v>
      </c>
      <c r="Z41">
        <v>10.91</v>
      </c>
    </row>
    <row r="42" spans="1:26" x14ac:dyDescent="0.25">
      <c r="A42" t="s">
        <v>108</v>
      </c>
      <c r="B42" t="s">
        <v>109</v>
      </c>
      <c r="C42" t="s">
        <v>110</v>
      </c>
      <c r="D42">
        <v>134.82</v>
      </c>
      <c r="E42" t="s">
        <v>323</v>
      </c>
      <c r="F42" t="s">
        <v>323</v>
      </c>
      <c r="G42">
        <v>11.92</v>
      </c>
      <c r="H42" t="s">
        <v>323</v>
      </c>
      <c r="I42">
        <v>57.58</v>
      </c>
      <c r="J42">
        <v>51.66</v>
      </c>
      <c r="K42">
        <v>18.7</v>
      </c>
      <c r="L42">
        <v>2.1</v>
      </c>
      <c r="M42">
        <v>12.1</v>
      </c>
      <c r="N42" t="s">
        <v>323</v>
      </c>
      <c r="O42">
        <v>12.61</v>
      </c>
      <c r="P42">
        <v>0.6</v>
      </c>
      <c r="Q42">
        <v>1.27</v>
      </c>
      <c r="R42">
        <v>1.6</v>
      </c>
      <c r="S42">
        <v>7.58</v>
      </c>
      <c r="T42">
        <v>19.260000000000002</v>
      </c>
      <c r="U42">
        <v>33.74</v>
      </c>
      <c r="V42">
        <v>390.67</v>
      </c>
      <c r="W42">
        <v>80.180000000000007</v>
      </c>
      <c r="X42">
        <v>17.16</v>
      </c>
      <c r="Y42">
        <v>164.57</v>
      </c>
      <c r="Z42">
        <v>17.39</v>
      </c>
    </row>
    <row r="43" spans="1:26" x14ac:dyDescent="0.25">
      <c r="A43" t="s">
        <v>111</v>
      </c>
      <c r="B43" t="s">
        <v>112</v>
      </c>
      <c r="C43" t="s">
        <v>113</v>
      </c>
      <c r="D43">
        <v>126.92</v>
      </c>
      <c r="E43">
        <v>22.65</v>
      </c>
      <c r="F43" t="s">
        <v>323</v>
      </c>
      <c r="G43">
        <v>24.51</v>
      </c>
      <c r="H43" t="s">
        <v>323</v>
      </c>
      <c r="I43">
        <v>66.16</v>
      </c>
      <c r="J43">
        <v>56.78</v>
      </c>
      <c r="K43">
        <v>51.13</v>
      </c>
      <c r="L43">
        <v>2.33</v>
      </c>
      <c r="M43">
        <v>18.010000000000002</v>
      </c>
      <c r="N43">
        <v>3.31</v>
      </c>
      <c r="O43">
        <v>41.27</v>
      </c>
      <c r="P43">
        <v>0.6</v>
      </c>
      <c r="Q43">
        <v>1.05</v>
      </c>
      <c r="R43">
        <v>2.81</v>
      </c>
      <c r="S43">
        <v>13.59</v>
      </c>
      <c r="T43">
        <v>51.17</v>
      </c>
      <c r="U43">
        <v>33.36</v>
      </c>
      <c r="V43">
        <v>396.44</v>
      </c>
      <c r="W43">
        <v>164.72</v>
      </c>
      <c r="X43">
        <v>28.6</v>
      </c>
      <c r="Y43">
        <v>185.36</v>
      </c>
      <c r="Z43">
        <v>29.99</v>
      </c>
    </row>
    <row r="44" spans="1:26" x14ac:dyDescent="0.25">
      <c r="A44" t="s">
        <v>114</v>
      </c>
      <c r="B44" t="s">
        <v>115</v>
      </c>
      <c r="C44" t="s">
        <v>116</v>
      </c>
      <c r="D44">
        <v>55.6</v>
      </c>
      <c r="E44">
        <v>3.4</v>
      </c>
      <c r="F44" t="s">
        <v>323</v>
      </c>
      <c r="G44">
        <v>6.84</v>
      </c>
      <c r="H44" t="s">
        <v>323</v>
      </c>
      <c r="I44" t="s">
        <v>323</v>
      </c>
      <c r="J44">
        <v>53.86</v>
      </c>
      <c r="K44" t="s">
        <v>323</v>
      </c>
      <c r="L44">
        <v>1.72</v>
      </c>
      <c r="M44">
        <v>6.47</v>
      </c>
      <c r="N44" t="s">
        <v>323</v>
      </c>
      <c r="O44">
        <v>13.96</v>
      </c>
      <c r="P44">
        <v>0.51</v>
      </c>
      <c r="Q44">
        <v>0.82</v>
      </c>
      <c r="R44">
        <v>1.6</v>
      </c>
      <c r="S44">
        <v>7.67</v>
      </c>
      <c r="T44" t="s">
        <v>323</v>
      </c>
      <c r="U44">
        <v>13.78</v>
      </c>
      <c r="V44">
        <v>87.05</v>
      </c>
      <c r="W44">
        <v>43.69</v>
      </c>
      <c r="X44">
        <v>7.24</v>
      </c>
      <c r="Y44">
        <v>157.63999999999999</v>
      </c>
      <c r="Z44">
        <v>12.55</v>
      </c>
    </row>
    <row r="45" spans="1:26" x14ac:dyDescent="0.25">
      <c r="A45" t="s">
        <v>117</v>
      </c>
      <c r="B45" t="s">
        <v>118</v>
      </c>
      <c r="C45" t="s">
        <v>119</v>
      </c>
      <c r="D45">
        <v>99.35</v>
      </c>
      <c r="E45" t="s">
        <v>323</v>
      </c>
      <c r="F45" t="s">
        <v>323</v>
      </c>
      <c r="G45">
        <v>10.25</v>
      </c>
      <c r="H45" t="s">
        <v>323</v>
      </c>
      <c r="I45">
        <v>74.27</v>
      </c>
      <c r="J45">
        <v>48.73</v>
      </c>
      <c r="K45">
        <v>17.09</v>
      </c>
      <c r="L45">
        <v>1.63</v>
      </c>
      <c r="M45">
        <v>8.98</v>
      </c>
      <c r="N45" t="s">
        <v>323</v>
      </c>
      <c r="O45">
        <v>9.86</v>
      </c>
      <c r="P45">
        <v>0.51</v>
      </c>
      <c r="Q45">
        <v>0.59</v>
      </c>
      <c r="R45" t="s">
        <v>323</v>
      </c>
      <c r="S45">
        <v>5.28</v>
      </c>
      <c r="T45" t="s">
        <v>323</v>
      </c>
      <c r="U45">
        <v>22.07</v>
      </c>
      <c r="V45">
        <v>259.64999999999998</v>
      </c>
      <c r="W45">
        <v>53.23</v>
      </c>
      <c r="X45">
        <v>15.75</v>
      </c>
      <c r="Y45">
        <v>251.1</v>
      </c>
      <c r="Z45">
        <v>10.91</v>
      </c>
    </row>
    <row r="46" spans="1:26" x14ac:dyDescent="0.25">
      <c r="A46" t="s">
        <v>120</v>
      </c>
      <c r="B46" t="s">
        <v>121</v>
      </c>
      <c r="C46" t="s">
        <v>122</v>
      </c>
      <c r="D46">
        <v>120.54</v>
      </c>
      <c r="E46">
        <v>38.47</v>
      </c>
      <c r="F46" t="s">
        <v>323</v>
      </c>
      <c r="G46">
        <v>7.87</v>
      </c>
      <c r="H46" t="s">
        <v>323</v>
      </c>
      <c r="I46">
        <v>140.24</v>
      </c>
      <c r="J46">
        <v>52.39</v>
      </c>
      <c r="K46">
        <v>20.3</v>
      </c>
      <c r="L46">
        <v>2.57</v>
      </c>
      <c r="M46">
        <v>9.11</v>
      </c>
      <c r="N46" t="s">
        <v>323</v>
      </c>
      <c r="O46">
        <v>5.25</v>
      </c>
      <c r="P46">
        <v>0.79</v>
      </c>
      <c r="Q46">
        <v>0.94</v>
      </c>
      <c r="R46">
        <v>1.6</v>
      </c>
      <c r="S46">
        <v>26.47</v>
      </c>
      <c r="T46" t="s">
        <v>323</v>
      </c>
      <c r="U46">
        <v>89.29</v>
      </c>
      <c r="V46">
        <v>1135.48</v>
      </c>
      <c r="W46">
        <v>175.88</v>
      </c>
      <c r="X46">
        <v>46.22</v>
      </c>
      <c r="Y46">
        <v>286.3</v>
      </c>
      <c r="Z46">
        <v>14.17</v>
      </c>
    </row>
    <row r="47" spans="1:26" x14ac:dyDescent="0.25">
      <c r="A47" t="s">
        <v>123</v>
      </c>
      <c r="B47" t="s">
        <v>124</v>
      </c>
      <c r="C47" t="s">
        <v>125</v>
      </c>
      <c r="D47">
        <v>149.4</v>
      </c>
      <c r="E47" t="s">
        <v>323</v>
      </c>
      <c r="F47" t="s">
        <v>323</v>
      </c>
      <c r="G47">
        <v>9.58</v>
      </c>
      <c r="H47" t="s">
        <v>323</v>
      </c>
      <c r="I47">
        <v>48.88</v>
      </c>
      <c r="J47">
        <v>45.79</v>
      </c>
      <c r="K47">
        <v>13.79</v>
      </c>
      <c r="L47">
        <v>1.82</v>
      </c>
      <c r="M47">
        <v>9.3699999999999992</v>
      </c>
      <c r="N47" t="s">
        <v>323</v>
      </c>
      <c r="O47">
        <v>5.84</v>
      </c>
      <c r="P47">
        <v>0.6</v>
      </c>
      <c r="Q47" t="s">
        <v>323</v>
      </c>
      <c r="R47">
        <v>1.6</v>
      </c>
      <c r="S47">
        <v>6.73</v>
      </c>
      <c r="T47" t="s">
        <v>323</v>
      </c>
      <c r="U47">
        <v>27.89</v>
      </c>
      <c r="V47">
        <v>270.89</v>
      </c>
      <c r="W47">
        <v>40.909999999999997</v>
      </c>
      <c r="X47">
        <v>9.5399999999999991</v>
      </c>
      <c r="Y47">
        <v>161.41</v>
      </c>
      <c r="Z47">
        <v>13.36</v>
      </c>
    </row>
    <row r="48" spans="1:26" x14ac:dyDescent="0.25">
      <c r="A48" t="s">
        <v>127</v>
      </c>
      <c r="B48" t="s">
        <v>128</v>
      </c>
      <c r="C48" t="s">
        <v>129</v>
      </c>
      <c r="D48">
        <v>329.71</v>
      </c>
      <c r="E48">
        <v>12.19</v>
      </c>
      <c r="F48" t="s">
        <v>323</v>
      </c>
      <c r="G48">
        <v>28.15</v>
      </c>
      <c r="H48" t="s">
        <v>323</v>
      </c>
      <c r="I48">
        <v>112.09</v>
      </c>
      <c r="J48">
        <v>49.47</v>
      </c>
      <c r="K48">
        <v>38.380000000000003</v>
      </c>
      <c r="L48">
        <v>2.29</v>
      </c>
      <c r="M48">
        <v>15.43</v>
      </c>
      <c r="N48">
        <v>2.19</v>
      </c>
      <c r="O48">
        <v>24.61</v>
      </c>
      <c r="P48">
        <v>0.6</v>
      </c>
      <c r="Q48">
        <v>1.05</v>
      </c>
      <c r="R48">
        <v>2</v>
      </c>
      <c r="S48">
        <v>13.16</v>
      </c>
      <c r="T48">
        <v>55.61</v>
      </c>
      <c r="U48">
        <v>43.59</v>
      </c>
      <c r="V48">
        <v>512.33000000000004</v>
      </c>
      <c r="W48">
        <v>141.80000000000001</v>
      </c>
      <c r="X48">
        <v>34.799999999999997</v>
      </c>
      <c r="Y48">
        <v>599.75</v>
      </c>
      <c r="Z48">
        <v>26.88</v>
      </c>
    </row>
    <row r="49" spans="1:26" x14ac:dyDescent="0.25">
      <c r="A49" t="s">
        <v>130</v>
      </c>
      <c r="B49" t="s">
        <v>131</v>
      </c>
      <c r="C49" t="s">
        <v>132</v>
      </c>
      <c r="D49">
        <v>248.65</v>
      </c>
      <c r="E49">
        <v>7.97</v>
      </c>
      <c r="F49" t="s">
        <v>323</v>
      </c>
      <c r="G49">
        <v>24.51</v>
      </c>
      <c r="H49" t="s">
        <v>323</v>
      </c>
      <c r="I49">
        <v>37.28</v>
      </c>
      <c r="J49">
        <v>58.96</v>
      </c>
      <c r="K49">
        <v>58.02</v>
      </c>
      <c r="L49">
        <v>2.38</v>
      </c>
      <c r="M49">
        <v>12.79</v>
      </c>
      <c r="N49">
        <v>2.33</v>
      </c>
      <c r="O49">
        <v>29.36</v>
      </c>
      <c r="P49">
        <v>0.79</v>
      </c>
      <c r="Q49">
        <v>1.49</v>
      </c>
      <c r="R49">
        <v>2.41</v>
      </c>
      <c r="S49">
        <v>8.0500000000000007</v>
      </c>
      <c r="T49">
        <v>48.51</v>
      </c>
      <c r="U49">
        <v>23.78</v>
      </c>
      <c r="V49">
        <v>173.44</v>
      </c>
      <c r="W49">
        <v>44.59</v>
      </c>
      <c r="X49">
        <v>6</v>
      </c>
      <c r="Y49">
        <v>458</v>
      </c>
      <c r="Z49">
        <v>26.88</v>
      </c>
    </row>
    <row r="50" spans="1:26" x14ac:dyDescent="0.25">
      <c r="A50" t="s">
        <v>133</v>
      </c>
      <c r="B50" t="s">
        <v>134</v>
      </c>
      <c r="C50" t="s">
        <v>135</v>
      </c>
      <c r="D50">
        <v>243.55</v>
      </c>
      <c r="E50">
        <v>4.99</v>
      </c>
      <c r="F50" t="s">
        <v>323</v>
      </c>
      <c r="G50">
        <v>7.18</v>
      </c>
      <c r="H50" t="s">
        <v>323</v>
      </c>
      <c r="I50">
        <v>96.75</v>
      </c>
      <c r="J50">
        <v>53.86</v>
      </c>
      <c r="K50" t="s">
        <v>323</v>
      </c>
      <c r="L50">
        <v>1.53</v>
      </c>
      <c r="M50">
        <v>7.54</v>
      </c>
      <c r="N50" t="s">
        <v>323</v>
      </c>
      <c r="O50">
        <v>6.14</v>
      </c>
      <c r="P50">
        <v>0.6</v>
      </c>
      <c r="Q50">
        <v>0.82</v>
      </c>
      <c r="R50">
        <v>1.19</v>
      </c>
      <c r="S50">
        <v>8.32</v>
      </c>
      <c r="T50" t="s">
        <v>323</v>
      </c>
      <c r="U50">
        <v>36.369999999999997</v>
      </c>
      <c r="V50">
        <v>223.72</v>
      </c>
      <c r="W50">
        <v>62.03</v>
      </c>
      <c r="X50">
        <v>15.41</v>
      </c>
      <c r="Y50">
        <v>624.65</v>
      </c>
      <c r="Z50">
        <v>14.17</v>
      </c>
    </row>
    <row r="51" spans="1:26" x14ac:dyDescent="0.25">
      <c r="A51" t="s">
        <v>136</v>
      </c>
      <c r="B51" t="s">
        <v>137</v>
      </c>
      <c r="C51" t="s">
        <v>138</v>
      </c>
      <c r="D51">
        <v>130.68</v>
      </c>
      <c r="E51">
        <v>4.99</v>
      </c>
      <c r="F51" t="s">
        <v>323</v>
      </c>
      <c r="G51">
        <v>6.14</v>
      </c>
      <c r="H51" t="s">
        <v>323</v>
      </c>
      <c r="I51">
        <v>56.45</v>
      </c>
      <c r="J51">
        <v>46.53</v>
      </c>
      <c r="K51" t="s">
        <v>323</v>
      </c>
      <c r="L51">
        <v>2.85</v>
      </c>
      <c r="M51">
        <v>7.94</v>
      </c>
      <c r="N51" t="s">
        <v>323</v>
      </c>
      <c r="O51">
        <v>4.6399999999999997</v>
      </c>
      <c r="P51">
        <v>0.51</v>
      </c>
      <c r="Q51" t="s">
        <v>323</v>
      </c>
      <c r="R51">
        <v>2.41</v>
      </c>
      <c r="S51">
        <v>11.93</v>
      </c>
      <c r="T51" t="s">
        <v>323</v>
      </c>
      <c r="U51">
        <v>42.89</v>
      </c>
      <c r="V51">
        <v>407.82</v>
      </c>
      <c r="W51">
        <v>61.25</v>
      </c>
      <c r="X51">
        <v>12.63</v>
      </c>
      <c r="Y51">
        <v>152.97</v>
      </c>
      <c r="Z51">
        <v>9.26</v>
      </c>
    </row>
    <row r="52" spans="1:26" x14ac:dyDescent="0.25">
      <c r="A52" t="s">
        <v>139</v>
      </c>
      <c r="B52" t="s">
        <v>140</v>
      </c>
      <c r="C52" t="s">
        <v>141</v>
      </c>
      <c r="D52">
        <v>128.71</v>
      </c>
      <c r="E52">
        <v>16.21</v>
      </c>
      <c r="F52" t="s">
        <v>323</v>
      </c>
      <c r="G52">
        <v>7.36</v>
      </c>
      <c r="H52" t="s">
        <v>323</v>
      </c>
      <c r="I52">
        <v>64.3</v>
      </c>
      <c r="J52">
        <v>43.58</v>
      </c>
      <c r="K52">
        <v>20.3</v>
      </c>
      <c r="L52">
        <v>2.85</v>
      </c>
      <c r="M52">
        <v>12.29</v>
      </c>
      <c r="N52">
        <v>2.19</v>
      </c>
      <c r="O52">
        <v>8.16</v>
      </c>
      <c r="P52" t="s">
        <v>323</v>
      </c>
      <c r="Q52">
        <v>1.05</v>
      </c>
      <c r="R52">
        <v>1.6</v>
      </c>
      <c r="S52">
        <v>14.89</v>
      </c>
      <c r="T52" t="s">
        <v>323</v>
      </c>
      <c r="U52">
        <v>85.5</v>
      </c>
      <c r="V52">
        <v>502.51</v>
      </c>
      <c r="W52">
        <v>68.819999999999993</v>
      </c>
      <c r="X52">
        <v>15.41</v>
      </c>
      <c r="Y52">
        <v>85.61</v>
      </c>
      <c r="Z52">
        <v>12.55</v>
      </c>
    </row>
    <row r="53" spans="1:26" x14ac:dyDescent="0.25">
      <c r="A53" t="s">
        <v>142</v>
      </c>
      <c r="B53" t="s">
        <v>143</v>
      </c>
      <c r="C53" t="s">
        <v>144</v>
      </c>
      <c r="D53">
        <v>187.66</v>
      </c>
      <c r="E53">
        <v>4.99</v>
      </c>
      <c r="F53" t="s">
        <v>323</v>
      </c>
      <c r="G53">
        <v>9.24</v>
      </c>
      <c r="H53" t="s">
        <v>323</v>
      </c>
      <c r="I53">
        <v>76.47</v>
      </c>
      <c r="J53">
        <v>52.39</v>
      </c>
      <c r="K53">
        <v>13.79</v>
      </c>
      <c r="L53">
        <v>1.63</v>
      </c>
      <c r="M53">
        <v>6.4</v>
      </c>
      <c r="N53" t="s">
        <v>323</v>
      </c>
      <c r="O53">
        <v>4.34</v>
      </c>
      <c r="P53" t="s">
        <v>323</v>
      </c>
      <c r="Q53">
        <v>1.38</v>
      </c>
      <c r="R53">
        <v>2</v>
      </c>
      <c r="S53">
        <v>5.96</v>
      </c>
      <c r="T53" t="s">
        <v>323</v>
      </c>
      <c r="U53">
        <v>32.590000000000003</v>
      </c>
      <c r="V53">
        <v>173.44</v>
      </c>
      <c r="W53">
        <v>105.83</v>
      </c>
      <c r="X53">
        <v>18.77</v>
      </c>
      <c r="Y53">
        <v>549.64</v>
      </c>
      <c r="Z53">
        <v>12.55</v>
      </c>
    </row>
    <row r="54" spans="1:26" x14ac:dyDescent="0.25">
      <c r="A54" t="s">
        <v>145</v>
      </c>
      <c r="B54" t="s">
        <v>146</v>
      </c>
      <c r="C54" t="s">
        <v>147</v>
      </c>
      <c r="D54">
        <v>115.11</v>
      </c>
      <c r="E54">
        <v>4.99</v>
      </c>
      <c r="F54" t="s">
        <v>323</v>
      </c>
      <c r="G54">
        <v>5.79</v>
      </c>
      <c r="H54" t="s">
        <v>323</v>
      </c>
      <c r="I54">
        <v>84.85</v>
      </c>
      <c r="J54">
        <v>45.06</v>
      </c>
      <c r="K54">
        <v>13.79</v>
      </c>
      <c r="L54">
        <v>2.52</v>
      </c>
      <c r="M54">
        <v>9.3699999999999992</v>
      </c>
      <c r="N54" t="s">
        <v>323</v>
      </c>
      <c r="O54">
        <v>3.41</v>
      </c>
      <c r="P54">
        <v>0.6</v>
      </c>
      <c r="Q54">
        <v>0.82</v>
      </c>
      <c r="R54">
        <v>1.6</v>
      </c>
      <c r="S54">
        <v>9.24</v>
      </c>
      <c r="T54" t="s">
        <v>323</v>
      </c>
      <c r="U54">
        <v>31.83</v>
      </c>
      <c r="V54">
        <v>215.2</v>
      </c>
      <c r="W54">
        <v>37.08</v>
      </c>
      <c r="X54">
        <v>10.16</v>
      </c>
      <c r="Y54">
        <v>140.47</v>
      </c>
      <c r="Z54">
        <v>9.26</v>
      </c>
    </row>
    <row r="55" spans="1:26" x14ac:dyDescent="0.25">
      <c r="A55" t="s">
        <v>148</v>
      </c>
      <c r="B55" t="s">
        <v>149</v>
      </c>
      <c r="C55" t="s">
        <v>150</v>
      </c>
      <c r="D55">
        <v>158.21</v>
      </c>
      <c r="E55">
        <v>9.41</v>
      </c>
      <c r="F55" t="s">
        <v>323</v>
      </c>
      <c r="G55">
        <v>7.36</v>
      </c>
      <c r="H55" t="s">
        <v>323</v>
      </c>
      <c r="I55">
        <v>124.46</v>
      </c>
      <c r="J55">
        <v>49.47</v>
      </c>
      <c r="K55" t="s">
        <v>323</v>
      </c>
      <c r="L55">
        <v>1.44</v>
      </c>
      <c r="M55">
        <v>6.33</v>
      </c>
      <c r="N55" t="s">
        <v>323</v>
      </c>
      <c r="O55">
        <v>5.25</v>
      </c>
      <c r="P55">
        <v>0.97</v>
      </c>
      <c r="Q55">
        <v>0.59</v>
      </c>
      <c r="R55">
        <v>2</v>
      </c>
      <c r="S55">
        <v>9.06</v>
      </c>
      <c r="T55" t="s">
        <v>323</v>
      </c>
      <c r="U55">
        <v>80.459999999999994</v>
      </c>
      <c r="V55">
        <v>669.16</v>
      </c>
      <c r="W55">
        <v>155.22999999999999</v>
      </c>
      <c r="X55">
        <v>43.06</v>
      </c>
      <c r="Y55">
        <v>1031.1400000000001</v>
      </c>
      <c r="Z55">
        <v>12.55</v>
      </c>
    </row>
    <row r="56" spans="1:26" x14ac:dyDescent="0.25">
      <c r="A56" t="s">
        <v>151</v>
      </c>
      <c r="B56" t="s">
        <v>152</v>
      </c>
      <c r="C56" t="s">
        <v>153</v>
      </c>
      <c r="D56">
        <v>123.94</v>
      </c>
      <c r="E56" t="s">
        <v>323</v>
      </c>
      <c r="F56" t="s">
        <v>323</v>
      </c>
      <c r="G56">
        <v>12.75</v>
      </c>
      <c r="H56" t="s">
        <v>323</v>
      </c>
      <c r="I56">
        <v>20.32</v>
      </c>
      <c r="J56">
        <v>42.85</v>
      </c>
      <c r="K56">
        <v>20.3</v>
      </c>
      <c r="L56">
        <v>2.19</v>
      </c>
      <c r="M56">
        <v>10.01</v>
      </c>
      <c r="N56" t="s">
        <v>323</v>
      </c>
      <c r="O56">
        <v>10.41</v>
      </c>
      <c r="P56">
        <v>0.6</v>
      </c>
      <c r="Q56">
        <v>1.05</v>
      </c>
      <c r="R56">
        <v>2</v>
      </c>
      <c r="S56">
        <v>5.28</v>
      </c>
      <c r="T56" t="s">
        <v>323</v>
      </c>
      <c r="U56">
        <v>20.32</v>
      </c>
      <c r="V56">
        <v>129.19999999999999</v>
      </c>
      <c r="W56">
        <v>38.049999999999997</v>
      </c>
      <c r="X56">
        <v>5.89</v>
      </c>
      <c r="Y56">
        <v>293.10000000000002</v>
      </c>
      <c r="Z56">
        <v>17.39</v>
      </c>
    </row>
    <row r="57" spans="1:26" x14ac:dyDescent="0.25">
      <c r="A57" t="s">
        <v>154</v>
      </c>
      <c r="B57" t="s">
        <v>155</v>
      </c>
      <c r="C57" t="s">
        <v>156</v>
      </c>
      <c r="D57">
        <v>142.82</v>
      </c>
      <c r="E57">
        <v>133.41</v>
      </c>
      <c r="F57" t="s">
        <v>323</v>
      </c>
      <c r="G57">
        <v>8.9</v>
      </c>
      <c r="H57" t="s">
        <v>323</v>
      </c>
      <c r="I57">
        <v>222.59</v>
      </c>
      <c r="J57">
        <v>81.459999999999994</v>
      </c>
      <c r="K57">
        <v>13.79</v>
      </c>
      <c r="L57">
        <v>2.19</v>
      </c>
      <c r="M57">
        <v>23.89</v>
      </c>
      <c r="N57">
        <v>3.03</v>
      </c>
      <c r="O57">
        <v>4.6399999999999997</v>
      </c>
      <c r="P57">
        <v>1.34</v>
      </c>
      <c r="Q57">
        <v>1.27</v>
      </c>
      <c r="R57">
        <v>3.4</v>
      </c>
      <c r="S57">
        <v>34.17</v>
      </c>
      <c r="T57" t="s">
        <v>323</v>
      </c>
      <c r="U57">
        <v>267.5</v>
      </c>
      <c r="V57">
        <v>2306.7600000000002</v>
      </c>
      <c r="W57">
        <v>265.06</v>
      </c>
      <c r="X57">
        <v>112.23</v>
      </c>
      <c r="Y57">
        <v>729.91</v>
      </c>
      <c r="Z57">
        <v>18.989999999999998</v>
      </c>
    </row>
    <row r="58" spans="1:26" x14ac:dyDescent="0.25">
      <c r="A58" t="s">
        <v>157</v>
      </c>
      <c r="B58" t="s">
        <v>158</v>
      </c>
      <c r="C58" t="s">
        <v>159</v>
      </c>
      <c r="D58">
        <v>281.98</v>
      </c>
      <c r="E58">
        <v>17.52</v>
      </c>
      <c r="F58" t="s">
        <v>323</v>
      </c>
      <c r="G58">
        <v>9.58</v>
      </c>
      <c r="H58" t="s">
        <v>323</v>
      </c>
      <c r="I58">
        <v>115.28</v>
      </c>
      <c r="J58">
        <v>67.69</v>
      </c>
      <c r="K58" t="s">
        <v>323</v>
      </c>
      <c r="L58">
        <v>2.19</v>
      </c>
      <c r="M58">
        <v>8.7200000000000006</v>
      </c>
      <c r="N58" t="s">
        <v>323</v>
      </c>
      <c r="O58">
        <v>5.25</v>
      </c>
      <c r="P58">
        <v>0.79</v>
      </c>
      <c r="Q58">
        <v>0.94</v>
      </c>
      <c r="R58">
        <v>2</v>
      </c>
      <c r="S58">
        <v>11.22</v>
      </c>
      <c r="T58" t="s">
        <v>323</v>
      </c>
      <c r="U58">
        <v>29.48</v>
      </c>
      <c r="V58">
        <v>274.57</v>
      </c>
      <c r="W58">
        <v>81.55</v>
      </c>
      <c r="X58">
        <v>15.88</v>
      </c>
      <c r="Y58">
        <v>549.42999999999995</v>
      </c>
      <c r="Z58">
        <v>12.55</v>
      </c>
    </row>
    <row r="59" spans="1:26" x14ac:dyDescent="0.25">
      <c r="A59" t="s">
        <v>160</v>
      </c>
      <c r="B59" t="s">
        <v>161</v>
      </c>
      <c r="C59" t="s">
        <v>162</v>
      </c>
      <c r="D59">
        <v>232.4</v>
      </c>
      <c r="E59">
        <v>7.97</v>
      </c>
      <c r="F59" t="s">
        <v>323</v>
      </c>
      <c r="G59">
        <v>9.07</v>
      </c>
      <c r="H59" t="s">
        <v>323</v>
      </c>
      <c r="I59">
        <v>59.45</v>
      </c>
      <c r="J59">
        <v>85.07</v>
      </c>
      <c r="K59">
        <v>18.7</v>
      </c>
      <c r="L59">
        <v>3.32</v>
      </c>
      <c r="M59">
        <v>7.28</v>
      </c>
      <c r="N59" t="s">
        <v>323</v>
      </c>
      <c r="O59">
        <v>5.84</v>
      </c>
      <c r="P59">
        <v>1.1599999999999999</v>
      </c>
      <c r="Q59">
        <v>1.27</v>
      </c>
      <c r="R59">
        <v>2.81</v>
      </c>
      <c r="S59">
        <v>12.46</v>
      </c>
      <c r="T59" t="s">
        <v>323</v>
      </c>
      <c r="U59">
        <v>37.840000000000003</v>
      </c>
      <c r="V59">
        <v>270.89</v>
      </c>
      <c r="W59">
        <v>57.31</v>
      </c>
      <c r="X59">
        <v>8.43</v>
      </c>
      <c r="Y59">
        <v>389.52</v>
      </c>
      <c r="Z59">
        <v>14.17</v>
      </c>
    </row>
    <row r="60" spans="1:26" x14ac:dyDescent="0.25">
      <c r="A60" t="s">
        <v>163</v>
      </c>
      <c r="B60" t="s">
        <v>164</v>
      </c>
      <c r="C60" t="s">
        <v>165</v>
      </c>
      <c r="D60">
        <v>329.38</v>
      </c>
      <c r="E60">
        <v>15.55</v>
      </c>
      <c r="F60" t="s">
        <v>323</v>
      </c>
      <c r="G60">
        <v>9.75</v>
      </c>
      <c r="H60" t="s">
        <v>323</v>
      </c>
      <c r="I60">
        <v>202.09</v>
      </c>
      <c r="J60">
        <v>87.24</v>
      </c>
      <c r="K60">
        <v>12.09</v>
      </c>
      <c r="L60">
        <v>3.18</v>
      </c>
      <c r="M60">
        <v>8.92</v>
      </c>
      <c r="N60" t="s">
        <v>323</v>
      </c>
      <c r="O60">
        <v>6.43</v>
      </c>
      <c r="P60">
        <v>0.79</v>
      </c>
      <c r="Q60">
        <v>2.12</v>
      </c>
      <c r="R60">
        <v>3.4</v>
      </c>
      <c r="S60">
        <v>16.420000000000002</v>
      </c>
      <c r="T60" t="s">
        <v>323</v>
      </c>
      <c r="U60">
        <v>30.66</v>
      </c>
      <c r="V60">
        <v>464.55</v>
      </c>
      <c r="W60">
        <v>102.79</v>
      </c>
      <c r="X60">
        <v>27.97</v>
      </c>
      <c r="Y60">
        <v>676.34</v>
      </c>
      <c r="Z60">
        <v>11.73</v>
      </c>
    </row>
    <row r="61" spans="1:26" x14ac:dyDescent="0.25">
      <c r="A61" t="s">
        <v>166</v>
      </c>
      <c r="B61" t="s">
        <v>167</v>
      </c>
      <c r="C61" t="s">
        <v>168</v>
      </c>
      <c r="D61">
        <v>103.28</v>
      </c>
      <c r="E61">
        <v>7.97</v>
      </c>
      <c r="F61" t="s">
        <v>323</v>
      </c>
      <c r="G61">
        <v>7.53</v>
      </c>
      <c r="H61" t="s">
        <v>323</v>
      </c>
      <c r="I61">
        <v>92.43</v>
      </c>
      <c r="J61">
        <v>70.59</v>
      </c>
      <c r="K61">
        <v>13.79</v>
      </c>
      <c r="L61">
        <v>3.32</v>
      </c>
      <c r="M61">
        <v>10.78</v>
      </c>
      <c r="N61" t="s">
        <v>323</v>
      </c>
      <c r="O61">
        <v>5.25</v>
      </c>
      <c r="P61">
        <v>0.79</v>
      </c>
      <c r="Q61">
        <v>1.38</v>
      </c>
      <c r="R61">
        <v>2</v>
      </c>
      <c r="S61">
        <v>11.93</v>
      </c>
      <c r="T61" t="s">
        <v>323</v>
      </c>
      <c r="U61">
        <v>30.27</v>
      </c>
      <c r="V61">
        <v>270.89</v>
      </c>
      <c r="W61">
        <v>84.25</v>
      </c>
      <c r="X61">
        <v>19.84</v>
      </c>
      <c r="Y61">
        <v>445.16</v>
      </c>
      <c r="Z61">
        <v>15.79</v>
      </c>
    </row>
    <row r="62" spans="1:26" x14ac:dyDescent="0.25">
      <c r="A62" t="s">
        <v>169</v>
      </c>
      <c r="B62" t="s">
        <v>170</v>
      </c>
      <c r="C62" t="s">
        <v>171</v>
      </c>
      <c r="D62">
        <v>116.12</v>
      </c>
      <c r="E62">
        <v>12.19</v>
      </c>
      <c r="F62" t="s">
        <v>323</v>
      </c>
      <c r="G62">
        <v>8.9</v>
      </c>
      <c r="H62" t="s">
        <v>323</v>
      </c>
      <c r="I62">
        <v>69.86</v>
      </c>
      <c r="J62">
        <v>85.07</v>
      </c>
      <c r="K62">
        <v>20.3</v>
      </c>
      <c r="L62">
        <v>2.9</v>
      </c>
      <c r="M62">
        <v>11.28</v>
      </c>
      <c r="N62" t="s">
        <v>323</v>
      </c>
      <c r="O62">
        <v>5.54</v>
      </c>
      <c r="P62">
        <v>1.34</v>
      </c>
      <c r="Q62">
        <v>2.12</v>
      </c>
      <c r="R62">
        <v>3.6</v>
      </c>
      <c r="S62">
        <v>12.81</v>
      </c>
      <c r="T62" t="s">
        <v>323</v>
      </c>
      <c r="U62">
        <v>47.08</v>
      </c>
      <c r="V62">
        <v>309.68</v>
      </c>
      <c r="W62">
        <v>92.13</v>
      </c>
      <c r="X62">
        <v>13.28</v>
      </c>
      <c r="Y62">
        <v>476.7</v>
      </c>
      <c r="Z62">
        <v>17.39</v>
      </c>
    </row>
    <row r="63" spans="1:26" x14ac:dyDescent="0.25">
      <c r="A63" t="s">
        <v>173</v>
      </c>
      <c r="B63" t="s">
        <v>174</v>
      </c>
      <c r="C63" t="s">
        <v>175</v>
      </c>
      <c r="D63">
        <v>119.74</v>
      </c>
      <c r="E63">
        <v>11.5</v>
      </c>
      <c r="F63" t="s">
        <v>323</v>
      </c>
      <c r="G63">
        <v>7.87</v>
      </c>
      <c r="H63" t="s">
        <v>323</v>
      </c>
      <c r="I63">
        <v>91.71</v>
      </c>
      <c r="J63">
        <v>79.290000000000006</v>
      </c>
      <c r="K63" t="s">
        <v>323</v>
      </c>
      <c r="L63">
        <v>1.72</v>
      </c>
      <c r="M63">
        <v>8.98</v>
      </c>
      <c r="N63" t="s">
        <v>323</v>
      </c>
      <c r="O63">
        <v>3.09</v>
      </c>
      <c r="P63">
        <v>1.71</v>
      </c>
      <c r="Q63">
        <v>1.49</v>
      </c>
      <c r="R63">
        <v>3.4</v>
      </c>
      <c r="S63">
        <v>22</v>
      </c>
      <c r="T63" t="s">
        <v>323</v>
      </c>
      <c r="U63">
        <v>44.65</v>
      </c>
      <c r="V63">
        <v>313.04000000000002</v>
      </c>
      <c r="W63">
        <v>139.68</v>
      </c>
      <c r="X63">
        <v>23.57</v>
      </c>
      <c r="Y63">
        <v>689.86</v>
      </c>
      <c r="Z63">
        <v>15.79</v>
      </c>
    </row>
    <row r="64" spans="1:26" x14ac:dyDescent="0.25">
      <c r="A64" t="s">
        <v>176</v>
      </c>
      <c r="B64" t="s">
        <v>177</v>
      </c>
      <c r="C64" t="s">
        <v>178</v>
      </c>
      <c r="D64">
        <v>332.38</v>
      </c>
      <c r="E64">
        <v>9.41</v>
      </c>
      <c r="F64" t="s">
        <v>323</v>
      </c>
      <c r="G64">
        <v>12.25</v>
      </c>
      <c r="H64" t="s">
        <v>323</v>
      </c>
      <c r="I64">
        <v>110.31</v>
      </c>
      <c r="J64">
        <v>100.25</v>
      </c>
      <c r="K64">
        <v>17.09</v>
      </c>
      <c r="L64">
        <v>3.13</v>
      </c>
      <c r="M64">
        <v>8.1999999999999993</v>
      </c>
      <c r="N64">
        <v>2.19</v>
      </c>
      <c r="O64">
        <v>5.25</v>
      </c>
      <c r="P64">
        <v>1.34</v>
      </c>
      <c r="Q64">
        <v>2.33</v>
      </c>
      <c r="R64">
        <v>2.41</v>
      </c>
      <c r="S64">
        <v>17.350000000000001</v>
      </c>
      <c r="T64" t="s">
        <v>323</v>
      </c>
      <c r="U64">
        <v>35.619999999999997</v>
      </c>
      <c r="V64">
        <v>309.68</v>
      </c>
      <c r="W64">
        <v>137.55000000000001</v>
      </c>
      <c r="X64">
        <v>22.77</v>
      </c>
      <c r="Y64">
        <v>973.84</v>
      </c>
      <c r="Z64">
        <v>18.989999999999998</v>
      </c>
    </row>
    <row r="65" spans="1:26" x14ac:dyDescent="0.25">
      <c r="A65" t="s">
        <v>179</v>
      </c>
      <c r="B65" t="s">
        <v>180</v>
      </c>
      <c r="C65" t="s">
        <v>181</v>
      </c>
      <c r="D65">
        <v>95.81</v>
      </c>
      <c r="E65">
        <v>3.4</v>
      </c>
      <c r="F65" t="s">
        <v>323</v>
      </c>
      <c r="G65">
        <v>5.43</v>
      </c>
      <c r="H65" t="s">
        <v>323</v>
      </c>
      <c r="I65">
        <v>32.54</v>
      </c>
      <c r="J65">
        <v>55.32</v>
      </c>
      <c r="K65">
        <v>15.45</v>
      </c>
      <c r="L65">
        <v>2.94</v>
      </c>
      <c r="M65">
        <v>5.23</v>
      </c>
      <c r="N65" t="s">
        <v>323</v>
      </c>
      <c r="O65">
        <v>3.72</v>
      </c>
      <c r="P65">
        <v>0.97</v>
      </c>
      <c r="Q65">
        <v>1.05</v>
      </c>
      <c r="R65">
        <v>3.2</v>
      </c>
      <c r="S65">
        <v>8.23</v>
      </c>
      <c r="T65" t="s">
        <v>323</v>
      </c>
      <c r="U65">
        <v>23.78</v>
      </c>
      <c r="V65" t="s">
        <v>323</v>
      </c>
      <c r="W65">
        <v>39.020000000000003</v>
      </c>
      <c r="X65">
        <v>5.75</v>
      </c>
      <c r="Y65">
        <v>184.81</v>
      </c>
      <c r="Z65">
        <v>12.55</v>
      </c>
    </row>
    <row r="66" spans="1:26" x14ac:dyDescent="0.25">
      <c r="A66" t="s">
        <v>182</v>
      </c>
      <c r="B66" t="s">
        <v>183</v>
      </c>
      <c r="C66" t="s">
        <v>184</v>
      </c>
      <c r="D66">
        <v>112.68</v>
      </c>
      <c r="E66">
        <v>10.81</v>
      </c>
      <c r="F66" t="s">
        <v>323</v>
      </c>
      <c r="G66">
        <v>7.53</v>
      </c>
      <c r="H66" t="s">
        <v>323</v>
      </c>
      <c r="I66">
        <v>72.8</v>
      </c>
      <c r="J66">
        <v>48</v>
      </c>
      <c r="K66" t="s">
        <v>323</v>
      </c>
      <c r="L66">
        <v>2.0499999999999998</v>
      </c>
      <c r="M66">
        <v>5.16</v>
      </c>
      <c r="N66" t="s">
        <v>323</v>
      </c>
      <c r="O66">
        <v>2.77</v>
      </c>
      <c r="P66">
        <v>0.97</v>
      </c>
      <c r="Q66">
        <v>1.05</v>
      </c>
      <c r="R66">
        <v>1.19</v>
      </c>
      <c r="S66">
        <v>10.6</v>
      </c>
      <c r="T66" t="s">
        <v>323</v>
      </c>
      <c r="U66">
        <v>38.94</v>
      </c>
      <c r="V66">
        <v>236.11</v>
      </c>
      <c r="W66">
        <v>52.39</v>
      </c>
      <c r="X66">
        <v>9.82</v>
      </c>
      <c r="Y66">
        <v>250.09</v>
      </c>
      <c r="Z66">
        <v>7.59</v>
      </c>
    </row>
    <row r="67" spans="1:26" x14ac:dyDescent="0.25">
      <c r="A67" t="s">
        <v>185</v>
      </c>
      <c r="B67" t="s">
        <v>186</v>
      </c>
      <c r="C67" t="s">
        <v>187</v>
      </c>
      <c r="D67">
        <v>139.51</v>
      </c>
      <c r="E67">
        <v>4.99</v>
      </c>
      <c r="F67" t="s">
        <v>323</v>
      </c>
      <c r="G67">
        <v>3.44</v>
      </c>
      <c r="H67" t="s">
        <v>323</v>
      </c>
      <c r="I67">
        <v>73.17</v>
      </c>
      <c r="J67">
        <v>45.06</v>
      </c>
      <c r="K67" t="s">
        <v>323</v>
      </c>
      <c r="L67">
        <v>1.35</v>
      </c>
      <c r="M67">
        <v>2.92</v>
      </c>
      <c r="N67" t="s">
        <v>323</v>
      </c>
      <c r="O67" t="s">
        <v>323</v>
      </c>
      <c r="P67">
        <v>0.79</v>
      </c>
      <c r="Q67" t="s">
        <v>323</v>
      </c>
      <c r="R67">
        <v>1.8</v>
      </c>
      <c r="S67">
        <v>9.06</v>
      </c>
      <c r="T67" t="s">
        <v>323</v>
      </c>
      <c r="U67">
        <v>17.61</v>
      </c>
      <c r="V67">
        <v>141.16999999999999</v>
      </c>
      <c r="W67">
        <v>55.69</v>
      </c>
      <c r="X67">
        <v>7.7</v>
      </c>
      <c r="Y67">
        <v>310.89999999999998</v>
      </c>
      <c r="Z67">
        <v>9.26</v>
      </c>
    </row>
    <row r="68" spans="1:26" x14ac:dyDescent="0.25">
      <c r="A68" t="s">
        <v>188</v>
      </c>
      <c r="B68" t="s">
        <v>189</v>
      </c>
      <c r="C68" t="s">
        <v>190</v>
      </c>
      <c r="D68">
        <v>136.97</v>
      </c>
      <c r="E68">
        <v>20.100000000000001</v>
      </c>
      <c r="F68" t="s">
        <v>323</v>
      </c>
      <c r="G68">
        <v>6.49</v>
      </c>
      <c r="H68" t="s">
        <v>323</v>
      </c>
      <c r="I68">
        <v>109.6</v>
      </c>
      <c r="J68">
        <v>54.59</v>
      </c>
      <c r="K68">
        <v>13.79</v>
      </c>
      <c r="L68">
        <v>1.77</v>
      </c>
      <c r="M68">
        <v>8.4600000000000009</v>
      </c>
      <c r="N68">
        <v>2.19</v>
      </c>
      <c r="O68">
        <v>2.12</v>
      </c>
      <c r="P68">
        <v>0.79</v>
      </c>
      <c r="Q68">
        <v>0.82</v>
      </c>
      <c r="R68">
        <v>2.21</v>
      </c>
      <c r="S68">
        <v>11.93</v>
      </c>
      <c r="T68" t="s">
        <v>323</v>
      </c>
      <c r="U68">
        <v>82.54</v>
      </c>
      <c r="V68">
        <v>427.26</v>
      </c>
      <c r="W68">
        <v>190.44</v>
      </c>
      <c r="X68">
        <v>33.94</v>
      </c>
      <c r="Y68">
        <v>300.35000000000002</v>
      </c>
      <c r="Z68">
        <v>9.26</v>
      </c>
    </row>
    <row r="69" spans="1:26" x14ac:dyDescent="0.25">
      <c r="A69" t="s">
        <v>191</v>
      </c>
      <c r="B69" t="s">
        <v>192</v>
      </c>
      <c r="C69" t="s">
        <v>193</v>
      </c>
      <c r="D69">
        <v>166.94</v>
      </c>
      <c r="E69" t="s">
        <v>323</v>
      </c>
      <c r="F69" t="s">
        <v>323</v>
      </c>
      <c r="G69">
        <v>4.3600000000000003</v>
      </c>
      <c r="H69" t="s">
        <v>323</v>
      </c>
      <c r="I69">
        <v>73.540000000000006</v>
      </c>
      <c r="J69">
        <v>58.24</v>
      </c>
      <c r="K69" t="s">
        <v>323</v>
      </c>
      <c r="L69">
        <v>1.44</v>
      </c>
      <c r="M69">
        <v>4.0999999999999996</v>
      </c>
      <c r="N69" t="s">
        <v>323</v>
      </c>
      <c r="O69">
        <v>3.41</v>
      </c>
      <c r="P69" t="s">
        <v>323</v>
      </c>
      <c r="Q69" t="s">
        <v>323</v>
      </c>
      <c r="R69">
        <v>0.99</v>
      </c>
      <c r="S69">
        <v>7.01</v>
      </c>
      <c r="T69" t="s">
        <v>323</v>
      </c>
      <c r="U69">
        <v>14.27</v>
      </c>
      <c r="V69">
        <v>129.19999999999999</v>
      </c>
      <c r="W69">
        <v>71.010000000000005</v>
      </c>
      <c r="X69">
        <v>9.82</v>
      </c>
      <c r="Y69">
        <v>420.87</v>
      </c>
      <c r="Z69">
        <v>10.91</v>
      </c>
    </row>
    <row r="70" spans="1:26" x14ac:dyDescent="0.25">
      <c r="A70" t="s">
        <v>194</v>
      </c>
      <c r="B70" t="s">
        <v>195</v>
      </c>
      <c r="C70" t="s">
        <v>196</v>
      </c>
      <c r="D70">
        <v>245.66</v>
      </c>
      <c r="E70">
        <v>7.97</v>
      </c>
      <c r="F70" t="s">
        <v>323</v>
      </c>
      <c r="G70">
        <v>11.59</v>
      </c>
      <c r="H70" t="s">
        <v>323</v>
      </c>
      <c r="I70">
        <v>33.340000000000003</v>
      </c>
      <c r="J70">
        <v>59.69</v>
      </c>
      <c r="K70">
        <v>21.87</v>
      </c>
      <c r="L70">
        <v>2.19</v>
      </c>
      <c r="M70">
        <v>10.33</v>
      </c>
      <c r="N70" t="s">
        <v>323</v>
      </c>
      <c r="O70">
        <v>12.06</v>
      </c>
      <c r="P70">
        <v>1.07</v>
      </c>
      <c r="Q70">
        <v>1.27</v>
      </c>
      <c r="R70">
        <v>2.21</v>
      </c>
      <c r="S70">
        <v>6.82</v>
      </c>
      <c r="T70">
        <v>26.73</v>
      </c>
      <c r="U70">
        <v>27.08</v>
      </c>
      <c r="V70">
        <v>219.49</v>
      </c>
      <c r="W70">
        <v>73.17</v>
      </c>
      <c r="X70">
        <v>9.19</v>
      </c>
      <c r="Y70">
        <v>760.22</v>
      </c>
      <c r="Z70">
        <v>17.39</v>
      </c>
    </row>
    <row r="71" spans="1:26" x14ac:dyDescent="0.25">
      <c r="A71" t="s">
        <v>197</v>
      </c>
      <c r="B71" t="s">
        <v>198</v>
      </c>
      <c r="C71" t="s">
        <v>199</v>
      </c>
      <c r="D71">
        <v>108.61</v>
      </c>
      <c r="E71" t="s">
        <v>323</v>
      </c>
      <c r="F71" t="s">
        <v>323</v>
      </c>
      <c r="G71" t="s">
        <v>323</v>
      </c>
      <c r="H71" t="s">
        <v>323</v>
      </c>
      <c r="I71">
        <v>94.59</v>
      </c>
      <c r="J71">
        <v>49.47</v>
      </c>
      <c r="K71" t="s">
        <v>323</v>
      </c>
      <c r="L71">
        <v>1.02</v>
      </c>
      <c r="M71">
        <v>3.22</v>
      </c>
      <c r="N71" t="s">
        <v>323</v>
      </c>
      <c r="O71">
        <v>2.4500000000000002</v>
      </c>
      <c r="P71" t="s">
        <v>323</v>
      </c>
      <c r="Q71" t="s">
        <v>323</v>
      </c>
      <c r="R71" t="s">
        <v>323</v>
      </c>
      <c r="S71">
        <v>3.66</v>
      </c>
      <c r="T71" t="s">
        <v>323</v>
      </c>
      <c r="U71">
        <v>20.32</v>
      </c>
      <c r="V71">
        <v>129.19999999999999</v>
      </c>
      <c r="W71">
        <v>44.59</v>
      </c>
      <c r="X71">
        <v>6.46</v>
      </c>
      <c r="Y71">
        <v>495.29</v>
      </c>
      <c r="Z71">
        <v>7.59</v>
      </c>
    </row>
    <row r="72" spans="1:26" x14ac:dyDescent="0.25">
      <c r="A72" t="s">
        <v>200</v>
      </c>
      <c r="B72" t="s">
        <v>201</v>
      </c>
      <c r="C72" t="s">
        <v>202</v>
      </c>
      <c r="D72">
        <v>106.16</v>
      </c>
      <c r="E72" t="s">
        <v>323</v>
      </c>
      <c r="F72" t="s">
        <v>323</v>
      </c>
      <c r="G72">
        <v>5.79</v>
      </c>
      <c r="H72" t="s">
        <v>323</v>
      </c>
      <c r="I72">
        <v>158.34</v>
      </c>
      <c r="J72">
        <v>53.86</v>
      </c>
      <c r="K72" t="s">
        <v>323</v>
      </c>
      <c r="L72">
        <v>1.35</v>
      </c>
      <c r="M72">
        <v>5.72</v>
      </c>
      <c r="N72" t="s">
        <v>323</v>
      </c>
      <c r="O72">
        <v>1.78</v>
      </c>
      <c r="P72" t="s">
        <v>323</v>
      </c>
      <c r="Q72" t="s">
        <v>323</v>
      </c>
      <c r="R72">
        <v>2.41</v>
      </c>
      <c r="S72">
        <v>6.44</v>
      </c>
      <c r="T72" t="s">
        <v>323</v>
      </c>
      <c r="U72">
        <v>32.590000000000003</v>
      </c>
      <c r="V72">
        <v>163.18</v>
      </c>
      <c r="W72">
        <v>37.08</v>
      </c>
      <c r="X72">
        <v>5.61</v>
      </c>
      <c r="Y72">
        <v>238.9</v>
      </c>
      <c r="Z72">
        <v>9.26</v>
      </c>
    </row>
    <row r="73" spans="1:26" x14ac:dyDescent="0.25">
      <c r="A73" t="s">
        <v>203</v>
      </c>
      <c r="B73" t="s">
        <v>204</v>
      </c>
      <c r="C73" t="s">
        <v>205</v>
      </c>
      <c r="D73">
        <v>75.540000000000006</v>
      </c>
      <c r="E73" t="s">
        <v>323</v>
      </c>
      <c r="F73" t="s">
        <v>323</v>
      </c>
      <c r="G73">
        <v>2.88</v>
      </c>
      <c r="H73" t="s">
        <v>323</v>
      </c>
      <c r="I73">
        <v>63.93</v>
      </c>
      <c r="J73">
        <v>48</v>
      </c>
      <c r="K73" t="s">
        <v>323</v>
      </c>
      <c r="L73">
        <v>1.53</v>
      </c>
      <c r="M73">
        <v>2.15</v>
      </c>
      <c r="N73" t="s">
        <v>323</v>
      </c>
      <c r="O73">
        <v>1.44</v>
      </c>
      <c r="P73">
        <v>0.6</v>
      </c>
      <c r="Q73" t="s">
        <v>323</v>
      </c>
      <c r="R73" t="s">
        <v>323</v>
      </c>
      <c r="S73">
        <v>4.88</v>
      </c>
      <c r="T73" t="s">
        <v>323</v>
      </c>
      <c r="U73" t="s">
        <v>323</v>
      </c>
      <c r="V73" t="s">
        <v>323</v>
      </c>
      <c r="W73">
        <v>33.04</v>
      </c>
      <c r="X73">
        <v>5.89</v>
      </c>
      <c r="Y73">
        <v>338.1</v>
      </c>
      <c r="Z73">
        <v>7.59</v>
      </c>
    </row>
    <row r="74" spans="1:26" x14ac:dyDescent="0.25">
      <c r="A74" t="s">
        <v>206</v>
      </c>
      <c r="B74" t="s">
        <v>207</v>
      </c>
      <c r="C74" t="s">
        <v>208</v>
      </c>
      <c r="D74">
        <v>184.15</v>
      </c>
      <c r="E74">
        <v>36.1</v>
      </c>
      <c r="F74" t="s">
        <v>323</v>
      </c>
      <c r="G74">
        <v>8.2200000000000006</v>
      </c>
      <c r="H74" t="s">
        <v>323</v>
      </c>
      <c r="I74">
        <v>724.99</v>
      </c>
      <c r="J74">
        <v>69.87</v>
      </c>
      <c r="K74">
        <v>23.43</v>
      </c>
      <c r="L74">
        <v>1.44</v>
      </c>
      <c r="M74">
        <v>12.72</v>
      </c>
      <c r="N74">
        <v>5.64</v>
      </c>
      <c r="O74">
        <v>5.84</v>
      </c>
      <c r="P74">
        <v>1.89</v>
      </c>
      <c r="Q74">
        <v>2.33</v>
      </c>
      <c r="R74">
        <v>3.8</v>
      </c>
      <c r="S74">
        <v>39.24</v>
      </c>
      <c r="T74" t="s">
        <v>323</v>
      </c>
      <c r="U74">
        <v>104.4</v>
      </c>
      <c r="V74">
        <v>1915.28</v>
      </c>
      <c r="W74">
        <v>736.7</v>
      </c>
      <c r="X74">
        <v>143.15</v>
      </c>
      <c r="Y74">
        <v>2322.66</v>
      </c>
      <c r="Z74">
        <v>10.91</v>
      </c>
    </row>
    <row r="75" spans="1:26" x14ac:dyDescent="0.25">
      <c r="A75" t="s">
        <v>209</v>
      </c>
      <c r="B75" t="s">
        <v>210</v>
      </c>
      <c r="C75" t="s">
        <v>211</v>
      </c>
      <c r="D75">
        <v>287.81</v>
      </c>
      <c r="E75">
        <v>133.41</v>
      </c>
      <c r="F75" t="s">
        <v>323</v>
      </c>
      <c r="G75">
        <v>12.58</v>
      </c>
      <c r="H75" t="s">
        <v>323</v>
      </c>
      <c r="I75">
        <v>696.8</v>
      </c>
      <c r="J75">
        <v>81.459999999999994</v>
      </c>
      <c r="K75">
        <v>20.3</v>
      </c>
      <c r="L75">
        <v>1.82</v>
      </c>
      <c r="M75">
        <v>29.28</v>
      </c>
      <c r="N75">
        <v>6.04</v>
      </c>
      <c r="O75">
        <v>5.25</v>
      </c>
      <c r="P75">
        <v>1.25</v>
      </c>
      <c r="Q75">
        <v>2.12</v>
      </c>
      <c r="R75">
        <v>6.72</v>
      </c>
      <c r="S75">
        <v>80.48</v>
      </c>
      <c r="T75" t="s">
        <v>323</v>
      </c>
      <c r="U75">
        <v>547.36</v>
      </c>
      <c r="V75">
        <v>2122.34</v>
      </c>
      <c r="W75">
        <v>628.79</v>
      </c>
      <c r="X75">
        <v>113.06</v>
      </c>
      <c r="Y75">
        <v>1144.98</v>
      </c>
      <c r="Z75">
        <v>15.79</v>
      </c>
    </row>
    <row r="76" spans="1:26" x14ac:dyDescent="0.25">
      <c r="A76" t="s">
        <v>212</v>
      </c>
      <c r="B76" t="s">
        <v>213</v>
      </c>
      <c r="C76" t="s">
        <v>214</v>
      </c>
      <c r="D76">
        <v>186</v>
      </c>
      <c r="E76" t="s">
        <v>323</v>
      </c>
      <c r="F76" t="s">
        <v>323</v>
      </c>
      <c r="G76">
        <v>4.17</v>
      </c>
      <c r="H76" t="s">
        <v>323</v>
      </c>
      <c r="I76">
        <v>103.9</v>
      </c>
      <c r="J76">
        <v>48</v>
      </c>
      <c r="K76">
        <v>13.79</v>
      </c>
      <c r="L76">
        <v>2.29</v>
      </c>
      <c r="M76">
        <v>3.37</v>
      </c>
      <c r="N76" t="s">
        <v>323</v>
      </c>
      <c r="O76">
        <v>4.6399999999999997</v>
      </c>
      <c r="P76">
        <v>0.79</v>
      </c>
      <c r="Q76">
        <v>0.59</v>
      </c>
      <c r="R76">
        <v>1.6</v>
      </c>
      <c r="S76">
        <v>5.67</v>
      </c>
      <c r="T76" t="s">
        <v>323</v>
      </c>
      <c r="U76">
        <v>23.35</v>
      </c>
      <c r="V76">
        <v>152.46</v>
      </c>
      <c r="W76">
        <v>41.85</v>
      </c>
      <c r="X76">
        <v>6.53</v>
      </c>
      <c r="Y76">
        <v>577.75</v>
      </c>
      <c r="Z76">
        <v>9.26</v>
      </c>
    </row>
    <row r="77" spans="1:26" x14ac:dyDescent="0.25">
      <c r="A77" t="s">
        <v>215</v>
      </c>
      <c r="B77" t="s">
        <v>216</v>
      </c>
      <c r="C77" t="s">
        <v>217</v>
      </c>
      <c r="D77">
        <v>125.33</v>
      </c>
      <c r="E77">
        <v>4.99</v>
      </c>
      <c r="F77" t="s">
        <v>323</v>
      </c>
      <c r="G77">
        <v>6.49</v>
      </c>
      <c r="H77" t="s">
        <v>323</v>
      </c>
      <c r="I77">
        <v>340.5</v>
      </c>
      <c r="J77">
        <v>61.15</v>
      </c>
      <c r="K77">
        <v>13.79</v>
      </c>
      <c r="L77">
        <v>2</v>
      </c>
      <c r="M77">
        <v>5.0199999999999996</v>
      </c>
      <c r="N77" t="s">
        <v>323</v>
      </c>
      <c r="O77">
        <v>4.03</v>
      </c>
      <c r="P77">
        <v>0.51</v>
      </c>
      <c r="Q77">
        <v>0.82</v>
      </c>
      <c r="R77">
        <v>2</v>
      </c>
      <c r="S77">
        <v>8.69</v>
      </c>
      <c r="T77" t="s">
        <v>323</v>
      </c>
      <c r="U77">
        <v>61.02</v>
      </c>
      <c r="V77">
        <v>309.68</v>
      </c>
      <c r="W77">
        <v>211.17</v>
      </c>
      <c r="X77">
        <v>71.8</v>
      </c>
      <c r="Y77">
        <v>679.3</v>
      </c>
      <c r="Z77">
        <v>7.59</v>
      </c>
    </row>
    <row r="78" spans="1:26" x14ac:dyDescent="0.25">
      <c r="A78" t="s">
        <v>219</v>
      </c>
      <c r="B78" t="s">
        <v>220</v>
      </c>
      <c r="C78" t="s">
        <v>221</v>
      </c>
      <c r="D78">
        <v>542.63</v>
      </c>
      <c r="E78">
        <v>82.43</v>
      </c>
      <c r="F78" t="s">
        <v>323</v>
      </c>
      <c r="G78">
        <v>9.58</v>
      </c>
      <c r="H78" t="s">
        <v>323</v>
      </c>
      <c r="I78">
        <v>359.74</v>
      </c>
      <c r="J78">
        <v>53.13</v>
      </c>
      <c r="K78">
        <v>20.3</v>
      </c>
      <c r="L78">
        <v>1.44</v>
      </c>
      <c r="M78">
        <v>17.420000000000002</v>
      </c>
      <c r="N78">
        <v>6.99</v>
      </c>
      <c r="O78">
        <v>4.95</v>
      </c>
      <c r="P78">
        <v>0.97</v>
      </c>
      <c r="Q78">
        <v>5.14</v>
      </c>
      <c r="R78">
        <v>23.7</v>
      </c>
      <c r="S78">
        <v>41.71</v>
      </c>
      <c r="T78" t="s">
        <v>323</v>
      </c>
      <c r="U78">
        <v>227.02</v>
      </c>
      <c r="V78">
        <v>589.4</v>
      </c>
      <c r="W78">
        <v>507.82</v>
      </c>
      <c r="X78">
        <v>66.010000000000005</v>
      </c>
      <c r="Y78">
        <v>2526.15</v>
      </c>
      <c r="Z78">
        <v>11.73</v>
      </c>
    </row>
    <row r="79" spans="1:26" x14ac:dyDescent="0.25">
      <c r="A79" t="s">
        <v>222</v>
      </c>
      <c r="B79" t="s">
        <v>223</v>
      </c>
      <c r="C79" t="s">
        <v>224</v>
      </c>
      <c r="D79">
        <v>171.08</v>
      </c>
      <c r="E79">
        <v>75.87</v>
      </c>
      <c r="F79" t="s">
        <v>323</v>
      </c>
      <c r="G79">
        <v>8.56</v>
      </c>
      <c r="H79" t="s">
        <v>323</v>
      </c>
      <c r="I79">
        <v>230.09</v>
      </c>
      <c r="J79">
        <v>65.510000000000005</v>
      </c>
      <c r="K79">
        <v>17.09</v>
      </c>
      <c r="L79">
        <v>1.06</v>
      </c>
      <c r="M79">
        <v>8.5299999999999994</v>
      </c>
      <c r="N79">
        <v>5.23</v>
      </c>
      <c r="O79">
        <v>4.34</v>
      </c>
      <c r="P79">
        <v>0.97</v>
      </c>
      <c r="Q79">
        <v>1.49</v>
      </c>
      <c r="R79">
        <v>4.3899999999999997</v>
      </c>
      <c r="S79">
        <v>14.2</v>
      </c>
      <c r="T79" t="s">
        <v>323</v>
      </c>
      <c r="U79">
        <v>89.58</v>
      </c>
      <c r="V79">
        <v>852.73</v>
      </c>
      <c r="W79">
        <v>677.79</v>
      </c>
      <c r="X79">
        <v>127.7</v>
      </c>
      <c r="Y79">
        <v>2119.4499999999998</v>
      </c>
      <c r="Z79">
        <v>12.55</v>
      </c>
    </row>
    <row r="80" spans="1:26" x14ac:dyDescent="0.25">
      <c r="A80" t="s">
        <v>225</v>
      </c>
      <c r="B80" t="s">
        <v>226</v>
      </c>
      <c r="C80" t="s">
        <v>227</v>
      </c>
      <c r="D80">
        <v>309.05</v>
      </c>
      <c r="E80">
        <v>60.89</v>
      </c>
      <c r="F80" t="s">
        <v>323</v>
      </c>
      <c r="G80">
        <v>12.58</v>
      </c>
      <c r="H80" t="s">
        <v>323</v>
      </c>
      <c r="I80">
        <v>272.20999999999998</v>
      </c>
      <c r="J80">
        <v>73.489999999999995</v>
      </c>
      <c r="K80">
        <v>20.3</v>
      </c>
      <c r="L80">
        <v>1.25</v>
      </c>
      <c r="M80">
        <v>15.3</v>
      </c>
      <c r="N80">
        <v>11.63</v>
      </c>
      <c r="O80">
        <v>6.72</v>
      </c>
      <c r="P80">
        <v>1.62</v>
      </c>
      <c r="Q80">
        <v>1.7</v>
      </c>
      <c r="R80">
        <v>2.41</v>
      </c>
      <c r="S80">
        <v>33.46</v>
      </c>
      <c r="T80">
        <v>13.92</v>
      </c>
      <c r="U80">
        <v>219.77</v>
      </c>
      <c r="V80">
        <v>1427.93</v>
      </c>
      <c r="W80">
        <v>1615.29</v>
      </c>
      <c r="X80">
        <v>305.38</v>
      </c>
      <c r="Y80">
        <v>4110.1899999999996</v>
      </c>
      <c r="Z80">
        <v>15.79</v>
      </c>
    </row>
    <row r="81" spans="1:26" x14ac:dyDescent="0.25">
      <c r="A81" t="s">
        <v>228</v>
      </c>
      <c r="B81" t="s">
        <v>229</v>
      </c>
      <c r="C81" t="s">
        <v>230</v>
      </c>
      <c r="D81">
        <v>135.80000000000001</v>
      </c>
      <c r="E81">
        <v>58.08</v>
      </c>
      <c r="F81" t="s">
        <v>323</v>
      </c>
      <c r="G81">
        <v>9.91</v>
      </c>
      <c r="H81">
        <v>23.3</v>
      </c>
      <c r="I81">
        <v>125.87</v>
      </c>
      <c r="J81">
        <v>72.77</v>
      </c>
      <c r="K81">
        <v>13.79</v>
      </c>
      <c r="L81">
        <v>1.82</v>
      </c>
      <c r="M81">
        <v>10.52</v>
      </c>
      <c r="N81">
        <v>4.41</v>
      </c>
      <c r="O81">
        <v>7.01</v>
      </c>
      <c r="P81">
        <v>1.25</v>
      </c>
      <c r="Q81">
        <v>1.7</v>
      </c>
      <c r="R81">
        <v>2</v>
      </c>
      <c r="S81">
        <v>23.72</v>
      </c>
      <c r="T81" t="s">
        <v>323</v>
      </c>
      <c r="U81">
        <v>58.43</v>
      </c>
      <c r="V81">
        <v>1708.01</v>
      </c>
      <c r="W81">
        <v>2449.89</v>
      </c>
      <c r="X81">
        <v>584.70000000000005</v>
      </c>
      <c r="Y81">
        <v>1066.0899999999999</v>
      </c>
      <c r="Z81">
        <v>14.17</v>
      </c>
    </row>
    <row r="82" spans="1:26" x14ac:dyDescent="0.25">
      <c r="A82" t="s">
        <v>231</v>
      </c>
      <c r="B82" t="s">
        <v>232</v>
      </c>
      <c r="C82" t="s">
        <v>233</v>
      </c>
      <c r="D82">
        <v>133.84</v>
      </c>
      <c r="E82" t="s">
        <v>323</v>
      </c>
      <c r="F82" t="s">
        <v>323</v>
      </c>
      <c r="G82">
        <v>5.79</v>
      </c>
      <c r="H82" t="s">
        <v>323</v>
      </c>
      <c r="I82">
        <v>48.11</v>
      </c>
      <c r="J82">
        <v>52.39</v>
      </c>
      <c r="K82" t="s">
        <v>323</v>
      </c>
      <c r="L82">
        <v>1.96</v>
      </c>
      <c r="M82">
        <v>4.24</v>
      </c>
      <c r="N82" t="s">
        <v>323</v>
      </c>
      <c r="O82">
        <v>2.12</v>
      </c>
      <c r="P82">
        <v>0.97</v>
      </c>
      <c r="Q82" t="s">
        <v>323</v>
      </c>
      <c r="R82">
        <v>2</v>
      </c>
      <c r="S82">
        <v>4.78</v>
      </c>
      <c r="T82" t="s">
        <v>323</v>
      </c>
      <c r="U82">
        <v>34.5</v>
      </c>
      <c r="V82" t="s">
        <v>323</v>
      </c>
      <c r="W82">
        <v>35.090000000000003</v>
      </c>
      <c r="X82">
        <v>6.04</v>
      </c>
      <c r="Y82">
        <v>365.73</v>
      </c>
      <c r="Z82">
        <v>9.26</v>
      </c>
    </row>
    <row r="83" spans="1:26" x14ac:dyDescent="0.25">
      <c r="A83" t="s">
        <v>234</v>
      </c>
      <c r="B83" t="s">
        <v>235</v>
      </c>
      <c r="C83" t="s">
        <v>236</v>
      </c>
      <c r="D83">
        <v>404.14</v>
      </c>
      <c r="E83">
        <v>99.68</v>
      </c>
      <c r="F83" t="s">
        <v>323</v>
      </c>
      <c r="G83">
        <v>12.58</v>
      </c>
      <c r="H83">
        <v>29.12</v>
      </c>
      <c r="I83">
        <v>903.1</v>
      </c>
      <c r="J83">
        <v>77.11</v>
      </c>
      <c r="K83">
        <v>26.51</v>
      </c>
      <c r="L83">
        <v>1.96</v>
      </c>
      <c r="M83">
        <v>19.91</v>
      </c>
      <c r="N83">
        <v>11.37</v>
      </c>
      <c r="O83">
        <v>9.3000000000000007</v>
      </c>
      <c r="P83">
        <v>2.08</v>
      </c>
      <c r="Q83">
        <v>2.54</v>
      </c>
      <c r="R83">
        <v>12.08</v>
      </c>
      <c r="S83">
        <v>34.090000000000003</v>
      </c>
      <c r="T83">
        <v>15.23</v>
      </c>
      <c r="U83">
        <v>139.03</v>
      </c>
      <c r="V83">
        <v>1198.7</v>
      </c>
      <c r="W83">
        <v>773.45</v>
      </c>
      <c r="X83">
        <v>153.71</v>
      </c>
      <c r="Y83">
        <v>4876.54</v>
      </c>
      <c r="Z83">
        <v>18.989999999999998</v>
      </c>
    </row>
    <row r="84" spans="1:26" x14ac:dyDescent="0.25">
      <c r="A84" t="s">
        <v>237</v>
      </c>
      <c r="B84" t="s">
        <v>238</v>
      </c>
      <c r="C84" t="s">
        <v>239</v>
      </c>
      <c r="D84">
        <v>117.93</v>
      </c>
      <c r="E84" t="s">
        <v>323</v>
      </c>
      <c r="F84" t="s">
        <v>323</v>
      </c>
      <c r="G84">
        <v>5.79</v>
      </c>
      <c r="H84" t="s">
        <v>323</v>
      </c>
      <c r="I84">
        <v>125.51</v>
      </c>
      <c r="J84">
        <v>59.69</v>
      </c>
      <c r="K84">
        <v>13.79</v>
      </c>
      <c r="L84">
        <v>1.72</v>
      </c>
      <c r="M84">
        <v>1.91</v>
      </c>
      <c r="N84" t="s">
        <v>323</v>
      </c>
      <c r="O84">
        <v>4.03</v>
      </c>
      <c r="P84">
        <v>0.6</v>
      </c>
      <c r="Q84">
        <v>0.59</v>
      </c>
      <c r="R84">
        <v>1.19</v>
      </c>
      <c r="S84">
        <v>9.15</v>
      </c>
      <c r="T84" t="s">
        <v>323</v>
      </c>
      <c r="U84">
        <v>15.73</v>
      </c>
      <c r="V84">
        <v>87.05</v>
      </c>
      <c r="W84">
        <v>65.84</v>
      </c>
      <c r="X84">
        <v>8.74</v>
      </c>
      <c r="Y84">
        <v>579.04</v>
      </c>
      <c r="Z84">
        <v>12.55</v>
      </c>
    </row>
    <row r="85" spans="1:26" x14ac:dyDescent="0.25">
      <c r="A85" t="s">
        <v>240</v>
      </c>
      <c r="B85" t="s">
        <v>241</v>
      </c>
      <c r="C85" t="s">
        <v>242</v>
      </c>
      <c r="D85">
        <v>131.66999999999999</v>
      </c>
      <c r="E85" t="s">
        <v>323</v>
      </c>
      <c r="F85" t="s">
        <v>323</v>
      </c>
      <c r="G85">
        <v>6.84</v>
      </c>
      <c r="H85" t="s">
        <v>323</v>
      </c>
      <c r="I85">
        <v>103.9</v>
      </c>
      <c r="J85">
        <v>50.93</v>
      </c>
      <c r="K85" t="s">
        <v>323</v>
      </c>
      <c r="L85">
        <v>0.87</v>
      </c>
      <c r="M85">
        <v>3.3</v>
      </c>
      <c r="N85" t="s">
        <v>323</v>
      </c>
      <c r="O85">
        <v>3.41</v>
      </c>
      <c r="P85">
        <v>0.79</v>
      </c>
      <c r="Q85" t="s">
        <v>323</v>
      </c>
      <c r="R85">
        <v>1.6</v>
      </c>
      <c r="S85">
        <v>5.28</v>
      </c>
      <c r="T85" t="s">
        <v>323</v>
      </c>
      <c r="U85">
        <v>25.03</v>
      </c>
      <c r="V85">
        <v>69.33</v>
      </c>
      <c r="W85">
        <v>64.33</v>
      </c>
      <c r="X85">
        <v>8.43</v>
      </c>
      <c r="Y85">
        <v>1202.04</v>
      </c>
      <c r="Z85">
        <v>7.59</v>
      </c>
    </row>
    <row r="86" spans="1:26" x14ac:dyDescent="0.25">
      <c r="A86" t="s">
        <v>243</v>
      </c>
      <c r="B86" t="s">
        <v>244</v>
      </c>
      <c r="C86" t="s">
        <v>245</v>
      </c>
      <c r="D86">
        <v>249.18</v>
      </c>
      <c r="E86">
        <v>42</v>
      </c>
      <c r="F86" t="s">
        <v>323</v>
      </c>
      <c r="G86">
        <v>6.49</v>
      </c>
      <c r="H86" t="s">
        <v>323</v>
      </c>
      <c r="I86">
        <v>185.61</v>
      </c>
      <c r="J86">
        <v>51.66</v>
      </c>
      <c r="K86">
        <v>13.79</v>
      </c>
      <c r="L86">
        <v>1.44</v>
      </c>
      <c r="M86">
        <v>9.11</v>
      </c>
      <c r="N86">
        <v>4.96</v>
      </c>
      <c r="O86">
        <v>2.77</v>
      </c>
      <c r="P86">
        <v>1.1599999999999999</v>
      </c>
      <c r="Q86">
        <v>0.82</v>
      </c>
      <c r="R86">
        <v>3.2</v>
      </c>
      <c r="S86">
        <v>19.940000000000001</v>
      </c>
      <c r="T86" t="s">
        <v>323</v>
      </c>
      <c r="U86">
        <v>99.9</v>
      </c>
      <c r="V86">
        <v>555.17999999999995</v>
      </c>
      <c r="W86">
        <v>374.61</v>
      </c>
      <c r="X86">
        <v>58.85</v>
      </c>
      <c r="Y86">
        <v>2285.7800000000002</v>
      </c>
      <c r="Z86">
        <v>12.55</v>
      </c>
    </row>
    <row r="87" spans="1:26" x14ac:dyDescent="0.25">
      <c r="A87" t="s">
        <v>246</v>
      </c>
      <c r="B87" t="s">
        <v>247</v>
      </c>
      <c r="C87" t="s">
        <v>248</v>
      </c>
      <c r="D87">
        <v>221.51</v>
      </c>
      <c r="E87">
        <v>85.69</v>
      </c>
      <c r="F87" t="s">
        <v>323</v>
      </c>
      <c r="G87">
        <v>10.42</v>
      </c>
      <c r="H87" t="s">
        <v>323</v>
      </c>
      <c r="I87">
        <v>460.99</v>
      </c>
      <c r="J87">
        <v>76.39</v>
      </c>
      <c r="K87">
        <v>20.3</v>
      </c>
      <c r="L87">
        <v>1.58</v>
      </c>
      <c r="M87">
        <v>10.78</v>
      </c>
      <c r="N87">
        <v>10.050000000000001</v>
      </c>
      <c r="O87">
        <v>5.84</v>
      </c>
      <c r="P87">
        <v>1.71</v>
      </c>
      <c r="Q87">
        <v>2.95</v>
      </c>
      <c r="R87">
        <v>4.78</v>
      </c>
      <c r="S87">
        <v>41.4</v>
      </c>
      <c r="T87">
        <v>15.23</v>
      </c>
      <c r="U87">
        <v>124.96</v>
      </c>
      <c r="V87">
        <v>858.16</v>
      </c>
      <c r="W87">
        <v>1377.22</v>
      </c>
      <c r="X87">
        <v>199.16</v>
      </c>
      <c r="Y87">
        <v>6479.44</v>
      </c>
      <c r="Z87">
        <v>18.190000000000001</v>
      </c>
    </row>
    <row r="88" spans="1:26" x14ac:dyDescent="0.25">
      <c r="A88" t="s">
        <v>249</v>
      </c>
      <c r="B88" t="s">
        <v>250</v>
      </c>
      <c r="C88" t="s">
        <v>251</v>
      </c>
      <c r="D88">
        <v>72.260000000000005</v>
      </c>
      <c r="E88" t="s">
        <v>323</v>
      </c>
      <c r="F88" t="s">
        <v>323</v>
      </c>
      <c r="G88">
        <v>3.81</v>
      </c>
      <c r="H88" t="s">
        <v>323</v>
      </c>
      <c r="I88">
        <v>63.19</v>
      </c>
      <c r="J88">
        <v>39.15</v>
      </c>
      <c r="K88">
        <v>13.79</v>
      </c>
      <c r="L88">
        <v>2.1</v>
      </c>
      <c r="M88">
        <v>3.52</v>
      </c>
      <c r="N88" t="s">
        <v>323</v>
      </c>
      <c r="O88">
        <v>2.12</v>
      </c>
      <c r="P88" t="s">
        <v>323</v>
      </c>
      <c r="Q88" t="s">
        <v>323</v>
      </c>
      <c r="R88">
        <v>1.19</v>
      </c>
      <c r="S88">
        <v>3.45</v>
      </c>
      <c r="T88" t="s">
        <v>323</v>
      </c>
      <c r="U88">
        <v>37.11</v>
      </c>
      <c r="V88">
        <v>354.81</v>
      </c>
      <c r="W88">
        <v>104.62</v>
      </c>
      <c r="X88">
        <v>21.71</v>
      </c>
      <c r="Y88">
        <v>1027.31</v>
      </c>
      <c r="Z88">
        <v>6.75</v>
      </c>
    </row>
    <row r="89" spans="1:26" x14ac:dyDescent="0.25">
      <c r="A89" t="s">
        <v>252</v>
      </c>
      <c r="B89" t="s">
        <v>253</v>
      </c>
      <c r="C89" t="s">
        <v>254</v>
      </c>
      <c r="D89">
        <v>149.01</v>
      </c>
      <c r="E89">
        <v>4.99</v>
      </c>
      <c r="F89" t="s">
        <v>323</v>
      </c>
      <c r="G89">
        <v>4.3600000000000003</v>
      </c>
      <c r="H89" t="s">
        <v>323</v>
      </c>
      <c r="I89">
        <v>90.99</v>
      </c>
      <c r="J89">
        <v>48</v>
      </c>
      <c r="K89">
        <v>17.09</v>
      </c>
      <c r="L89">
        <v>1.25</v>
      </c>
      <c r="M89">
        <v>3.52</v>
      </c>
      <c r="N89" t="s">
        <v>323</v>
      </c>
      <c r="O89">
        <v>3.41</v>
      </c>
      <c r="P89">
        <v>0.79</v>
      </c>
      <c r="Q89" t="s">
        <v>323</v>
      </c>
      <c r="R89">
        <v>2</v>
      </c>
      <c r="S89">
        <v>4.68</v>
      </c>
      <c r="T89" t="s">
        <v>323</v>
      </c>
      <c r="U89">
        <v>32.21</v>
      </c>
      <c r="V89">
        <v>129.19999999999999</v>
      </c>
      <c r="W89">
        <v>65.09</v>
      </c>
      <c r="X89">
        <v>8.7799999999999994</v>
      </c>
      <c r="Y89">
        <v>678.87</v>
      </c>
      <c r="Z89">
        <v>10.09</v>
      </c>
    </row>
    <row r="90" spans="1:26" x14ac:dyDescent="0.25">
      <c r="A90" t="s">
        <v>255</v>
      </c>
      <c r="B90" t="s">
        <v>256</v>
      </c>
      <c r="C90" t="s">
        <v>257</v>
      </c>
      <c r="D90">
        <v>179.31</v>
      </c>
      <c r="E90" t="s">
        <v>323</v>
      </c>
      <c r="F90" t="s">
        <v>323</v>
      </c>
      <c r="G90">
        <v>7.01</v>
      </c>
      <c r="H90" t="s">
        <v>323</v>
      </c>
      <c r="I90">
        <v>36.5</v>
      </c>
      <c r="J90">
        <v>42.11</v>
      </c>
      <c r="K90" t="s">
        <v>323</v>
      </c>
      <c r="L90">
        <v>1.35</v>
      </c>
      <c r="M90">
        <v>3.88</v>
      </c>
      <c r="N90" t="s">
        <v>323</v>
      </c>
      <c r="O90">
        <v>1.78</v>
      </c>
      <c r="P90" t="s">
        <v>323</v>
      </c>
      <c r="Q90" t="s">
        <v>323</v>
      </c>
      <c r="R90" t="s">
        <v>323</v>
      </c>
      <c r="S90">
        <v>5.47</v>
      </c>
      <c r="T90" t="s">
        <v>323</v>
      </c>
      <c r="U90">
        <v>27.89</v>
      </c>
      <c r="V90">
        <v>87.05</v>
      </c>
      <c r="W90">
        <v>24.17</v>
      </c>
      <c r="X90">
        <v>5.1100000000000003</v>
      </c>
      <c r="Y90">
        <v>398.14</v>
      </c>
      <c r="Z90">
        <v>9.26</v>
      </c>
    </row>
    <row r="91" spans="1:26" x14ac:dyDescent="0.25">
      <c r="A91" t="s">
        <v>258</v>
      </c>
      <c r="B91" t="s">
        <v>259</v>
      </c>
      <c r="C91" t="s">
        <v>260</v>
      </c>
      <c r="D91">
        <v>227.77</v>
      </c>
      <c r="E91">
        <v>125.58</v>
      </c>
      <c r="F91" t="s">
        <v>323</v>
      </c>
      <c r="G91">
        <v>12.42</v>
      </c>
      <c r="H91">
        <v>28.17</v>
      </c>
      <c r="I91">
        <v>828.76</v>
      </c>
      <c r="J91">
        <v>72.77</v>
      </c>
      <c r="K91">
        <v>23.43</v>
      </c>
      <c r="L91">
        <v>1.1599999999999999</v>
      </c>
      <c r="M91">
        <v>21.8</v>
      </c>
      <c r="N91">
        <v>9.52</v>
      </c>
      <c r="O91">
        <v>10.41</v>
      </c>
      <c r="P91">
        <v>2.44</v>
      </c>
      <c r="Q91">
        <v>2.74</v>
      </c>
      <c r="R91">
        <v>7.69</v>
      </c>
      <c r="S91">
        <v>36.590000000000003</v>
      </c>
      <c r="T91">
        <v>16.899999999999999</v>
      </c>
      <c r="U91">
        <v>186.2</v>
      </c>
      <c r="V91">
        <v>1916.54</v>
      </c>
      <c r="W91">
        <v>2249.6999999999998</v>
      </c>
      <c r="X91">
        <v>385.36</v>
      </c>
      <c r="Y91">
        <v>7414.64</v>
      </c>
      <c r="Z91">
        <v>20.58</v>
      </c>
    </row>
    <row r="92" spans="1:26" x14ac:dyDescent="0.25">
      <c r="A92" t="s">
        <v>261</v>
      </c>
      <c r="B92" t="s">
        <v>262</v>
      </c>
      <c r="C92" t="s">
        <v>263</v>
      </c>
      <c r="D92">
        <v>124.14</v>
      </c>
      <c r="E92">
        <v>82.97</v>
      </c>
      <c r="F92" t="s">
        <v>323</v>
      </c>
      <c r="G92">
        <v>10.92</v>
      </c>
      <c r="H92">
        <v>24.29</v>
      </c>
      <c r="I92">
        <v>1215.6099999999999</v>
      </c>
      <c r="J92">
        <v>71.319999999999993</v>
      </c>
      <c r="K92">
        <v>17.09</v>
      </c>
      <c r="L92">
        <v>1.82</v>
      </c>
      <c r="M92">
        <v>9.5</v>
      </c>
      <c r="N92">
        <v>10.31</v>
      </c>
      <c r="O92">
        <v>7.01</v>
      </c>
      <c r="P92">
        <v>1.07</v>
      </c>
      <c r="Q92">
        <v>1.7</v>
      </c>
      <c r="R92">
        <v>5.75</v>
      </c>
      <c r="S92">
        <v>15.66</v>
      </c>
      <c r="T92" t="s">
        <v>323</v>
      </c>
      <c r="U92">
        <v>117.92</v>
      </c>
      <c r="V92">
        <v>930.58</v>
      </c>
      <c r="W92">
        <v>1652.75</v>
      </c>
      <c r="X92">
        <v>154.18</v>
      </c>
      <c r="Y92">
        <v>4169.45</v>
      </c>
      <c r="Z92">
        <v>17.39</v>
      </c>
    </row>
    <row r="93" spans="1:26" x14ac:dyDescent="0.25">
      <c r="A93" t="s">
        <v>265</v>
      </c>
      <c r="B93" t="s">
        <v>266</v>
      </c>
      <c r="C93" t="s">
        <v>267</v>
      </c>
      <c r="D93">
        <v>77.94</v>
      </c>
      <c r="E93" t="s">
        <v>323</v>
      </c>
      <c r="F93" t="s">
        <v>323</v>
      </c>
      <c r="G93">
        <v>9.91</v>
      </c>
      <c r="H93" t="s">
        <v>323</v>
      </c>
      <c r="I93">
        <v>16.07</v>
      </c>
      <c r="J93">
        <v>46.53</v>
      </c>
      <c r="K93">
        <v>20.3</v>
      </c>
      <c r="L93">
        <v>2.38</v>
      </c>
      <c r="M93">
        <v>13.41</v>
      </c>
      <c r="N93" t="s">
        <v>323</v>
      </c>
      <c r="O93">
        <v>29.61</v>
      </c>
      <c r="P93">
        <v>0.79</v>
      </c>
      <c r="Q93" t="s">
        <v>323</v>
      </c>
      <c r="R93">
        <v>1.8</v>
      </c>
      <c r="S93">
        <v>2.6</v>
      </c>
      <c r="T93">
        <v>22.95</v>
      </c>
      <c r="U93">
        <v>14.76</v>
      </c>
      <c r="V93" t="s">
        <v>323</v>
      </c>
      <c r="W93">
        <v>17.760000000000002</v>
      </c>
      <c r="X93">
        <v>3.06</v>
      </c>
      <c r="Y93">
        <v>181.49</v>
      </c>
      <c r="Z93">
        <v>15.79</v>
      </c>
    </row>
    <row r="94" spans="1:26" x14ac:dyDescent="0.25">
      <c r="A94" t="s">
        <v>268</v>
      </c>
      <c r="B94" t="s">
        <v>269</v>
      </c>
      <c r="C94" t="s">
        <v>270</v>
      </c>
      <c r="D94">
        <v>304.14999999999998</v>
      </c>
      <c r="E94">
        <v>3.4</v>
      </c>
      <c r="F94" t="s">
        <v>323</v>
      </c>
      <c r="G94">
        <v>20.7</v>
      </c>
      <c r="H94" t="s">
        <v>323</v>
      </c>
      <c r="I94">
        <v>103.19</v>
      </c>
      <c r="J94">
        <v>49.47</v>
      </c>
      <c r="K94">
        <v>23.43</v>
      </c>
      <c r="L94">
        <v>1.44</v>
      </c>
      <c r="M94">
        <v>11.54</v>
      </c>
      <c r="N94" t="s">
        <v>323</v>
      </c>
      <c r="O94">
        <v>22.07</v>
      </c>
      <c r="P94">
        <v>0.97</v>
      </c>
      <c r="Q94">
        <v>0.71</v>
      </c>
      <c r="R94">
        <v>1.6</v>
      </c>
      <c r="S94">
        <v>3.66</v>
      </c>
      <c r="T94">
        <v>37.31</v>
      </c>
      <c r="U94">
        <v>32.21</v>
      </c>
      <c r="V94">
        <v>201.95</v>
      </c>
      <c r="W94">
        <v>56.5</v>
      </c>
      <c r="X94">
        <v>6.96</v>
      </c>
      <c r="Y94">
        <v>914.68</v>
      </c>
      <c r="Z94">
        <v>17.39</v>
      </c>
    </row>
    <row r="95" spans="1:26" x14ac:dyDescent="0.25">
      <c r="A95" t="s">
        <v>271</v>
      </c>
      <c r="B95" t="s">
        <v>272</v>
      </c>
      <c r="C95" t="s">
        <v>273</v>
      </c>
      <c r="D95">
        <v>102.87</v>
      </c>
      <c r="E95" t="s">
        <v>323</v>
      </c>
      <c r="F95" t="s">
        <v>323</v>
      </c>
      <c r="G95">
        <v>8.2200000000000006</v>
      </c>
      <c r="H95" t="s">
        <v>323</v>
      </c>
      <c r="I95">
        <v>93.15</v>
      </c>
      <c r="J95">
        <v>39.15</v>
      </c>
      <c r="K95">
        <v>13.79</v>
      </c>
      <c r="L95">
        <v>1.44</v>
      </c>
      <c r="M95">
        <v>7.54</v>
      </c>
      <c r="N95" t="s">
        <v>323</v>
      </c>
      <c r="O95">
        <v>8.16</v>
      </c>
      <c r="P95">
        <v>0.69</v>
      </c>
      <c r="Q95">
        <v>0.59</v>
      </c>
      <c r="R95">
        <v>1.19</v>
      </c>
      <c r="S95">
        <v>4.88</v>
      </c>
      <c r="T95">
        <v>13.92</v>
      </c>
      <c r="U95">
        <v>15.73</v>
      </c>
      <c r="V95" t="s">
        <v>323</v>
      </c>
      <c r="W95">
        <v>53.23</v>
      </c>
      <c r="X95">
        <v>9.75</v>
      </c>
      <c r="Y95">
        <v>782.93</v>
      </c>
      <c r="Z95">
        <v>10.91</v>
      </c>
    </row>
    <row r="96" spans="1:26" x14ac:dyDescent="0.25">
      <c r="A96" t="s">
        <v>274</v>
      </c>
      <c r="B96" t="s">
        <v>275</v>
      </c>
      <c r="C96" t="s">
        <v>276</v>
      </c>
      <c r="D96">
        <v>167.5</v>
      </c>
      <c r="E96">
        <v>3.4</v>
      </c>
      <c r="F96" t="s">
        <v>323</v>
      </c>
      <c r="G96">
        <v>17.48</v>
      </c>
      <c r="H96" t="s">
        <v>323</v>
      </c>
      <c r="I96">
        <v>58.71</v>
      </c>
      <c r="J96">
        <v>43.58</v>
      </c>
      <c r="K96">
        <v>32.520000000000003</v>
      </c>
      <c r="L96">
        <v>2.57</v>
      </c>
      <c r="M96">
        <v>13.41</v>
      </c>
      <c r="N96" t="s">
        <v>323</v>
      </c>
      <c r="O96">
        <v>30.1</v>
      </c>
      <c r="P96">
        <v>0.97</v>
      </c>
      <c r="Q96">
        <v>0.59</v>
      </c>
      <c r="R96">
        <v>1.6</v>
      </c>
      <c r="S96">
        <v>4.4800000000000004</v>
      </c>
      <c r="T96">
        <v>44.42</v>
      </c>
      <c r="U96">
        <v>14.27</v>
      </c>
      <c r="V96">
        <v>69.33</v>
      </c>
      <c r="W96">
        <v>43.69</v>
      </c>
      <c r="X96">
        <v>5.39</v>
      </c>
      <c r="Y96">
        <v>560.17999999999995</v>
      </c>
      <c r="Z96">
        <v>22.16</v>
      </c>
    </row>
    <row r="97" spans="1:26" x14ac:dyDescent="0.25">
      <c r="A97" t="s">
        <v>277</v>
      </c>
      <c r="B97" t="s">
        <v>278</v>
      </c>
      <c r="C97" t="s">
        <v>279</v>
      </c>
      <c r="D97">
        <v>145.34</v>
      </c>
      <c r="E97">
        <v>7.97</v>
      </c>
      <c r="F97" t="s">
        <v>323</v>
      </c>
      <c r="G97">
        <v>21.33</v>
      </c>
      <c r="H97" t="s">
        <v>323</v>
      </c>
      <c r="I97">
        <v>690.62</v>
      </c>
      <c r="J97">
        <v>46.53</v>
      </c>
      <c r="K97">
        <v>32.520000000000003</v>
      </c>
      <c r="L97">
        <v>1.72</v>
      </c>
      <c r="M97">
        <v>14.76</v>
      </c>
      <c r="N97">
        <v>2.33</v>
      </c>
      <c r="O97">
        <v>21.56</v>
      </c>
      <c r="P97">
        <v>0.6</v>
      </c>
      <c r="Q97" t="s">
        <v>323</v>
      </c>
      <c r="R97">
        <v>1.19</v>
      </c>
      <c r="S97">
        <v>5.77</v>
      </c>
      <c r="T97">
        <v>64.19</v>
      </c>
      <c r="U97">
        <v>33.36</v>
      </c>
      <c r="V97">
        <v>197.4</v>
      </c>
      <c r="W97">
        <v>93.41</v>
      </c>
      <c r="X97">
        <v>19.64</v>
      </c>
      <c r="Y97">
        <v>631.66</v>
      </c>
      <c r="Z97">
        <v>27.66</v>
      </c>
    </row>
    <row r="99" spans="1:26" x14ac:dyDescent="0.25">
      <c r="A99" t="s">
        <v>310</v>
      </c>
    </row>
    <row r="100" spans="1:26" x14ac:dyDescent="0.25">
      <c r="A100" t="s">
        <v>311</v>
      </c>
    </row>
    <row r="101" spans="1:26" x14ac:dyDescent="0.25">
      <c r="A101" t="s">
        <v>312</v>
      </c>
    </row>
    <row r="102" spans="1:26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2"/>
  <sheetViews>
    <sheetView topLeftCell="D1" workbookViewId="0">
      <selection activeCell="D18" sqref="D18:Z18"/>
    </sheetView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8.85546875" bestFit="1" customWidth="1"/>
    <col min="8" max="8" width="9" bestFit="1" customWidth="1"/>
    <col min="9" max="10" width="12.140625" bestFit="1" customWidth="1"/>
    <col min="11" max="11" width="9" bestFit="1" customWidth="1"/>
    <col min="12" max="12" width="10.28515625" bestFit="1" customWidth="1"/>
    <col min="13" max="13" width="9" bestFit="1" customWidth="1"/>
    <col min="15" max="21" width="8.85546875" bestFit="1" customWidth="1"/>
    <col min="22" max="22" width="10.7109375" bestFit="1" customWidth="1"/>
    <col min="23" max="23" width="11.28515625" bestFit="1" customWidth="1"/>
    <col min="24" max="24" width="11.140625" bestFit="1" customWidth="1"/>
    <col min="25" max="25" width="11.7109375" bestFit="1" customWidth="1"/>
    <col min="26" max="26" width="9.285156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324</v>
      </c>
      <c r="E9" s="1" t="s">
        <v>324</v>
      </c>
      <c r="F9" s="1" t="s">
        <v>324</v>
      </c>
      <c r="G9" s="1" t="s">
        <v>324</v>
      </c>
      <c r="H9" s="1" t="s">
        <v>324</v>
      </c>
      <c r="I9" s="1" t="s">
        <v>324</v>
      </c>
      <c r="J9" s="1" t="s">
        <v>324</v>
      </c>
      <c r="K9" s="1" t="s">
        <v>324</v>
      </c>
      <c r="L9" s="1" t="s">
        <v>324</v>
      </c>
      <c r="M9" s="1" t="s">
        <v>324</v>
      </c>
      <c r="N9" s="1" t="s">
        <v>324</v>
      </c>
      <c r="O9" s="1" t="s">
        <v>324</v>
      </c>
      <c r="P9" s="1" t="s">
        <v>324</v>
      </c>
      <c r="Q9" s="1" t="s">
        <v>324</v>
      </c>
      <c r="R9" s="1" t="s">
        <v>324</v>
      </c>
      <c r="S9" s="1" t="s">
        <v>324</v>
      </c>
      <c r="T9" s="1" t="s">
        <v>324</v>
      </c>
      <c r="U9" s="1" t="s">
        <v>324</v>
      </c>
      <c r="V9" s="1" t="s">
        <v>324</v>
      </c>
      <c r="W9" s="1" t="s">
        <v>324</v>
      </c>
      <c r="X9" s="1" t="s">
        <v>324</v>
      </c>
      <c r="Y9" s="1" t="s">
        <v>324</v>
      </c>
      <c r="Z9" s="1" t="s">
        <v>324</v>
      </c>
    </row>
    <row r="10" spans="1:26" x14ac:dyDescent="0.25">
      <c r="A10" t="s">
        <v>281</v>
      </c>
      <c r="B10" t="s">
        <v>282</v>
      </c>
      <c r="C10" t="s">
        <v>283</v>
      </c>
    </row>
    <row r="11" spans="1:26" x14ac:dyDescent="0.25">
      <c r="A11" t="s">
        <v>306</v>
      </c>
      <c r="B11" t="s">
        <v>307</v>
      </c>
      <c r="C11" t="s">
        <v>308</v>
      </c>
      <c r="D11">
        <v>35360</v>
      </c>
      <c r="E11">
        <v>75130</v>
      </c>
      <c r="F11">
        <v>85549</v>
      </c>
      <c r="G11">
        <v>21832</v>
      </c>
      <c r="H11">
        <v>70668</v>
      </c>
      <c r="I11">
        <v>236204</v>
      </c>
      <c r="J11">
        <v>76009</v>
      </c>
      <c r="K11">
        <v>205152</v>
      </c>
      <c r="L11">
        <v>9398</v>
      </c>
      <c r="M11">
        <v>9700</v>
      </c>
      <c r="N11">
        <v>35519</v>
      </c>
      <c r="O11">
        <v>24715</v>
      </c>
      <c r="P11">
        <v>8468</v>
      </c>
      <c r="Q11">
        <v>11043</v>
      </c>
      <c r="R11">
        <v>16672</v>
      </c>
      <c r="S11">
        <v>14438</v>
      </c>
      <c r="T11">
        <v>49348</v>
      </c>
      <c r="U11">
        <v>34590</v>
      </c>
      <c r="V11">
        <v>300190</v>
      </c>
      <c r="W11">
        <v>50857</v>
      </c>
      <c r="X11">
        <v>8389</v>
      </c>
      <c r="Y11">
        <v>52314</v>
      </c>
      <c r="Z11">
        <v>58700</v>
      </c>
    </row>
    <row r="12" spans="1:26" x14ac:dyDescent="0.25">
      <c r="A12" t="s">
        <v>284</v>
      </c>
      <c r="B12" t="s">
        <v>285</v>
      </c>
      <c r="C12" t="s">
        <v>286</v>
      </c>
      <c r="D12">
        <v>8840</v>
      </c>
      <c r="E12">
        <v>18782.5</v>
      </c>
      <c r="F12">
        <v>21387.25</v>
      </c>
      <c r="G12">
        <v>5458</v>
      </c>
      <c r="H12">
        <v>17667</v>
      </c>
      <c r="I12">
        <v>59051</v>
      </c>
      <c r="J12">
        <v>19002.25</v>
      </c>
      <c r="K12">
        <v>51288</v>
      </c>
      <c r="L12">
        <v>2349.5</v>
      </c>
      <c r="M12">
        <v>2425</v>
      </c>
      <c r="N12">
        <v>8879.75</v>
      </c>
      <c r="O12">
        <v>6178.75</v>
      </c>
      <c r="P12">
        <v>2117</v>
      </c>
      <c r="Q12">
        <v>2760.75</v>
      </c>
      <c r="R12">
        <v>4168</v>
      </c>
      <c r="S12">
        <v>3609.5</v>
      </c>
      <c r="T12">
        <v>12337</v>
      </c>
      <c r="U12">
        <v>8647.5</v>
      </c>
      <c r="V12">
        <v>75047.5</v>
      </c>
      <c r="W12">
        <v>12714.25</v>
      </c>
      <c r="X12">
        <v>2097.25</v>
      </c>
      <c r="Y12">
        <v>13078.5</v>
      </c>
      <c r="Z12">
        <v>14675</v>
      </c>
    </row>
    <row r="13" spans="1:26" x14ac:dyDescent="0.25">
      <c r="A13" t="s">
        <v>288</v>
      </c>
      <c r="B13" t="s">
        <v>289</v>
      </c>
      <c r="C13" t="s">
        <v>290</v>
      </c>
      <c r="D13">
        <v>2210</v>
      </c>
      <c r="E13">
        <v>4695.63</v>
      </c>
      <c r="F13">
        <v>5346.81</v>
      </c>
      <c r="G13">
        <v>1364.5</v>
      </c>
      <c r="H13">
        <v>4416.75</v>
      </c>
      <c r="I13">
        <v>14762.75</v>
      </c>
      <c r="J13">
        <v>4750.5600000000004</v>
      </c>
      <c r="K13">
        <v>12822</v>
      </c>
      <c r="L13">
        <v>587.38</v>
      </c>
      <c r="M13">
        <v>606.25</v>
      </c>
      <c r="N13">
        <v>2219.94</v>
      </c>
      <c r="O13">
        <v>1544.69</v>
      </c>
      <c r="P13">
        <v>529.25</v>
      </c>
      <c r="Q13">
        <v>690.19</v>
      </c>
      <c r="R13">
        <v>1042</v>
      </c>
      <c r="S13">
        <v>902.38</v>
      </c>
      <c r="T13">
        <v>3084.25</v>
      </c>
      <c r="U13">
        <v>2161.88</v>
      </c>
      <c r="V13">
        <v>18761.88</v>
      </c>
      <c r="W13">
        <v>3178.56</v>
      </c>
      <c r="X13">
        <v>524.30999999999995</v>
      </c>
      <c r="Y13">
        <v>3269.63</v>
      </c>
      <c r="Z13">
        <v>3668.75</v>
      </c>
    </row>
    <row r="14" spans="1:26" x14ac:dyDescent="0.25">
      <c r="A14" t="s">
        <v>291</v>
      </c>
      <c r="B14" t="s">
        <v>292</v>
      </c>
      <c r="C14" t="s">
        <v>293</v>
      </c>
      <c r="D14">
        <v>552.5</v>
      </c>
      <c r="E14">
        <v>1173.9100000000001</v>
      </c>
      <c r="F14">
        <v>1336.7</v>
      </c>
      <c r="G14">
        <v>341.13</v>
      </c>
      <c r="H14">
        <v>1104.19</v>
      </c>
      <c r="I14">
        <v>3690.69</v>
      </c>
      <c r="J14">
        <v>1187.6400000000001</v>
      </c>
      <c r="K14">
        <v>3205.5</v>
      </c>
      <c r="L14">
        <v>146.84</v>
      </c>
      <c r="M14">
        <v>151.56</v>
      </c>
      <c r="N14">
        <v>554.98</v>
      </c>
      <c r="O14">
        <v>386.17</v>
      </c>
      <c r="P14">
        <v>132.31</v>
      </c>
      <c r="Q14">
        <v>172.55</v>
      </c>
      <c r="R14">
        <v>260.5</v>
      </c>
      <c r="S14">
        <v>225.59</v>
      </c>
      <c r="T14">
        <v>771.06</v>
      </c>
      <c r="U14">
        <v>540.47</v>
      </c>
      <c r="V14">
        <v>4690.47</v>
      </c>
      <c r="W14">
        <v>794.64</v>
      </c>
      <c r="X14">
        <v>131.08000000000001</v>
      </c>
      <c r="Y14">
        <v>817.41</v>
      </c>
      <c r="Z14">
        <v>917.19</v>
      </c>
    </row>
    <row r="15" spans="1:26" x14ac:dyDescent="0.25">
      <c r="A15" t="s">
        <v>294</v>
      </c>
      <c r="B15" t="s">
        <v>295</v>
      </c>
      <c r="C15" t="s">
        <v>296</v>
      </c>
      <c r="D15">
        <v>138.13</v>
      </c>
      <c r="E15">
        <v>293.48</v>
      </c>
      <c r="F15">
        <v>334.18</v>
      </c>
      <c r="G15">
        <v>85.28</v>
      </c>
      <c r="H15">
        <v>276.05</v>
      </c>
      <c r="I15">
        <v>922.67</v>
      </c>
      <c r="J15">
        <v>296.91000000000003</v>
      </c>
      <c r="K15">
        <v>801.38</v>
      </c>
      <c r="L15">
        <v>36.71</v>
      </c>
      <c r="M15">
        <v>37.89</v>
      </c>
      <c r="N15">
        <v>138.75</v>
      </c>
      <c r="O15">
        <v>96.54</v>
      </c>
      <c r="P15">
        <v>33.08</v>
      </c>
      <c r="Q15">
        <v>43.14</v>
      </c>
      <c r="R15">
        <v>65.13</v>
      </c>
      <c r="S15">
        <v>56.4</v>
      </c>
      <c r="T15">
        <v>192.77</v>
      </c>
      <c r="U15">
        <v>135.12</v>
      </c>
      <c r="V15">
        <v>1172.6199999999999</v>
      </c>
      <c r="W15">
        <v>198.66</v>
      </c>
      <c r="X15">
        <v>32.770000000000003</v>
      </c>
      <c r="Y15">
        <v>204.35</v>
      </c>
      <c r="Z15">
        <v>229.3</v>
      </c>
    </row>
    <row r="16" spans="1:26" x14ac:dyDescent="0.25">
      <c r="A16" t="s">
        <v>297</v>
      </c>
      <c r="B16" t="s">
        <v>298</v>
      </c>
      <c r="C16" t="s">
        <v>299</v>
      </c>
      <c r="D16">
        <v>34.53</v>
      </c>
      <c r="E16">
        <v>73.37</v>
      </c>
      <c r="F16">
        <v>83.54</v>
      </c>
      <c r="G16">
        <v>21.32</v>
      </c>
      <c r="H16">
        <v>69.010000000000005</v>
      </c>
      <c r="I16">
        <v>230.67</v>
      </c>
      <c r="J16">
        <v>74.23</v>
      </c>
      <c r="K16">
        <v>200.34</v>
      </c>
      <c r="L16">
        <v>9.18</v>
      </c>
      <c r="M16">
        <v>9.4700000000000006</v>
      </c>
      <c r="N16">
        <v>34.69</v>
      </c>
      <c r="O16">
        <v>24.14</v>
      </c>
      <c r="P16">
        <v>8.27</v>
      </c>
      <c r="Q16">
        <v>10.78</v>
      </c>
      <c r="R16">
        <v>16.28</v>
      </c>
      <c r="S16">
        <v>14.1</v>
      </c>
      <c r="T16">
        <v>48.19</v>
      </c>
      <c r="U16">
        <v>33.78</v>
      </c>
      <c r="V16">
        <v>293.14999999999998</v>
      </c>
      <c r="W16">
        <v>49.67</v>
      </c>
      <c r="X16">
        <v>8.19</v>
      </c>
      <c r="Y16">
        <v>51.09</v>
      </c>
      <c r="Z16">
        <v>57.32</v>
      </c>
    </row>
    <row r="17" spans="1:26" x14ac:dyDescent="0.25">
      <c r="A17" t="s">
        <v>300</v>
      </c>
      <c r="B17" t="s">
        <v>301</v>
      </c>
      <c r="C17" t="s">
        <v>302</v>
      </c>
      <c r="D17">
        <v>8.6300000000000008</v>
      </c>
      <c r="E17">
        <v>18.34</v>
      </c>
      <c r="F17">
        <v>20.89</v>
      </c>
      <c r="G17">
        <v>5.33</v>
      </c>
      <c r="H17">
        <v>17.25</v>
      </c>
      <c r="I17">
        <v>57.67</v>
      </c>
      <c r="J17">
        <v>18.559999999999999</v>
      </c>
      <c r="K17">
        <v>50.09</v>
      </c>
      <c r="L17">
        <v>2.29</v>
      </c>
      <c r="M17">
        <v>2.37</v>
      </c>
      <c r="N17">
        <v>8.67</v>
      </c>
      <c r="O17">
        <v>6.03</v>
      </c>
      <c r="P17">
        <v>2.0699999999999998</v>
      </c>
      <c r="Q17">
        <v>2.7</v>
      </c>
      <c r="R17">
        <v>4.07</v>
      </c>
      <c r="S17">
        <v>3.52</v>
      </c>
      <c r="T17">
        <v>12.05</v>
      </c>
      <c r="U17">
        <v>8.44</v>
      </c>
      <c r="V17">
        <v>73.290000000000006</v>
      </c>
      <c r="W17">
        <v>12.42</v>
      </c>
      <c r="X17">
        <v>2.0499999999999998</v>
      </c>
      <c r="Y17">
        <v>12.77</v>
      </c>
      <c r="Z17">
        <v>14.33</v>
      </c>
    </row>
    <row r="18" spans="1:26" x14ac:dyDescent="0.25">
      <c r="A18" t="s">
        <v>303</v>
      </c>
      <c r="B18" t="s">
        <v>304</v>
      </c>
      <c r="C18" t="s">
        <v>305</v>
      </c>
      <c r="D18">
        <v>2.16</v>
      </c>
      <c r="E18">
        <v>4.59</v>
      </c>
      <c r="F18">
        <v>5.22</v>
      </c>
      <c r="G18">
        <v>1.33</v>
      </c>
      <c r="H18">
        <v>4.3099999999999996</v>
      </c>
      <c r="I18">
        <v>14.42</v>
      </c>
      <c r="J18">
        <v>4.6399999999999997</v>
      </c>
      <c r="K18">
        <v>12.52</v>
      </c>
      <c r="L18">
        <v>0.56999999999999995</v>
      </c>
      <c r="M18">
        <v>0.59</v>
      </c>
      <c r="N18">
        <v>2.17</v>
      </c>
      <c r="O18">
        <v>1.51</v>
      </c>
      <c r="P18">
        <v>0.52</v>
      </c>
      <c r="Q18">
        <v>0.67</v>
      </c>
      <c r="R18">
        <v>1.02</v>
      </c>
      <c r="S18">
        <v>0.88</v>
      </c>
      <c r="T18">
        <v>3.01</v>
      </c>
      <c r="U18">
        <v>2.11</v>
      </c>
      <c r="V18">
        <v>18.32</v>
      </c>
      <c r="W18">
        <v>3.1</v>
      </c>
      <c r="X18">
        <v>0.51</v>
      </c>
      <c r="Y18">
        <v>3.19</v>
      </c>
      <c r="Z18">
        <v>3.58</v>
      </c>
    </row>
    <row r="19" spans="1:26" x14ac:dyDescent="0.25">
      <c r="A19" t="s">
        <v>38</v>
      </c>
      <c r="B19" t="s">
        <v>39</v>
      </c>
      <c r="C19" t="s">
        <v>40</v>
      </c>
    </row>
    <row r="20" spans="1:26" x14ac:dyDescent="0.25">
      <c r="A20" t="s">
        <v>41</v>
      </c>
      <c r="B20" t="s">
        <v>42</v>
      </c>
      <c r="C20" t="s">
        <v>43</v>
      </c>
    </row>
    <row r="21" spans="1:26" x14ac:dyDescent="0.25">
      <c r="A21" t="s">
        <v>44</v>
      </c>
      <c r="B21" t="s">
        <v>45</v>
      </c>
      <c r="C21" t="s">
        <v>46</v>
      </c>
    </row>
    <row r="22" spans="1:26" x14ac:dyDescent="0.25">
      <c r="A22" t="s">
        <v>47</v>
      </c>
      <c r="B22" t="s">
        <v>48</v>
      </c>
      <c r="C22" t="s">
        <v>49</v>
      </c>
    </row>
    <row r="23" spans="1:26" x14ac:dyDescent="0.25">
      <c r="A23" t="s">
        <v>50</v>
      </c>
      <c r="B23" t="s">
        <v>51</v>
      </c>
      <c r="C23" t="s">
        <v>52</v>
      </c>
    </row>
    <row r="24" spans="1:26" x14ac:dyDescent="0.25">
      <c r="A24" t="s">
        <v>53</v>
      </c>
      <c r="B24" t="s">
        <v>54</v>
      </c>
      <c r="C24" t="s">
        <v>55</v>
      </c>
    </row>
    <row r="25" spans="1:26" x14ac:dyDescent="0.25">
      <c r="A25" t="s">
        <v>56</v>
      </c>
      <c r="B25" t="s">
        <v>57</v>
      </c>
      <c r="C25" t="s">
        <v>58</v>
      </c>
    </row>
    <row r="26" spans="1:26" x14ac:dyDescent="0.25">
      <c r="A26" t="s">
        <v>59</v>
      </c>
      <c r="B26" t="s">
        <v>60</v>
      </c>
      <c r="C26" t="s">
        <v>61</v>
      </c>
    </row>
    <row r="27" spans="1:26" x14ac:dyDescent="0.25">
      <c r="A27" t="s">
        <v>62</v>
      </c>
      <c r="B27" t="s">
        <v>63</v>
      </c>
      <c r="C27" t="s">
        <v>64</v>
      </c>
    </row>
    <row r="28" spans="1:26" x14ac:dyDescent="0.25">
      <c r="A28" t="s">
        <v>65</v>
      </c>
      <c r="B28" t="s">
        <v>66</v>
      </c>
      <c r="C28" t="s">
        <v>67</v>
      </c>
    </row>
    <row r="29" spans="1:26" x14ac:dyDescent="0.25">
      <c r="A29" t="s">
        <v>68</v>
      </c>
      <c r="B29" t="s">
        <v>69</v>
      </c>
      <c r="C29" t="s">
        <v>70</v>
      </c>
    </row>
    <row r="30" spans="1:26" x14ac:dyDescent="0.25">
      <c r="A30" t="s">
        <v>71</v>
      </c>
      <c r="B30" t="s">
        <v>72</v>
      </c>
      <c r="C30" t="s">
        <v>73</v>
      </c>
    </row>
    <row r="31" spans="1:26" x14ac:dyDescent="0.25">
      <c r="A31" t="s">
        <v>74</v>
      </c>
      <c r="B31" t="s">
        <v>75</v>
      </c>
      <c r="C31" t="s">
        <v>76</v>
      </c>
    </row>
    <row r="32" spans="1:26" x14ac:dyDescent="0.25">
      <c r="A32" t="s">
        <v>77</v>
      </c>
      <c r="B32" t="s">
        <v>78</v>
      </c>
      <c r="C32" t="s">
        <v>79</v>
      </c>
    </row>
    <row r="33" spans="1:3" x14ac:dyDescent="0.25">
      <c r="A33" t="s">
        <v>81</v>
      </c>
      <c r="B33" t="s">
        <v>82</v>
      </c>
      <c r="C33" t="s">
        <v>83</v>
      </c>
    </row>
    <row r="34" spans="1:3" x14ac:dyDescent="0.25">
      <c r="A34" t="s">
        <v>84</v>
      </c>
      <c r="B34" t="s">
        <v>85</v>
      </c>
      <c r="C34" t="s">
        <v>86</v>
      </c>
    </row>
    <row r="35" spans="1:3" x14ac:dyDescent="0.25">
      <c r="A35" t="s">
        <v>87</v>
      </c>
      <c r="B35" t="s">
        <v>88</v>
      </c>
      <c r="C35" t="s">
        <v>89</v>
      </c>
    </row>
    <row r="36" spans="1:3" x14ac:dyDescent="0.25">
      <c r="A36" t="s">
        <v>90</v>
      </c>
      <c r="B36" t="s">
        <v>91</v>
      </c>
      <c r="C36" t="s">
        <v>92</v>
      </c>
    </row>
    <row r="37" spans="1:3" x14ac:dyDescent="0.25">
      <c r="A37" t="s">
        <v>93</v>
      </c>
      <c r="B37" t="s">
        <v>94</v>
      </c>
      <c r="C37" t="s">
        <v>95</v>
      </c>
    </row>
    <row r="38" spans="1:3" x14ac:dyDescent="0.25">
      <c r="A38" t="s">
        <v>96</v>
      </c>
      <c r="B38" t="s">
        <v>97</v>
      </c>
      <c r="C38" t="s">
        <v>98</v>
      </c>
    </row>
    <row r="39" spans="1:3" x14ac:dyDescent="0.25">
      <c r="A39" t="s">
        <v>99</v>
      </c>
      <c r="B39" t="s">
        <v>100</v>
      </c>
      <c r="C39" t="s">
        <v>101</v>
      </c>
    </row>
    <row r="40" spans="1:3" x14ac:dyDescent="0.25">
      <c r="A40" t="s">
        <v>102</v>
      </c>
      <c r="B40" t="s">
        <v>103</v>
      </c>
      <c r="C40" t="s">
        <v>104</v>
      </c>
    </row>
    <row r="41" spans="1:3" x14ac:dyDescent="0.25">
      <c r="A41" t="s">
        <v>105</v>
      </c>
      <c r="B41" t="s">
        <v>106</v>
      </c>
      <c r="C41" t="s">
        <v>107</v>
      </c>
    </row>
    <row r="42" spans="1:3" x14ac:dyDescent="0.25">
      <c r="A42" t="s">
        <v>108</v>
      </c>
      <c r="B42" t="s">
        <v>109</v>
      </c>
      <c r="C42" t="s">
        <v>110</v>
      </c>
    </row>
    <row r="43" spans="1:3" x14ac:dyDescent="0.25">
      <c r="A43" t="s">
        <v>111</v>
      </c>
      <c r="B43" t="s">
        <v>112</v>
      </c>
      <c r="C43" t="s">
        <v>113</v>
      </c>
    </row>
    <row r="44" spans="1:3" x14ac:dyDescent="0.25">
      <c r="A44" t="s">
        <v>114</v>
      </c>
      <c r="B44" t="s">
        <v>115</v>
      </c>
      <c r="C44" t="s">
        <v>116</v>
      </c>
    </row>
    <row r="45" spans="1:3" x14ac:dyDescent="0.25">
      <c r="A45" t="s">
        <v>117</v>
      </c>
      <c r="B45" t="s">
        <v>118</v>
      </c>
      <c r="C45" t="s">
        <v>119</v>
      </c>
    </row>
    <row r="46" spans="1:3" x14ac:dyDescent="0.25">
      <c r="A46" t="s">
        <v>120</v>
      </c>
      <c r="B46" t="s">
        <v>121</v>
      </c>
      <c r="C46" t="s">
        <v>122</v>
      </c>
    </row>
    <row r="47" spans="1:3" x14ac:dyDescent="0.25">
      <c r="A47" t="s">
        <v>123</v>
      </c>
      <c r="B47" t="s">
        <v>124</v>
      </c>
      <c r="C47" t="s">
        <v>125</v>
      </c>
    </row>
    <row r="48" spans="1:3" x14ac:dyDescent="0.25">
      <c r="A48" t="s">
        <v>127</v>
      </c>
      <c r="B48" t="s">
        <v>128</v>
      </c>
      <c r="C48" t="s">
        <v>129</v>
      </c>
    </row>
    <row r="49" spans="1:3" x14ac:dyDescent="0.25">
      <c r="A49" t="s">
        <v>130</v>
      </c>
      <c r="B49" t="s">
        <v>131</v>
      </c>
      <c r="C49" t="s">
        <v>132</v>
      </c>
    </row>
    <row r="50" spans="1:3" x14ac:dyDescent="0.25">
      <c r="A50" t="s">
        <v>133</v>
      </c>
      <c r="B50" t="s">
        <v>134</v>
      </c>
      <c r="C50" t="s">
        <v>135</v>
      </c>
    </row>
    <row r="51" spans="1:3" x14ac:dyDescent="0.25">
      <c r="A51" t="s">
        <v>136</v>
      </c>
      <c r="B51" t="s">
        <v>137</v>
      </c>
      <c r="C51" t="s">
        <v>138</v>
      </c>
    </row>
    <row r="52" spans="1:3" x14ac:dyDescent="0.25">
      <c r="A52" t="s">
        <v>139</v>
      </c>
      <c r="B52" t="s">
        <v>140</v>
      </c>
      <c r="C52" t="s">
        <v>141</v>
      </c>
    </row>
    <row r="53" spans="1:3" x14ac:dyDescent="0.25">
      <c r="A53" t="s">
        <v>142</v>
      </c>
      <c r="B53" t="s">
        <v>143</v>
      </c>
      <c r="C53" t="s">
        <v>144</v>
      </c>
    </row>
    <row r="54" spans="1:3" x14ac:dyDescent="0.25">
      <c r="A54" t="s">
        <v>145</v>
      </c>
      <c r="B54" t="s">
        <v>146</v>
      </c>
      <c r="C54" t="s">
        <v>147</v>
      </c>
    </row>
    <row r="55" spans="1:3" x14ac:dyDescent="0.25">
      <c r="A55" t="s">
        <v>148</v>
      </c>
      <c r="B55" t="s">
        <v>149</v>
      </c>
      <c r="C55" t="s">
        <v>150</v>
      </c>
    </row>
    <row r="56" spans="1:3" x14ac:dyDescent="0.25">
      <c r="A56" t="s">
        <v>151</v>
      </c>
      <c r="B56" t="s">
        <v>152</v>
      </c>
      <c r="C56" t="s">
        <v>153</v>
      </c>
    </row>
    <row r="57" spans="1:3" x14ac:dyDescent="0.25">
      <c r="A57" t="s">
        <v>154</v>
      </c>
      <c r="B57" t="s">
        <v>155</v>
      </c>
      <c r="C57" t="s">
        <v>156</v>
      </c>
    </row>
    <row r="58" spans="1:3" x14ac:dyDescent="0.25">
      <c r="A58" t="s">
        <v>157</v>
      </c>
      <c r="B58" t="s">
        <v>158</v>
      </c>
      <c r="C58" t="s">
        <v>159</v>
      </c>
    </row>
    <row r="59" spans="1:3" x14ac:dyDescent="0.25">
      <c r="A59" t="s">
        <v>160</v>
      </c>
      <c r="B59" t="s">
        <v>161</v>
      </c>
      <c r="C59" t="s">
        <v>162</v>
      </c>
    </row>
    <row r="60" spans="1:3" x14ac:dyDescent="0.25">
      <c r="A60" t="s">
        <v>163</v>
      </c>
      <c r="B60" t="s">
        <v>164</v>
      </c>
      <c r="C60" t="s">
        <v>165</v>
      </c>
    </row>
    <row r="61" spans="1:3" x14ac:dyDescent="0.25">
      <c r="A61" t="s">
        <v>166</v>
      </c>
      <c r="B61" t="s">
        <v>167</v>
      </c>
      <c r="C61" t="s">
        <v>168</v>
      </c>
    </row>
    <row r="62" spans="1:3" x14ac:dyDescent="0.25">
      <c r="A62" t="s">
        <v>169</v>
      </c>
      <c r="B62" t="s">
        <v>170</v>
      </c>
      <c r="C62" t="s">
        <v>171</v>
      </c>
    </row>
    <row r="63" spans="1:3" x14ac:dyDescent="0.25">
      <c r="A63" t="s">
        <v>173</v>
      </c>
      <c r="B63" t="s">
        <v>174</v>
      </c>
      <c r="C63" t="s">
        <v>175</v>
      </c>
    </row>
    <row r="64" spans="1:3" x14ac:dyDescent="0.25">
      <c r="A64" t="s">
        <v>176</v>
      </c>
      <c r="B64" t="s">
        <v>177</v>
      </c>
      <c r="C64" t="s">
        <v>178</v>
      </c>
    </row>
    <row r="65" spans="1:3" x14ac:dyDescent="0.25">
      <c r="A65" t="s">
        <v>179</v>
      </c>
      <c r="B65" t="s">
        <v>180</v>
      </c>
      <c r="C65" t="s">
        <v>181</v>
      </c>
    </row>
    <row r="66" spans="1:3" x14ac:dyDescent="0.25">
      <c r="A66" t="s">
        <v>182</v>
      </c>
      <c r="B66" t="s">
        <v>183</v>
      </c>
      <c r="C66" t="s">
        <v>184</v>
      </c>
    </row>
    <row r="67" spans="1:3" x14ac:dyDescent="0.25">
      <c r="A67" t="s">
        <v>185</v>
      </c>
      <c r="B67" t="s">
        <v>186</v>
      </c>
      <c r="C67" t="s">
        <v>187</v>
      </c>
    </row>
    <row r="68" spans="1:3" x14ac:dyDescent="0.25">
      <c r="A68" t="s">
        <v>188</v>
      </c>
      <c r="B68" t="s">
        <v>189</v>
      </c>
      <c r="C68" t="s">
        <v>190</v>
      </c>
    </row>
    <row r="69" spans="1:3" x14ac:dyDescent="0.25">
      <c r="A69" t="s">
        <v>191</v>
      </c>
      <c r="B69" t="s">
        <v>192</v>
      </c>
      <c r="C69" t="s">
        <v>193</v>
      </c>
    </row>
    <row r="70" spans="1:3" x14ac:dyDescent="0.25">
      <c r="A70" t="s">
        <v>194</v>
      </c>
      <c r="B70" t="s">
        <v>195</v>
      </c>
      <c r="C70" t="s">
        <v>196</v>
      </c>
    </row>
    <row r="71" spans="1:3" x14ac:dyDescent="0.25">
      <c r="A71" t="s">
        <v>197</v>
      </c>
      <c r="B71" t="s">
        <v>198</v>
      </c>
      <c r="C71" t="s">
        <v>199</v>
      </c>
    </row>
    <row r="72" spans="1:3" x14ac:dyDescent="0.25">
      <c r="A72" t="s">
        <v>200</v>
      </c>
      <c r="B72" t="s">
        <v>201</v>
      </c>
      <c r="C72" t="s">
        <v>202</v>
      </c>
    </row>
    <row r="73" spans="1:3" x14ac:dyDescent="0.25">
      <c r="A73" t="s">
        <v>203</v>
      </c>
      <c r="B73" t="s">
        <v>204</v>
      </c>
      <c r="C73" t="s">
        <v>205</v>
      </c>
    </row>
    <row r="74" spans="1:3" x14ac:dyDescent="0.25">
      <c r="A74" t="s">
        <v>206</v>
      </c>
      <c r="B74" t="s">
        <v>207</v>
      </c>
      <c r="C74" t="s">
        <v>208</v>
      </c>
    </row>
    <row r="75" spans="1:3" x14ac:dyDescent="0.25">
      <c r="A75" t="s">
        <v>209</v>
      </c>
      <c r="B75" t="s">
        <v>210</v>
      </c>
      <c r="C75" t="s">
        <v>211</v>
      </c>
    </row>
    <row r="76" spans="1:3" x14ac:dyDescent="0.25">
      <c r="A76" t="s">
        <v>212</v>
      </c>
      <c r="B76" t="s">
        <v>213</v>
      </c>
      <c r="C76" t="s">
        <v>214</v>
      </c>
    </row>
    <row r="77" spans="1:3" x14ac:dyDescent="0.25">
      <c r="A77" t="s">
        <v>215</v>
      </c>
      <c r="B77" t="s">
        <v>216</v>
      </c>
      <c r="C77" t="s">
        <v>217</v>
      </c>
    </row>
    <row r="78" spans="1:3" x14ac:dyDescent="0.25">
      <c r="A78" t="s">
        <v>219</v>
      </c>
      <c r="B78" t="s">
        <v>220</v>
      </c>
      <c r="C78" t="s">
        <v>221</v>
      </c>
    </row>
    <row r="79" spans="1:3" x14ac:dyDescent="0.25">
      <c r="A79" t="s">
        <v>222</v>
      </c>
      <c r="B79" t="s">
        <v>223</v>
      </c>
      <c r="C79" t="s">
        <v>224</v>
      </c>
    </row>
    <row r="80" spans="1:3" x14ac:dyDescent="0.25">
      <c r="A80" t="s">
        <v>225</v>
      </c>
      <c r="B80" t="s">
        <v>226</v>
      </c>
      <c r="C80" t="s">
        <v>227</v>
      </c>
    </row>
    <row r="81" spans="1:3" x14ac:dyDescent="0.25">
      <c r="A81" t="s">
        <v>228</v>
      </c>
      <c r="B81" t="s">
        <v>229</v>
      </c>
      <c r="C81" t="s">
        <v>230</v>
      </c>
    </row>
    <row r="82" spans="1:3" x14ac:dyDescent="0.25">
      <c r="A82" t="s">
        <v>231</v>
      </c>
      <c r="B82" t="s">
        <v>232</v>
      </c>
      <c r="C82" t="s">
        <v>233</v>
      </c>
    </row>
    <row r="83" spans="1:3" x14ac:dyDescent="0.25">
      <c r="A83" t="s">
        <v>234</v>
      </c>
      <c r="B83" t="s">
        <v>235</v>
      </c>
      <c r="C83" t="s">
        <v>236</v>
      </c>
    </row>
    <row r="84" spans="1:3" x14ac:dyDescent="0.25">
      <c r="A84" t="s">
        <v>237</v>
      </c>
      <c r="B84" t="s">
        <v>238</v>
      </c>
      <c r="C84" t="s">
        <v>239</v>
      </c>
    </row>
    <row r="85" spans="1:3" x14ac:dyDescent="0.25">
      <c r="A85" t="s">
        <v>240</v>
      </c>
      <c r="B85" t="s">
        <v>241</v>
      </c>
      <c r="C85" t="s">
        <v>242</v>
      </c>
    </row>
    <row r="86" spans="1:3" x14ac:dyDescent="0.25">
      <c r="A86" t="s">
        <v>243</v>
      </c>
      <c r="B86" t="s">
        <v>244</v>
      </c>
      <c r="C86" t="s">
        <v>245</v>
      </c>
    </row>
    <row r="87" spans="1:3" x14ac:dyDescent="0.25">
      <c r="A87" t="s">
        <v>246</v>
      </c>
      <c r="B87" t="s">
        <v>247</v>
      </c>
      <c r="C87" t="s">
        <v>248</v>
      </c>
    </row>
    <row r="88" spans="1:3" x14ac:dyDescent="0.25">
      <c r="A88" t="s">
        <v>249</v>
      </c>
      <c r="B88" t="s">
        <v>250</v>
      </c>
      <c r="C88" t="s">
        <v>251</v>
      </c>
    </row>
    <row r="89" spans="1:3" x14ac:dyDescent="0.25">
      <c r="A89" t="s">
        <v>252</v>
      </c>
      <c r="B89" t="s">
        <v>253</v>
      </c>
      <c r="C89" t="s">
        <v>254</v>
      </c>
    </row>
    <row r="90" spans="1:3" x14ac:dyDescent="0.25">
      <c r="A90" t="s">
        <v>255</v>
      </c>
      <c r="B90" t="s">
        <v>256</v>
      </c>
      <c r="C90" t="s">
        <v>257</v>
      </c>
    </row>
    <row r="91" spans="1:3" x14ac:dyDescent="0.25">
      <c r="A91" t="s">
        <v>258</v>
      </c>
      <c r="B91" t="s">
        <v>259</v>
      </c>
      <c r="C91" t="s">
        <v>260</v>
      </c>
    </row>
    <row r="92" spans="1:3" x14ac:dyDescent="0.25">
      <c r="A92" t="s">
        <v>261</v>
      </c>
      <c r="B92" t="s">
        <v>262</v>
      </c>
      <c r="C92" t="s">
        <v>263</v>
      </c>
    </row>
    <row r="93" spans="1:3" x14ac:dyDescent="0.25">
      <c r="A93" t="s">
        <v>265</v>
      </c>
      <c r="B93" t="s">
        <v>266</v>
      </c>
      <c r="C93" t="s">
        <v>267</v>
      </c>
    </row>
    <row r="94" spans="1:3" x14ac:dyDescent="0.25">
      <c r="A94" t="s">
        <v>268</v>
      </c>
      <c r="B94" t="s">
        <v>269</v>
      </c>
      <c r="C94" t="s">
        <v>270</v>
      </c>
    </row>
    <row r="95" spans="1:3" x14ac:dyDescent="0.25">
      <c r="A95" t="s">
        <v>271</v>
      </c>
      <c r="B95" t="s">
        <v>272</v>
      </c>
      <c r="C95" t="s">
        <v>273</v>
      </c>
    </row>
    <row r="96" spans="1:3" x14ac:dyDescent="0.25">
      <c r="A96" t="s">
        <v>274</v>
      </c>
      <c r="B96" t="s">
        <v>275</v>
      </c>
      <c r="C96" t="s">
        <v>276</v>
      </c>
    </row>
    <row r="97" spans="1:3" x14ac:dyDescent="0.25">
      <c r="A97" t="s">
        <v>277</v>
      </c>
      <c r="B97" t="s">
        <v>278</v>
      </c>
      <c r="C97" t="s">
        <v>279</v>
      </c>
    </row>
    <row r="99" spans="1:3" x14ac:dyDescent="0.25">
      <c r="A99" t="s">
        <v>310</v>
      </c>
    </row>
    <row r="100" spans="1:3" x14ac:dyDescent="0.25">
      <c r="A100" t="s">
        <v>311</v>
      </c>
    </row>
    <row r="101" spans="1:3" x14ac:dyDescent="0.25">
      <c r="A101" t="s">
        <v>312</v>
      </c>
    </row>
    <row r="102" spans="1:3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2"/>
  <sheetViews>
    <sheetView workbookViewId="0">
      <selection activeCell="E18" sqref="E18"/>
    </sheetView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26" width="14.8554687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325</v>
      </c>
      <c r="E9" s="1" t="s">
        <v>325</v>
      </c>
      <c r="F9" s="1" t="s">
        <v>325</v>
      </c>
      <c r="G9" s="1" t="s">
        <v>325</v>
      </c>
      <c r="H9" s="1" t="s">
        <v>325</v>
      </c>
      <c r="I9" s="1" t="s">
        <v>325</v>
      </c>
      <c r="J9" s="1" t="s">
        <v>325</v>
      </c>
      <c r="K9" s="1" t="s">
        <v>325</v>
      </c>
      <c r="L9" s="1" t="s">
        <v>325</v>
      </c>
      <c r="M9" s="1" t="s">
        <v>325</v>
      </c>
      <c r="N9" s="1" t="s">
        <v>325</v>
      </c>
      <c r="O9" s="1" t="s">
        <v>325</v>
      </c>
      <c r="P9" s="1" t="s">
        <v>325</v>
      </c>
      <c r="Q9" s="1" t="s">
        <v>325</v>
      </c>
      <c r="R9" s="1" t="s">
        <v>325</v>
      </c>
      <c r="S9" s="1" t="s">
        <v>325</v>
      </c>
      <c r="T9" s="1" t="s">
        <v>325</v>
      </c>
      <c r="U9" s="1" t="s">
        <v>325</v>
      </c>
      <c r="V9" s="1" t="s">
        <v>325</v>
      </c>
      <c r="W9" s="1" t="s">
        <v>325</v>
      </c>
      <c r="X9" s="1" t="s">
        <v>325</v>
      </c>
      <c r="Y9" s="1" t="s">
        <v>325</v>
      </c>
      <c r="Z9" s="1" t="s">
        <v>325</v>
      </c>
    </row>
    <row r="10" spans="1:26" x14ac:dyDescent="0.25">
      <c r="A10" t="s">
        <v>281</v>
      </c>
      <c r="B10" t="s">
        <v>282</v>
      </c>
      <c r="C10" t="s">
        <v>283</v>
      </c>
    </row>
    <row r="11" spans="1:26" x14ac:dyDescent="0.25">
      <c r="A11" t="s">
        <v>306</v>
      </c>
      <c r="B11" t="s">
        <v>307</v>
      </c>
      <c r="C11" t="s">
        <v>308</v>
      </c>
      <c r="E11">
        <v>100</v>
      </c>
      <c r="F11" t="s">
        <v>326</v>
      </c>
      <c r="G11">
        <v>95</v>
      </c>
      <c r="H11">
        <v>96</v>
      </c>
      <c r="I11">
        <v>94</v>
      </c>
      <c r="J11">
        <v>98</v>
      </c>
      <c r="K11">
        <v>100</v>
      </c>
      <c r="L11">
        <v>98</v>
      </c>
      <c r="M11">
        <v>99</v>
      </c>
      <c r="N11">
        <v>100</v>
      </c>
      <c r="O11">
        <v>100</v>
      </c>
      <c r="P11">
        <v>98</v>
      </c>
      <c r="Q11">
        <v>97</v>
      </c>
      <c r="R11">
        <v>99</v>
      </c>
      <c r="S11">
        <v>98</v>
      </c>
      <c r="T11">
        <v>111</v>
      </c>
      <c r="U11">
        <v>98</v>
      </c>
      <c r="V11">
        <v>112</v>
      </c>
      <c r="X11">
        <v>107</v>
      </c>
      <c r="Y11">
        <v>90</v>
      </c>
      <c r="Z11">
        <v>98</v>
      </c>
    </row>
    <row r="12" spans="1:26" x14ac:dyDescent="0.25">
      <c r="A12" t="s">
        <v>284</v>
      </c>
      <c r="B12" t="s">
        <v>285</v>
      </c>
      <c r="C12" t="s">
        <v>286</v>
      </c>
      <c r="D12">
        <v>100</v>
      </c>
      <c r="E12">
        <v>100</v>
      </c>
      <c r="F12">
        <v>98</v>
      </c>
      <c r="G12">
        <v>111</v>
      </c>
      <c r="H12">
        <v>103</v>
      </c>
      <c r="I12">
        <v>111</v>
      </c>
      <c r="J12">
        <v>109</v>
      </c>
      <c r="K12">
        <v>100</v>
      </c>
      <c r="L12">
        <v>102</v>
      </c>
      <c r="M12">
        <v>101</v>
      </c>
      <c r="N12">
        <v>101</v>
      </c>
      <c r="O12">
        <v>100</v>
      </c>
      <c r="P12">
        <v>107</v>
      </c>
      <c r="Q12">
        <v>108</v>
      </c>
      <c r="R12">
        <v>102</v>
      </c>
      <c r="S12">
        <v>103</v>
      </c>
      <c r="T12">
        <v>93</v>
      </c>
      <c r="U12">
        <v>102</v>
      </c>
      <c r="V12">
        <v>96</v>
      </c>
      <c r="W12">
        <v>100</v>
      </c>
      <c r="X12">
        <v>95</v>
      </c>
      <c r="Y12">
        <v>109</v>
      </c>
      <c r="Z12">
        <v>108</v>
      </c>
    </row>
    <row r="13" spans="1:26" x14ac:dyDescent="0.25">
      <c r="A13" t="s">
        <v>288</v>
      </c>
      <c r="B13" t="s">
        <v>289</v>
      </c>
      <c r="C13" t="s">
        <v>290</v>
      </c>
      <c r="D13">
        <v>100</v>
      </c>
      <c r="E13">
        <v>99</v>
      </c>
      <c r="F13">
        <v>92</v>
      </c>
      <c r="G13">
        <v>93</v>
      </c>
      <c r="H13">
        <v>98</v>
      </c>
      <c r="I13">
        <v>92</v>
      </c>
      <c r="J13">
        <v>90</v>
      </c>
      <c r="K13">
        <v>98</v>
      </c>
      <c r="L13">
        <v>97</v>
      </c>
      <c r="M13">
        <v>98</v>
      </c>
      <c r="N13">
        <v>98</v>
      </c>
      <c r="O13">
        <v>99</v>
      </c>
      <c r="P13">
        <v>91</v>
      </c>
      <c r="Q13">
        <v>91</v>
      </c>
      <c r="R13">
        <v>95</v>
      </c>
      <c r="S13">
        <v>97</v>
      </c>
      <c r="T13">
        <v>99</v>
      </c>
      <c r="U13">
        <v>99</v>
      </c>
      <c r="V13">
        <v>100</v>
      </c>
      <c r="W13">
        <v>100</v>
      </c>
      <c r="X13">
        <v>103</v>
      </c>
      <c r="Y13">
        <v>97</v>
      </c>
      <c r="Z13">
        <v>90</v>
      </c>
    </row>
    <row r="14" spans="1:26" x14ac:dyDescent="0.25">
      <c r="A14" t="s">
        <v>291</v>
      </c>
      <c r="B14" t="s">
        <v>292</v>
      </c>
      <c r="C14" t="s">
        <v>293</v>
      </c>
      <c r="D14">
        <v>100</v>
      </c>
      <c r="E14">
        <v>102</v>
      </c>
      <c r="F14">
        <v>104</v>
      </c>
      <c r="G14">
        <v>103</v>
      </c>
      <c r="H14">
        <v>101</v>
      </c>
      <c r="I14">
        <v>107</v>
      </c>
      <c r="J14">
        <v>108</v>
      </c>
      <c r="K14">
        <v>104</v>
      </c>
      <c r="L14">
        <v>102</v>
      </c>
      <c r="M14">
        <v>101</v>
      </c>
      <c r="N14">
        <v>103</v>
      </c>
      <c r="O14">
        <v>102</v>
      </c>
      <c r="P14">
        <v>109</v>
      </c>
      <c r="Q14">
        <v>107</v>
      </c>
      <c r="R14">
        <v>109</v>
      </c>
      <c r="S14">
        <v>102</v>
      </c>
      <c r="T14">
        <v>104</v>
      </c>
      <c r="U14">
        <v>101</v>
      </c>
      <c r="V14">
        <v>101</v>
      </c>
      <c r="W14">
        <v>100</v>
      </c>
      <c r="X14">
        <v>101</v>
      </c>
      <c r="Y14">
        <v>102</v>
      </c>
      <c r="Z14">
        <v>107</v>
      </c>
    </row>
    <row r="15" spans="1:26" x14ac:dyDescent="0.25">
      <c r="A15" t="s">
        <v>294</v>
      </c>
      <c r="B15" t="s">
        <v>295</v>
      </c>
      <c r="C15" t="s">
        <v>296</v>
      </c>
      <c r="D15">
        <v>100</v>
      </c>
      <c r="E15">
        <v>99</v>
      </c>
      <c r="F15">
        <v>97</v>
      </c>
      <c r="G15">
        <v>102</v>
      </c>
      <c r="H15">
        <v>100</v>
      </c>
      <c r="I15">
        <v>97</v>
      </c>
      <c r="J15">
        <v>101</v>
      </c>
      <c r="K15">
        <v>98</v>
      </c>
      <c r="L15">
        <v>100</v>
      </c>
      <c r="M15">
        <v>101</v>
      </c>
      <c r="N15">
        <v>100</v>
      </c>
      <c r="O15">
        <v>99</v>
      </c>
      <c r="P15">
        <v>100</v>
      </c>
      <c r="Q15">
        <v>103</v>
      </c>
      <c r="R15">
        <v>102</v>
      </c>
      <c r="S15">
        <v>101</v>
      </c>
      <c r="T15">
        <v>96</v>
      </c>
      <c r="U15">
        <v>99</v>
      </c>
      <c r="V15">
        <v>98</v>
      </c>
      <c r="W15">
        <v>99</v>
      </c>
      <c r="X15">
        <v>98</v>
      </c>
      <c r="Y15">
        <v>99</v>
      </c>
      <c r="Z15">
        <v>106</v>
      </c>
    </row>
    <row r="16" spans="1:26" x14ac:dyDescent="0.25">
      <c r="A16" t="s">
        <v>297</v>
      </c>
      <c r="B16" t="s">
        <v>298</v>
      </c>
      <c r="C16" t="s">
        <v>299</v>
      </c>
      <c r="D16">
        <v>100</v>
      </c>
      <c r="E16">
        <v>96</v>
      </c>
      <c r="F16">
        <v>103</v>
      </c>
      <c r="G16">
        <v>98</v>
      </c>
      <c r="H16">
        <v>99</v>
      </c>
      <c r="I16">
        <v>100</v>
      </c>
      <c r="J16">
        <v>93</v>
      </c>
      <c r="K16">
        <v>97</v>
      </c>
      <c r="L16">
        <v>100</v>
      </c>
      <c r="M16">
        <v>95</v>
      </c>
      <c r="N16">
        <v>95</v>
      </c>
      <c r="O16">
        <v>95</v>
      </c>
      <c r="P16">
        <v>95</v>
      </c>
      <c r="Q16">
        <v>92</v>
      </c>
      <c r="R16">
        <v>89</v>
      </c>
      <c r="S16">
        <v>96</v>
      </c>
      <c r="T16">
        <v>103</v>
      </c>
      <c r="U16">
        <v>100</v>
      </c>
      <c r="V16">
        <v>103</v>
      </c>
      <c r="W16">
        <v>102</v>
      </c>
      <c r="X16">
        <v>97</v>
      </c>
      <c r="Y16">
        <v>101</v>
      </c>
      <c r="Z16">
        <v>94</v>
      </c>
    </row>
    <row r="17" spans="1:26" x14ac:dyDescent="0.25">
      <c r="A17" t="s">
        <v>300</v>
      </c>
      <c r="B17" t="s">
        <v>301</v>
      </c>
      <c r="C17" t="s">
        <v>302</v>
      </c>
      <c r="D17">
        <v>100</v>
      </c>
      <c r="E17">
        <v>117</v>
      </c>
      <c r="F17">
        <v>95</v>
      </c>
      <c r="G17">
        <v>99</v>
      </c>
      <c r="H17">
        <v>101</v>
      </c>
      <c r="I17">
        <v>101</v>
      </c>
      <c r="J17">
        <v>112</v>
      </c>
      <c r="K17">
        <v>110</v>
      </c>
      <c r="L17">
        <v>96</v>
      </c>
      <c r="M17">
        <v>117</v>
      </c>
      <c r="N17">
        <v>109</v>
      </c>
      <c r="O17">
        <v>121</v>
      </c>
      <c r="P17">
        <v>105</v>
      </c>
      <c r="Q17">
        <v>113</v>
      </c>
      <c r="R17">
        <v>113</v>
      </c>
      <c r="S17">
        <v>113</v>
      </c>
      <c r="T17">
        <v>96</v>
      </c>
      <c r="U17">
        <v>100</v>
      </c>
      <c r="V17">
        <v>95</v>
      </c>
      <c r="W17">
        <v>94</v>
      </c>
      <c r="X17">
        <v>113</v>
      </c>
      <c r="Y17">
        <v>99</v>
      </c>
      <c r="Z17">
        <v>96</v>
      </c>
    </row>
    <row r="18" spans="1:26" x14ac:dyDescent="0.25">
      <c r="A18" t="s">
        <v>303</v>
      </c>
      <c r="B18" t="s">
        <v>304</v>
      </c>
      <c r="C18" t="s">
        <v>305</v>
      </c>
      <c r="E18">
        <v>74</v>
      </c>
      <c r="G18">
        <v>106</v>
      </c>
      <c r="I18">
        <v>99</v>
      </c>
      <c r="J18">
        <v>96</v>
      </c>
      <c r="K18">
        <v>90</v>
      </c>
      <c r="L18">
        <v>107</v>
      </c>
      <c r="M18">
        <v>73</v>
      </c>
      <c r="N18">
        <v>94</v>
      </c>
      <c r="O18">
        <v>72</v>
      </c>
      <c r="P18">
        <v>98</v>
      </c>
      <c r="Q18">
        <v>88</v>
      </c>
      <c r="R18">
        <v>97</v>
      </c>
      <c r="S18">
        <v>80</v>
      </c>
      <c r="X18">
        <v>87</v>
      </c>
      <c r="Z18">
        <v>116</v>
      </c>
    </row>
    <row r="19" spans="1:26" x14ac:dyDescent="0.25">
      <c r="A19" t="s">
        <v>38</v>
      </c>
      <c r="B19" t="s">
        <v>39</v>
      </c>
      <c r="C19" t="s">
        <v>40</v>
      </c>
    </row>
    <row r="20" spans="1:26" x14ac:dyDescent="0.25">
      <c r="A20" t="s">
        <v>41</v>
      </c>
      <c r="B20" t="s">
        <v>42</v>
      </c>
      <c r="C20" t="s">
        <v>43</v>
      </c>
    </row>
    <row r="21" spans="1:26" x14ac:dyDescent="0.25">
      <c r="A21" t="s">
        <v>44</v>
      </c>
      <c r="B21" t="s">
        <v>45</v>
      </c>
      <c r="C21" t="s">
        <v>46</v>
      </c>
    </row>
    <row r="22" spans="1:26" x14ac:dyDescent="0.25">
      <c r="A22" t="s">
        <v>47</v>
      </c>
      <c r="B22" t="s">
        <v>48</v>
      </c>
      <c r="C22" t="s">
        <v>49</v>
      </c>
    </row>
    <row r="23" spans="1:26" x14ac:dyDescent="0.25">
      <c r="A23" t="s">
        <v>50</v>
      </c>
      <c r="B23" t="s">
        <v>51</v>
      </c>
      <c r="C23" t="s">
        <v>52</v>
      </c>
    </row>
    <row r="24" spans="1:26" x14ac:dyDescent="0.25">
      <c r="A24" t="s">
        <v>53</v>
      </c>
      <c r="B24" t="s">
        <v>54</v>
      </c>
      <c r="C24" t="s">
        <v>55</v>
      </c>
    </row>
    <row r="25" spans="1:26" x14ac:dyDescent="0.25">
      <c r="A25" t="s">
        <v>56</v>
      </c>
      <c r="B25" t="s">
        <v>57</v>
      </c>
      <c r="C25" t="s">
        <v>58</v>
      </c>
    </row>
    <row r="26" spans="1:26" x14ac:dyDescent="0.25">
      <c r="A26" t="s">
        <v>59</v>
      </c>
      <c r="B26" t="s">
        <v>60</v>
      </c>
      <c r="C26" t="s">
        <v>61</v>
      </c>
    </row>
    <row r="27" spans="1:26" x14ac:dyDescent="0.25">
      <c r="A27" t="s">
        <v>62</v>
      </c>
      <c r="B27" t="s">
        <v>63</v>
      </c>
      <c r="C27" t="s">
        <v>64</v>
      </c>
    </row>
    <row r="28" spans="1:26" x14ac:dyDescent="0.25">
      <c r="A28" t="s">
        <v>65</v>
      </c>
      <c r="B28" t="s">
        <v>66</v>
      </c>
      <c r="C28" t="s">
        <v>67</v>
      </c>
    </row>
    <row r="29" spans="1:26" x14ac:dyDescent="0.25">
      <c r="A29" t="s">
        <v>68</v>
      </c>
      <c r="B29" t="s">
        <v>69</v>
      </c>
      <c r="C29" t="s">
        <v>70</v>
      </c>
    </row>
    <row r="30" spans="1:26" x14ac:dyDescent="0.25">
      <c r="A30" t="s">
        <v>71</v>
      </c>
      <c r="B30" t="s">
        <v>72</v>
      </c>
      <c r="C30" t="s">
        <v>73</v>
      </c>
    </row>
    <row r="31" spans="1:26" x14ac:dyDescent="0.25">
      <c r="A31" t="s">
        <v>74</v>
      </c>
      <c r="B31" t="s">
        <v>75</v>
      </c>
      <c r="C31" t="s">
        <v>76</v>
      </c>
    </row>
    <row r="32" spans="1:26" x14ac:dyDescent="0.25">
      <c r="A32" t="s">
        <v>77</v>
      </c>
      <c r="B32" t="s">
        <v>78</v>
      </c>
      <c r="C32" t="s">
        <v>79</v>
      </c>
    </row>
    <row r="33" spans="1:3" x14ac:dyDescent="0.25">
      <c r="A33" t="s">
        <v>81</v>
      </c>
      <c r="B33" t="s">
        <v>82</v>
      </c>
      <c r="C33" t="s">
        <v>83</v>
      </c>
    </row>
    <row r="34" spans="1:3" x14ac:dyDescent="0.25">
      <c r="A34" t="s">
        <v>84</v>
      </c>
      <c r="B34" t="s">
        <v>85</v>
      </c>
      <c r="C34" t="s">
        <v>86</v>
      </c>
    </row>
    <row r="35" spans="1:3" x14ac:dyDescent="0.25">
      <c r="A35" t="s">
        <v>87</v>
      </c>
      <c r="B35" t="s">
        <v>88</v>
      </c>
      <c r="C35" t="s">
        <v>89</v>
      </c>
    </row>
    <row r="36" spans="1:3" x14ac:dyDescent="0.25">
      <c r="A36" t="s">
        <v>90</v>
      </c>
      <c r="B36" t="s">
        <v>91</v>
      </c>
      <c r="C36" t="s">
        <v>92</v>
      </c>
    </row>
    <row r="37" spans="1:3" x14ac:dyDescent="0.25">
      <c r="A37" t="s">
        <v>93</v>
      </c>
      <c r="B37" t="s">
        <v>94</v>
      </c>
      <c r="C37" t="s">
        <v>95</v>
      </c>
    </row>
    <row r="38" spans="1:3" x14ac:dyDescent="0.25">
      <c r="A38" t="s">
        <v>96</v>
      </c>
      <c r="B38" t="s">
        <v>97</v>
      </c>
      <c r="C38" t="s">
        <v>98</v>
      </c>
    </row>
    <row r="39" spans="1:3" x14ac:dyDescent="0.25">
      <c r="A39" t="s">
        <v>99</v>
      </c>
      <c r="B39" t="s">
        <v>100</v>
      </c>
      <c r="C39" t="s">
        <v>101</v>
      </c>
    </row>
    <row r="40" spans="1:3" x14ac:dyDescent="0.25">
      <c r="A40" t="s">
        <v>102</v>
      </c>
      <c r="B40" t="s">
        <v>103</v>
      </c>
      <c r="C40" t="s">
        <v>104</v>
      </c>
    </row>
    <row r="41" spans="1:3" x14ac:dyDescent="0.25">
      <c r="A41" t="s">
        <v>105</v>
      </c>
      <c r="B41" t="s">
        <v>106</v>
      </c>
      <c r="C41" t="s">
        <v>107</v>
      </c>
    </row>
    <row r="42" spans="1:3" x14ac:dyDescent="0.25">
      <c r="A42" t="s">
        <v>108</v>
      </c>
      <c r="B42" t="s">
        <v>109</v>
      </c>
      <c r="C42" t="s">
        <v>110</v>
      </c>
    </row>
    <row r="43" spans="1:3" x14ac:dyDescent="0.25">
      <c r="A43" t="s">
        <v>111</v>
      </c>
      <c r="B43" t="s">
        <v>112</v>
      </c>
      <c r="C43" t="s">
        <v>113</v>
      </c>
    </row>
    <row r="44" spans="1:3" x14ac:dyDescent="0.25">
      <c r="A44" t="s">
        <v>114</v>
      </c>
      <c r="B44" t="s">
        <v>115</v>
      </c>
      <c r="C44" t="s">
        <v>116</v>
      </c>
    </row>
    <row r="45" spans="1:3" x14ac:dyDescent="0.25">
      <c r="A45" t="s">
        <v>117</v>
      </c>
      <c r="B45" t="s">
        <v>118</v>
      </c>
      <c r="C45" t="s">
        <v>119</v>
      </c>
    </row>
    <row r="46" spans="1:3" x14ac:dyDescent="0.25">
      <c r="A46" t="s">
        <v>120</v>
      </c>
      <c r="B46" t="s">
        <v>121</v>
      </c>
      <c r="C46" t="s">
        <v>122</v>
      </c>
    </row>
    <row r="47" spans="1:3" x14ac:dyDescent="0.25">
      <c r="A47" t="s">
        <v>123</v>
      </c>
      <c r="B47" t="s">
        <v>124</v>
      </c>
      <c r="C47" t="s">
        <v>125</v>
      </c>
    </row>
    <row r="48" spans="1:3" x14ac:dyDescent="0.25">
      <c r="A48" t="s">
        <v>127</v>
      </c>
      <c r="B48" t="s">
        <v>128</v>
      </c>
      <c r="C48" t="s">
        <v>129</v>
      </c>
    </row>
    <row r="49" spans="1:3" x14ac:dyDescent="0.25">
      <c r="A49" t="s">
        <v>130</v>
      </c>
      <c r="B49" t="s">
        <v>131</v>
      </c>
      <c r="C49" t="s">
        <v>132</v>
      </c>
    </row>
    <row r="50" spans="1:3" x14ac:dyDescent="0.25">
      <c r="A50" t="s">
        <v>133</v>
      </c>
      <c r="B50" t="s">
        <v>134</v>
      </c>
      <c r="C50" t="s">
        <v>135</v>
      </c>
    </row>
    <row r="51" spans="1:3" x14ac:dyDescent="0.25">
      <c r="A51" t="s">
        <v>136</v>
      </c>
      <c r="B51" t="s">
        <v>137</v>
      </c>
      <c r="C51" t="s">
        <v>138</v>
      </c>
    </row>
    <row r="52" spans="1:3" x14ac:dyDescent="0.25">
      <c r="A52" t="s">
        <v>139</v>
      </c>
      <c r="B52" t="s">
        <v>140</v>
      </c>
      <c r="C52" t="s">
        <v>141</v>
      </c>
    </row>
    <row r="53" spans="1:3" x14ac:dyDescent="0.25">
      <c r="A53" t="s">
        <v>142</v>
      </c>
      <c r="B53" t="s">
        <v>143</v>
      </c>
      <c r="C53" t="s">
        <v>144</v>
      </c>
    </row>
    <row r="54" spans="1:3" x14ac:dyDescent="0.25">
      <c r="A54" t="s">
        <v>145</v>
      </c>
      <c r="B54" t="s">
        <v>146</v>
      </c>
      <c r="C54" t="s">
        <v>147</v>
      </c>
    </row>
    <row r="55" spans="1:3" x14ac:dyDescent="0.25">
      <c r="A55" t="s">
        <v>148</v>
      </c>
      <c r="B55" t="s">
        <v>149</v>
      </c>
      <c r="C55" t="s">
        <v>150</v>
      </c>
    </row>
    <row r="56" spans="1:3" x14ac:dyDescent="0.25">
      <c r="A56" t="s">
        <v>151</v>
      </c>
      <c r="B56" t="s">
        <v>152</v>
      </c>
      <c r="C56" t="s">
        <v>153</v>
      </c>
    </row>
    <row r="57" spans="1:3" x14ac:dyDescent="0.25">
      <c r="A57" t="s">
        <v>154</v>
      </c>
      <c r="B57" t="s">
        <v>155</v>
      </c>
      <c r="C57" t="s">
        <v>156</v>
      </c>
    </row>
    <row r="58" spans="1:3" x14ac:dyDescent="0.25">
      <c r="A58" t="s">
        <v>157</v>
      </c>
      <c r="B58" t="s">
        <v>158</v>
      </c>
      <c r="C58" t="s">
        <v>159</v>
      </c>
    </row>
    <row r="59" spans="1:3" x14ac:dyDescent="0.25">
      <c r="A59" t="s">
        <v>160</v>
      </c>
      <c r="B59" t="s">
        <v>161</v>
      </c>
      <c r="C59" t="s">
        <v>162</v>
      </c>
    </row>
    <row r="60" spans="1:3" x14ac:dyDescent="0.25">
      <c r="A60" t="s">
        <v>163</v>
      </c>
      <c r="B60" t="s">
        <v>164</v>
      </c>
      <c r="C60" t="s">
        <v>165</v>
      </c>
    </row>
    <row r="61" spans="1:3" x14ac:dyDescent="0.25">
      <c r="A61" t="s">
        <v>166</v>
      </c>
      <c r="B61" t="s">
        <v>167</v>
      </c>
      <c r="C61" t="s">
        <v>168</v>
      </c>
    </row>
    <row r="62" spans="1:3" x14ac:dyDescent="0.25">
      <c r="A62" t="s">
        <v>169</v>
      </c>
      <c r="B62" t="s">
        <v>170</v>
      </c>
      <c r="C62" t="s">
        <v>171</v>
      </c>
    </row>
    <row r="63" spans="1:3" x14ac:dyDescent="0.25">
      <c r="A63" t="s">
        <v>173</v>
      </c>
      <c r="B63" t="s">
        <v>174</v>
      </c>
      <c r="C63" t="s">
        <v>175</v>
      </c>
    </row>
    <row r="64" spans="1:3" x14ac:dyDescent="0.25">
      <c r="A64" t="s">
        <v>176</v>
      </c>
      <c r="B64" t="s">
        <v>177</v>
      </c>
      <c r="C64" t="s">
        <v>178</v>
      </c>
    </row>
    <row r="65" spans="1:3" x14ac:dyDescent="0.25">
      <c r="A65" t="s">
        <v>179</v>
      </c>
      <c r="B65" t="s">
        <v>180</v>
      </c>
      <c r="C65" t="s">
        <v>181</v>
      </c>
    </row>
    <row r="66" spans="1:3" x14ac:dyDescent="0.25">
      <c r="A66" t="s">
        <v>182</v>
      </c>
      <c r="B66" t="s">
        <v>183</v>
      </c>
      <c r="C66" t="s">
        <v>184</v>
      </c>
    </row>
    <row r="67" spans="1:3" x14ac:dyDescent="0.25">
      <c r="A67" t="s">
        <v>185</v>
      </c>
      <c r="B67" t="s">
        <v>186</v>
      </c>
      <c r="C67" t="s">
        <v>187</v>
      </c>
    </row>
    <row r="68" spans="1:3" x14ac:dyDescent="0.25">
      <c r="A68" t="s">
        <v>188</v>
      </c>
      <c r="B68" t="s">
        <v>189</v>
      </c>
      <c r="C68" t="s">
        <v>190</v>
      </c>
    </row>
    <row r="69" spans="1:3" x14ac:dyDescent="0.25">
      <c r="A69" t="s">
        <v>191</v>
      </c>
      <c r="B69" t="s">
        <v>192</v>
      </c>
      <c r="C69" t="s">
        <v>193</v>
      </c>
    </row>
    <row r="70" spans="1:3" x14ac:dyDescent="0.25">
      <c r="A70" t="s">
        <v>194</v>
      </c>
      <c r="B70" t="s">
        <v>195</v>
      </c>
      <c r="C70" t="s">
        <v>196</v>
      </c>
    </row>
    <row r="71" spans="1:3" x14ac:dyDescent="0.25">
      <c r="A71" t="s">
        <v>197</v>
      </c>
      <c r="B71" t="s">
        <v>198</v>
      </c>
      <c r="C71" t="s">
        <v>199</v>
      </c>
    </row>
    <row r="72" spans="1:3" x14ac:dyDescent="0.25">
      <c r="A72" t="s">
        <v>200</v>
      </c>
      <c r="B72" t="s">
        <v>201</v>
      </c>
      <c r="C72" t="s">
        <v>202</v>
      </c>
    </row>
    <row r="73" spans="1:3" x14ac:dyDescent="0.25">
      <c r="A73" t="s">
        <v>203</v>
      </c>
      <c r="B73" t="s">
        <v>204</v>
      </c>
      <c r="C73" t="s">
        <v>205</v>
      </c>
    </row>
    <row r="74" spans="1:3" x14ac:dyDescent="0.25">
      <c r="A74" t="s">
        <v>206</v>
      </c>
      <c r="B74" t="s">
        <v>207</v>
      </c>
      <c r="C74" t="s">
        <v>208</v>
      </c>
    </row>
    <row r="75" spans="1:3" x14ac:dyDescent="0.25">
      <c r="A75" t="s">
        <v>209</v>
      </c>
      <c r="B75" t="s">
        <v>210</v>
      </c>
      <c r="C75" t="s">
        <v>211</v>
      </c>
    </row>
    <row r="76" spans="1:3" x14ac:dyDescent="0.25">
      <c r="A76" t="s">
        <v>212</v>
      </c>
      <c r="B76" t="s">
        <v>213</v>
      </c>
      <c r="C76" t="s">
        <v>214</v>
      </c>
    </row>
    <row r="77" spans="1:3" x14ac:dyDescent="0.25">
      <c r="A77" t="s">
        <v>215</v>
      </c>
      <c r="B77" t="s">
        <v>216</v>
      </c>
      <c r="C77" t="s">
        <v>217</v>
      </c>
    </row>
    <row r="78" spans="1:3" x14ac:dyDescent="0.25">
      <c r="A78" t="s">
        <v>219</v>
      </c>
      <c r="B78" t="s">
        <v>220</v>
      </c>
      <c r="C78" t="s">
        <v>221</v>
      </c>
    </row>
    <row r="79" spans="1:3" x14ac:dyDescent="0.25">
      <c r="A79" t="s">
        <v>222</v>
      </c>
      <c r="B79" t="s">
        <v>223</v>
      </c>
      <c r="C79" t="s">
        <v>224</v>
      </c>
    </row>
    <row r="80" spans="1:3" x14ac:dyDescent="0.25">
      <c r="A80" t="s">
        <v>225</v>
      </c>
      <c r="B80" t="s">
        <v>226</v>
      </c>
      <c r="C80" t="s">
        <v>227</v>
      </c>
    </row>
    <row r="81" spans="1:3" x14ac:dyDescent="0.25">
      <c r="A81" t="s">
        <v>228</v>
      </c>
      <c r="B81" t="s">
        <v>229</v>
      </c>
      <c r="C81" t="s">
        <v>230</v>
      </c>
    </row>
    <row r="82" spans="1:3" x14ac:dyDescent="0.25">
      <c r="A82" t="s">
        <v>231</v>
      </c>
      <c r="B82" t="s">
        <v>232</v>
      </c>
      <c r="C82" t="s">
        <v>233</v>
      </c>
    </row>
    <row r="83" spans="1:3" x14ac:dyDescent="0.25">
      <c r="A83" t="s">
        <v>234</v>
      </c>
      <c r="B83" t="s">
        <v>235</v>
      </c>
      <c r="C83" t="s">
        <v>236</v>
      </c>
    </row>
    <row r="84" spans="1:3" x14ac:dyDescent="0.25">
      <c r="A84" t="s">
        <v>237</v>
      </c>
      <c r="B84" t="s">
        <v>238</v>
      </c>
      <c r="C84" t="s">
        <v>239</v>
      </c>
    </row>
    <row r="85" spans="1:3" x14ac:dyDescent="0.25">
      <c r="A85" t="s">
        <v>240</v>
      </c>
      <c r="B85" t="s">
        <v>241</v>
      </c>
      <c r="C85" t="s">
        <v>242</v>
      </c>
    </row>
    <row r="86" spans="1:3" x14ac:dyDescent="0.25">
      <c r="A86" t="s">
        <v>243</v>
      </c>
      <c r="B86" t="s">
        <v>244</v>
      </c>
      <c r="C86" t="s">
        <v>245</v>
      </c>
    </row>
    <row r="87" spans="1:3" x14ac:dyDescent="0.25">
      <c r="A87" t="s">
        <v>246</v>
      </c>
      <c r="B87" t="s">
        <v>247</v>
      </c>
      <c r="C87" t="s">
        <v>248</v>
      </c>
    </row>
    <row r="88" spans="1:3" x14ac:dyDescent="0.25">
      <c r="A88" t="s">
        <v>249</v>
      </c>
      <c r="B88" t="s">
        <v>250</v>
      </c>
      <c r="C88" t="s">
        <v>251</v>
      </c>
    </row>
    <row r="89" spans="1:3" x14ac:dyDescent="0.25">
      <c r="A89" t="s">
        <v>252</v>
      </c>
      <c r="B89" t="s">
        <v>253</v>
      </c>
      <c r="C89" t="s">
        <v>254</v>
      </c>
    </row>
    <row r="90" spans="1:3" x14ac:dyDescent="0.25">
      <c r="A90" t="s">
        <v>255</v>
      </c>
      <c r="B90" t="s">
        <v>256</v>
      </c>
      <c r="C90" t="s">
        <v>257</v>
      </c>
    </row>
    <row r="91" spans="1:3" x14ac:dyDescent="0.25">
      <c r="A91" t="s">
        <v>258</v>
      </c>
      <c r="B91" t="s">
        <v>259</v>
      </c>
      <c r="C91" t="s">
        <v>260</v>
      </c>
    </row>
    <row r="92" spans="1:3" x14ac:dyDescent="0.25">
      <c r="A92" t="s">
        <v>261</v>
      </c>
      <c r="B92" t="s">
        <v>262</v>
      </c>
      <c r="C92" t="s">
        <v>263</v>
      </c>
    </row>
    <row r="93" spans="1:3" x14ac:dyDescent="0.25">
      <c r="A93" t="s">
        <v>265</v>
      </c>
      <c r="B93" t="s">
        <v>266</v>
      </c>
      <c r="C93" t="s">
        <v>267</v>
      </c>
    </row>
    <row r="94" spans="1:3" x14ac:dyDescent="0.25">
      <c r="A94" t="s">
        <v>268</v>
      </c>
      <c r="B94" t="s">
        <v>269</v>
      </c>
      <c r="C94" t="s">
        <v>270</v>
      </c>
    </row>
    <row r="95" spans="1:3" x14ac:dyDescent="0.25">
      <c r="A95" t="s">
        <v>271</v>
      </c>
      <c r="B95" t="s">
        <v>272</v>
      </c>
      <c r="C95" t="s">
        <v>273</v>
      </c>
    </row>
    <row r="96" spans="1:3" x14ac:dyDescent="0.25">
      <c r="A96" t="s">
        <v>274</v>
      </c>
      <c r="B96" t="s">
        <v>275</v>
      </c>
      <c r="C96" t="s">
        <v>276</v>
      </c>
    </row>
    <row r="97" spans="1:3" x14ac:dyDescent="0.25">
      <c r="A97" t="s">
        <v>277</v>
      </c>
      <c r="B97" t="s">
        <v>278</v>
      </c>
      <c r="C97" t="s">
        <v>279</v>
      </c>
    </row>
    <row r="99" spans="1:3" x14ac:dyDescent="0.25">
      <c r="A99" t="s">
        <v>310</v>
      </c>
    </row>
    <row r="100" spans="1:3" x14ac:dyDescent="0.25">
      <c r="A100" t="s">
        <v>311</v>
      </c>
    </row>
    <row r="101" spans="1:3" x14ac:dyDescent="0.25">
      <c r="A101" t="s">
        <v>312</v>
      </c>
    </row>
    <row r="102" spans="1:3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2"/>
  <sheetViews>
    <sheetView workbookViewId="0"/>
  </sheetViews>
  <sheetFormatPr defaultColWidth="8.85546875" defaultRowHeight="15" x14ac:dyDescent="0.25"/>
  <cols>
    <col min="1" max="1" width="5.28515625" bestFit="1" customWidth="1"/>
    <col min="2" max="2" width="6.140625" bestFit="1" customWidth="1"/>
    <col min="3" max="3" width="26.85546875" bestFit="1" customWidth="1"/>
    <col min="4" max="4" width="11.42578125" bestFit="1" customWidth="1"/>
    <col min="5" max="5" width="10.140625" bestFit="1" customWidth="1"/>
    <col min="6" max="6" width="12" bestFit="1" customWidth="1"/>
    <col min="7" max="7" width="8.85546875" bestFit="1" customWidth="1"/>
    <col min="8" max="8" width="9" bestFit="1" customWidth="1"/>
    <col min="9" max="10" width="12.140625" bestFit="1" customWidth="1"/>
    <col min="11" max="11" width="9" bestFit="1" customWidth="1"/>
    <col min="12" max="12" width="10.28515625" bestFit="1" customWidth="1"/>
    <col min="13" max="13" width="9" bestFit="1" customWidth="1"/>
    <col min="15" max="21" width="8.140625" bestFit="1" customWidth="1"/>
    <col min="22" max="22" width="10.7109375" bestFit="1" customWidth="1"/>
    <col min="23" max="23" width="11.28515625" bestFit="1" customWidth="1"/>
    <col min="24" max="24" width="11.140625" bestFit="1" customWidth="1"/>
    <col min="25" max="25" width="11.7109375" bestFit="1" customWidth="1"/>
    <col min="26" max="26" width="9.28515625" bestFit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</row>
    <row r="5" spans="1:26" x14ac:dyDescent="0.25">
      <c r="A5" s="1" t="s">
        <v>4</v>
      </c>
    </row>
    <row r="6" spans="1:26" x14ac:dyDescent="0.25">
      <c r="A6" s="1" t="s">
        <v>5</v>
      </c>
    </row>
    <row r="8" spans="1:26" x14ac:dyDescent="0.25">
      <c r="A8" s="1"/>
      <c r="B8" s="1"/>
      <c r="C8" s="1"/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  <c r="V8" s="1" t="s">
        <v>24</v>
      </c>
      <c r="W8" s="1" t="s">
        <v>25</v>
      </c>
      <c r="X8" s="1" t="s">
        <v>26</v>
      </c>
      <c r="Y8" s="1" t="s">
        <v>27</v>
      </c>
      <c r="Z8" s="1" t="s">
        <v>28</v>
      </c>
    </row>
    <row r="9" spans="1:26" x14ac:dyDescent="0.25">
      <c r="A9" s="1" t="s">
        <v>33</v>
      </c>
      <c r="B9" s="1" t="s">
        <v>34</v>
      </c>
      <c r="C9" s="1" t="s">
        <v>35</v>
      </c>
      <c r="D9" s="1" t="s">
        <v>327</v>
      </c>
      <c r="E9" s="1" t="s">
        <v>327</v>
      </c>
      <c r="F9" s="1" t="s">
        <v>327</v>
      </c>
      <c r="G9" s="1" t="s">
        <v>327</v>
      </c>
      <c r="H9" s="1" t="s">
        <v>327</v>
      </c>
      <c r="I9" s="1" t="s">
        <v>327</v>
      </c>
      <c r="J9" s="1" t="s">
        <v>327</v>
      </c>
      <c r="K9" s="1" t="s">
        <v>327</v>
      </c>
      <c r="L9" s="1" t="s">
        <v>327</v>
      </c>
      <c r="M9" s="1" t="s">
        <v>327</v>
      </c>
      <c r="N9" s="1" t="s">
        <v>327</v>
      </c>
      <c r="O9" s="1" t="s">
        <v>327</v>
      </c>
      <c r="P9" s="1" t="s">
        <v>327</v>
      </c>
      <c r="Q9" s="1" t="s">
        <v>327</v>
      </c>
      <c r="R9" s="1" t="s">
        <v>327</v>
      </c>
      <c r="S9" s="1" t="s">
        <v>327</v>
      </c>
      <c r="T9" s="1" t="s">
        <v>327</v>
      </c>
      <c r="U9" s="1" t="s">
        <v>327</v>
      </c>
      <c r="V9" s="1" t="s">
        <v>327</v>
      </c>
      <c r="W9" s="1" t="s">
        <v>327</v>
      </c>
      <c r="X9" s="1" t="s">
        <v>327</v>
      </c>
      <c r="Y9" s="1" t="s">
        <v>327</v>
      </c>
      <c r="Z9" s="1" t="s">
        <v>327</v>
      </c>
    </row>
    <row r="10" spans="1:26" x14ac:dyDescent="0.25">
      <c r="A10" t="s">
        <v>281</v>
      </c>
      <c r="B10" t="s">
        <v>282</v>
      </c>
      <c r="C10" t="s">
        <v>283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5">
      <c r="A11" t="s">
        <v>306</v>
      </c>
      <c r="B11" t="s">
        <v>307</v>
      </c>
      <c r="C11" t="s">
        <v>308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5">
      <c r="A12" t="s">
        <v>284</v>
      </c>
      <c r="B12" t="s">
        <v>285</v>
      </c>
      <c r="C12" t="s">
        <v>286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t="s">
        <v>288</v>
      </c>
      <c r="B13" t="s">
        <v>289</v>
      </c>
      <c r="C13" t="s">
        <v>290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t="s">
        <v>291</v>
      </c>
      <c r="B14" t="s">
        <v>292</v>
      </c>
      <c r="C14" t="s">
        <v>293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t="s">
        <v>294</v>
      </c>
      <c r="B15" t="s">
        <v>295</v>
      </c>
      <c r="C15" t="s">
        <v>296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25">
      <c r="A16" t="s">
        <v>297</v>
      </c>
      <c r="B16" t="s">
        <v>298</v>
      </c>
      <c r="C16" t="s">
        <v>299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5">
      <c r="A17" t="s">
        <v>300</v>
      </c>
      <c r="B17" t="s">
        <v>301</v>
      </c>
      <c r="C17" t="s">
        <v>302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t="s">
        <v>303</v>
      </c>
      <c r="B18" t="s">
        <v>304</v>
      </c>
      <c r="C18" t="s">
        <v>305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5">
      <c r="A19" t="s">
        <v>38</v>
      </c>
      <c r="B19" t="s">
        <v>39</v>
      </c>
      <c r="C19" t="s">
        <v>40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t="s">
        <v>41</v>
      </c>
      <c r="B20" t="s">
        <v>42</v>
      </c>
      <c r="C20" t="s">
        <v>43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t="s">
        <v>44</v>
      </c>
      <c r="B21" t="s">
        <v>45</v>
      </c>
      <c r="C21" t="s">
        <v>46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t="s">
        <v>47</v>
      </c>
      <c r="B22" t="s">
        <v>48</v>
      </c>
      <c r="C22" t="s">
        <v>49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t="s">
        <v>50</v>
      </c>
      <c r="B23" t="s">
        <v>51</v>
      </c>
      <c r="C23" t="s">
        <v>52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t="s">
        <v>53</v>
      </c>
      <c r="B24" t="s">
        <v>54</v>
      </c>
      <c r="C24" t="s">
        <v>55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t="s">
        <v>56</v>
      </c>
      <c r="B25" t="s">
        <v>57</v>
      </c>
      <c r="C25" t="s">
        <v>58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25">
      <c r="A26" t="s">
        <v>59</v>
      </c>
      <c r="B26" t="s">
        <v>60</v>
      </c>
      <c r="C26" t="s">
        <v>61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</row>
    <row r="27" spans="1:26" x14ac:dyDescent="0.25">
      <c r="A27" t="s">
        <v>62</v>
      </c>
      <c r="B27" t="s">
        <v>63</v>
      </c>
      <c r="C27" t="s">
        <v>64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t="s">
        <v>65</v>
      </c>
      <c r="B28" t="s">
        <v>66</v>
      </c>
      <c r="C28" t="s">
        <v>67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</row>
    <row r="29" spans="1:26" x14ac:dyDescent="0.25">
      <c r="A29" t="s">
        <v>68</v>
      </c>
      <c r="B29" t="s">
        <v>69</v>
      </c>
      <c r="C29" t="s">
        <v>70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</row>
    <row r="30" spans="1:26" x14ac:dyDescent="0.25">
      <c r="A30" t="s">
        <v>71</v>
      </c>
      <c r="B30" t="s">
        <v>72</v>
      </c>
      <c r="C30" t="s">
        <v>73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</row>
    <row r="31" spans="1:26" x14ac:dyDescent="0.25">
      <c r="A31" t="s">
        <v>74</v>
      </c>
      <c r="B31" t="s">
        <v>75</v>
      </c>
      <c r="C31" t="s">
        <v>76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</row>
    <row r="32" spans="1:26" x14ac:dyDescent="0.25">
      <c r="A32" t="s">
        <v>77</v>
      </c>
      <c r="B32" t="s">
        <v>78</v>
      </c>
      <c r="C32" t="s">
        <v>79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</row>
    <row r="33" spans="1:26" x14ac:dyDescent="0.25">
      <c r="A33" t="s">
        <v>81</v>
      </c>
      <c r="B33" t="s">
        <v>82</v>
      </c>
      <c r="C33" t="s">
        <v>83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</row>
    <row r="34" spans="1:26" x14ac:dyDescent="0.25">
      <c r="A34" t="s">
        <v>84</v>
      </c>
      <c r="B34" t="s">
        <v>85</v>
      </c>
      <c r="C34" t="s">
        <v>86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1:26" x14ac:dyDescent="0.25">
      <c r="A35" t="s">
        <v>87</v>
      </c>
      <c r="B35" t="s">
        <v>88</v>
      </c>
      <c r="C35" t="s">
        <v>89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</row>
    <row r="36" spans="1:26" x14ac:dyDescent="0.25">
      <c r="A36" t="s">
        <v>90</v>
      </c>
      <c r="B36" t="s">
        <v>91</v>
      </c>
      <c r="C36" t="s">
        <v>92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</row>
    <row r="37" spans="1:26" x14ac:dyDescent="0.25">
      <c r="A37" t="s">
        <v>93</v>
      </c>
      <c r="B37" t="s">
        <v>94</v>
      </c>
      <c r="C37" t="s">
        <v>95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</row>
    <row r="38" spans="1:26" x14ac:dyDescent="0.25">
      <c r="A38" t="s">
        <v>96</v>
      </c>
      <c r="B38" t="s">
        <v>97</v>
      </c>
      <c r="C38" t="s">
        <v>98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25">
      <c r="A39" t="s">
        <v>99</v>
      </c>
      <c r="B39" t="s">
        <v>100</v>
      </c>
      <c r="C39" t="s">
        <v>101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</row>
    <row r="40" spans="1:26" x14ac:dyDescent="0.25">
      <c r="A40" t="s">
        <v>102</v>
      </c>
      <c r="B40" t="s">
        <v>103</v>
      </c>
      <c r="C40" t="s">
        <v>104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</row>
    <row r="41" spans="1:26" x14ac:dyDescent="0.25">
      <c r="A41" t="s">
        <v>105</v>
      </c>
      <c r="B41" t="s">
        <v>106</v>
      </c>
      <c r="C41" t="s">
        <v>107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</row>
    <row r="42" spans="1:26" x14ac:dyDescent="0.25">
      <c r="A42" t="s">
        <v>108</v>
      </c>
      <c r="B42" t="s">
        <v>109</v>
      </c>
      <c r="C42" t="s">
        <v>110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</row>
    <row r="43" spans="1:26" x14ac:dyDescent="0.25">
      <c r="A43" t="s">
        <v>111</v>
      </c>
      <c r="B43" t="s">
        <v>112</v>
      </c>
      <c r="C43" t="s">
        <v>113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</row>
    <row r="44" spans="1:26" x14ac:dyDescent="0.25">
      <c r="A44" t="s">
        <v>114</v>
      </c>
      <c r="B44" t="s">
        <v>115</v>
      </c>
      <c r="C44" t="s">
        <v>116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</row>
    <row r="45" spans="1:26" x14ac:dyDescent="0.25">
      <c r="A45" t="s">
        <v>117</v>
      </c>
      <c r="B45" t="s">
        <v>118</v>
      </c>
      <c r="C45" t="s">
        <v>119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</row>
    <row r="46" spans="1:26" x14ac:dyDescent="0.25">
      <c r="A46" t="s">
        <v>120</v>
      </c>
      <c r="B46" t="s">
        <v>121</v>
      </c>
      <c r="C46" t="s">
        <v>122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</row>
    <row r="47" spans="1:26" x14ac:dyDescent="0.25">
      <c r="A47" t="s">
        <v>123</v>
      </c>
      <c r="B47" t="s">
        <v>124</v>
      </c>
      <c r="C47" t="s">
        <v>125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</row>
    <row r="48" spans="1:26" x14ac:dyDescent="0.25">
      <c r="A48" t="s">
        <v>127</v>
      </c>
      <c r="B48" t="s">
        <v>128</v>
      </c>
      <c r="C48" t="s">
        <v>129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</row>
    <row r="49" spans="1:26" x14ac:dyDescent="0.25">
      <c r="A49" t="s">
        <v>130</v>
      </c>
      <c r="B49" t="s">
        <v>131</v>
      </c>
      <c r="C49" t="s">
        <v>132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</row>
    <row r="50" spans="1:26" x14ac:dyDescent="0.25">
      <c r="A50" t="s">
        <v>133</v>
      </c>
      <c r="B50" t="s">
        <v>134</v>
      </c>
      <c r="C50" t="s">
        <v>135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</row>
    <row r="51" spans="1:26" x14ac:dyDescent="0.25">
      <c r="A51" t="s">
        <v>136</v>
      </c>
      <c r="B51" t="s">
        <v>137</v>
      </c>
      <c r="C51" t="s">
        <v>138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</row>
    <row r="52" spans="1:26" x14ac:dyDescent="0.25">
      <c r="A52" t="s">
        <v>139</v>
      </c>
      <c r="B52" t="s">
        <v>140</v>
      </c>
      <c r="C52" t="s">
        <v>141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</row>
    <row r="53" spans="1:26" x14ac:dyDescent="0.25">
      <c r="A53" t="s">
        <v>142</v>
      </c>
      <c r="B53" t="s">
        <v>143</v>
      </c>
      <c r="C53" t="s">
        <v>144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</row>
    <row r="54" spans="1:26" x14ac:dyDescent="0.25">
      <c r="A54" t="s">
        <v>145</v>
      </c>
      <c r="B54" t="s">
        <v>146</v>
      </c>
      <c r="C54" t="s">
        <v>147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</row>
    <row r="55" spans="1:26" x14ac:dyDescent="0.25">
      <c r="A55" t="s">
        <v>148</v>
      </c>
      <c r="B55" t="s">
        <v>149</v>
      </c>
      <c r="C55" t="s">
        <v>150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</row>
    <row r="56" spans="1:26" x14ac:dyDescent="0.25">
      <c r="A56" t="s">
        <v>151</v>
      </c>
      <c r="B56" t="s">
        <v>152</v>
      </c>
      <c r="C56" t="s">
        <v>153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</row>
    <row r="57" spans="1:26" x14ac:dyDescent="0.25">
      <c r="A57" t="s">
        <v>154</v>
      </c>
      <c r="B57" t="s">
        <v>155</v>
      </c>
      <c r="C57" t="s">
        <v>156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</row>
    <row r="58" spans="1:26" x14ac:dyDescent="0.25">
      <c r="A58" t="s">
        <v>157</v>
      </c>
      <c r="B58" t="s">
        <v>158</v>
      </c>
      <c r="C58" t="s">
        <v>159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</row>
    <row r="59" spans="1:26" x14ac:dyDescent="0.25">
      <c r="A59" t="s">
        <v>160</v>
      </c>
      <c r="B59" t="s">
        <v>161</v>
      </c>
      <c r="C59" t="s">
        <v>162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</row>
    <row r="60" spans="1:26" x14ac:dyDescent="0.25">
      <c r="A60" t="s">
        <v>163</v>
      </c>
      <c r="B60" t="s">
        <v>164</v>
      </c>
      <c r="C60" t="s">
        <v>165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</row>
    <row r="61" spans="1:26" x14ac:dyDescent="0.25">
      <c r="A61" t="s">
        <v>166</v>
      </c>
      <c r="B61" t="s">
        <v>167</v>
      </c>
      <c r="C61" t="s">
        <v>168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</row>
    <row r="62" spans="1:26" x14ac:dyDescent="0.25">
      <c r="A62" t="s">
        <v>169</v>
      </c>
      <c r="B62" t="s">
        <v>170</v>
      </c>
      <c r="C62" t="s">
        <v>171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</row>
    <row r="63" spans="1:26" x14ac:dyDescent="0.25">
      <c r="A63" t="s">
        <v>173</v>
      </c>
      <c r="B63" t="s">
        <v>174</v>
      </c>
      <c r="C63" t="s">
        <v>175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</row>
    <row r="64" spans="1:26" x14ac:dyDescent="0.25">
      <c r="A64" t="s">
        <v>176</v>
      </c>
      <c r="B64" t="s">
        <v>177</v>
      </c>
      <c r="C64" t="s">
        <v>178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</row>
    <row r="65" spans="1:26" x14ac:dyDescent="0.25">
      <c r="A65" t="s">
        <v>179</v>
      </c>
      <c r="B65" t="s">
        <v>180</v>
      </c>
      <c r="C65" t="s">
        <v>181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</row>
    <row r="66" spans="1:26" x14ac:dyDescent="0.25">
      <c r="A66" t="s">
        <v>182</v>
      </c>
      <c r="B66" t="s">
        <v>183</v>
      </c>
      <c r="C66" t="s">
        <v>184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</row>
    <row r="67" spans="1:26" x14ac:dyDescent="0.25">
      <c r="A67" t="s">
        <v>185</v>
      </c>
      <c r="B67" t="s">
        <v>186</v>
      </c>
      <c r="C67" t="s">
        <v>187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t="s">
        <v>188</v>
      </c>
      <c r="B68" t="s">
        <v>189</v>
      </c>
      <c r="C68" t="s">
        <v>190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</row>
    <row r="69" spans="1:26" x14ac:dyDescent="0.25">
      <c r="A69" t="s">
        <v>191</v>
      </c>
      <c r="B69" t="s">
        <v>192</v>
      </c>
      <c r="C69" t="s">
        <v>193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</row>
    <row r="70" spans="1:26" x14ac:dyDescent="0.25">
      <c r="A70" t="s">
        <v>194</v>
      </c>
      <c r="B70" t="s">
        <v>195</v>
      </c>
      <c r="C70" t="s">
        <v>196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</row>
    <row r="71" spans="1:26" x14ac:dyDescent="0.25">
      <c r="A71" t="s">
        <v>197</v>
      </c>
      <c r="B71" t="s">
        <v>198</v>
      </c>
      <c r="C71" t="s">
        <v>199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</row>
    <row r="72" spans="1:26" x14ac:dyDescent="0.25">
      <c r="A72" t="s">
        <v>200</v>
      </c>
      <c r="B72" t="s">
        <v>201</v>
      </c>
      <c r="C72" t="s">
        <v>202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</row>
    <row r="73" spans="1:26" x14ac:dyDescent="0.25">
      <c r="A73" t="s">
        <v>203</v>
      </c>
      <c r="B73" t="s">
        <v>204</v>
      </c>
      <c r="C73" t="s">
        <v>205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</row>
    <row r="74" spans="1:26" x14ac:dyDescent="0.25">
      <c r="A74" t="s">
        <v>206</v>
      </c>
      <c r="B74" t="s">
        <v>207</v>
      </c>
      <c r="C74" t="s">
        <v>208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</row>
    <row r="75" spans="1:26" x14ac:dyDescent="0.25">
      <c r="A75" t="s">
        <v>209</v>
      </c>
      <c r="B75" t="s">
        <v>210</v>
      </c>
      <c r="C75" t="s">
        <v>211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</row>
    <row r="76" spans="1:26" x14ac:dyDescent="0.25">
      <c r="A76" t="s">
        <v>212</v>
      </c>
      <c r="B76" t="s">
        <v>213</v>
      </c>
      <c r="C76" t="s">
        <v>214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</row>
    <row r="77" spans="1:26" x14ac:dyDescent="0.25">
      <c r="A77" t="s">
        <v>215</v>
      </c>
      <c r="B77" t="s">
        <v>216</v>
      </c>
      <c r="C77" t="s">
        <v>217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</row>
    <row r="78" spans="1:26" x14ac:dyDescent="0.25">
      <c r="A78" t="s">
        <v>219</v>
      </c>
      <c r="B78" t="s">
        <v>220</v>
      </c>
      <c r="C78" t="s">
        <v>221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</row>
    <row r="79" spans="1:26" x14ac:dyDescent="0.25">
      <c r="A79" t="s">
        <v>222</v>
      </c>
      <c r="B79" t="s">
        <v>223</v>
      </c>
      <c r="C79" t="s">
        <v>224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</row>
    <row r="80" spans="1:26" x14ac:dyDescent="0.25">
      <c r="A80" t="s">
        <v>225</v>
      </c>
      <c r="B80" t="s">
        <v>226</v>
      </c>
      <c r="C80" t="s">
        <v>227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</row>
    <row r="81" spans="1:26" x14ac:dyDescent="0.25">
      <c r="A81" t="s">
        <v>228</v>
      </c>
      <c r="B81" t="s">
        <v>229</v>
      </c>
      <c r="C81" t="s">
        <v>230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</row>
    <row r="82" spans="1:26" x14ac:dyDescent="0.25">
      <c r="A82" t="s">
        <v>231</v>
      </c>
      <c r="B82" t="s">
        <v>232</v>
      </c>
      <c r="C82" t="s">
        <v>233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</row>
    <row r="83" spans="1:26" x14ac:dyDescent="0.25">
      <c r="A83" t="s">
        <v>234</v>
      </c>
      <c r="B83" t="s">
        <v>235</v>
      </c>
      <c r="C83" t="s">
        <v>236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</row>
    <row r="84" spans="1:26" x14ac:dyDescent="0.25">
      <c r="A84" t="s">
        <v>237</v>
      </c>
      <c r="B84" t="s">
        <v>238</v>
      </c>
      <c r="C84" t="s">
        <v>239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</row>
    <row r="85" spans="1:26" x14ac:dyDescent="0.25">
      <c r="A85" t="s">
        <v>240</v>
      </c>
      <c r="B85" t="s">
        <v>241</v>
      </c>
      <c r="C85" t="s">
        <v>242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</row>
    <row r="86" spans="1:26" x14ac:dyDescent="0.25">
      <c r="A86" t="s">
        <v>243</v>
      </c>
      <c r="B86" t="s">
        <v>244</v>
      </c>
      <c r="C86" t="s">
        <v>245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</row>
    <row r="87" spans="1:26" x14ac:dyDescent="0.25">
      <c r="A87" t="s">
        <v>246</v>
      </c>
      <c r="B87" t="s">
        <v>247</v>
      </c>
      <c r="C87" t="s">
        <v>248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</row>
    <row r="88" spans="1:26" x14ac:dyDescent="0.25">
      <c r="A88" t="s">
        <v>249</v>
      </c>
      <c r="B88" t="s">
        <v>250</v>
      </c>
      <c r="C88" t="s">
        <v>251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</row>
    <row r="89" spans="1:26" x14ac:dyDescent="0.25">
      <c r="A89" t="s">
        <v>252</v>
      </c>
      <c r="B89" t="s">
        <v>253</v>
      </c>
      <c r="C89" t="s">
        <v>254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</row>
    <row r="90" spans="1:26" x14ac:dyDescent="0.25">
      <c r="A90" t="s">
        <v>255</v>
      </c>
      <c r="B90" t="s">
        <v>256</v>
      </c>
      <c r="C90" t="s">
        <v>257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</row>
    <row r="91" spans="1:26" x14ac:dyDescent="0.25">
      <c r="A91" t="s">
        <v>258</v>
      </c>
      <c r="B91" t="s">
        <v>259</v>
      </c>
      <c r="C91" t="s">
        <v>260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</row>
    <row r="92" spans="1:26" x14ac:dyDescent="0.25">
      <c r="A92" t="s">
        <v>261</v>
      </c>
      <c r="B92" t="s">
        <v>262</v>
      </c>
      <c r="C92" t="s">
        <v>263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</row>
    <row r="93" spans="1:26" x14ac:dyDescent="0.25">
      <c r="A93" t="s">
        <v>265</v>
      </c>
      <c r="B93" t="s">
        <v>266</v>
      </c>
      <c r="C93" t="s">
        <v>267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</row>
    <row r="94" spans="1:26" x14ac:dyDescent="0.25">
      <c r="A94" t="s">
        <v>268</v>
      </c>
      <c r="B94" t="s">
        <v>269</v>
      </c>
      <c r="C94" t="s">
        <v>270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</row>
    <row r="95" spans="1:26" x14ac:dyDescent="0.25">
      <c r="A95" t="s">
        <v>271</v>
      </c>
      <c r="B95" t="s">
        <v>272</v>
      </c>
      <c r="C95" t="s">
        <v>273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</row>
    <row r="96" spans="1:26" x14ac:dyDescent="0.25">
      <c r="A96" t="s">
        <v>274</v>
      </c>
      <c r="B96" t="s">
        <v>275</v>
      </c>
      <c r="C96" t="s">
        <v>276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</row>
    <row r="97" spans="1:26" x14ac:dyDescent="0.25">
      <c r="A97" t="s">
        <v>277</v>
      </c>
      <c r="B97" t="s">
        <v>278</v>
      </c>
      <c r="C97" t="s">
        <v>279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</row>
    <row r="99" spans="1:26" x14ac:dyDescent="0.25">
      <c r="A99" t="s">
        <v>310</v>
      </c>
    </row>
    <row r="100" spans="1:26" x14ac:dyDescent="0.25">
      <c r="A100" t="s">
        <v>311</v>
      </c>
    </row>
    <row r="101" spans="1:26" x14ac:dyDescent="0.25">
      <c r="A101" t="s">
        <v>312</v>
      </c>
    </row>
    <row r="102" spans="1:26" x14ac:dyDescent="0.25">
      <c r="A102" t="s">
        <v>313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3"/>
  <sheetViews>
    <sheetView topLeftCell="A8" workbookViewId="0"/>
  </sheetViews>
  <sheetFormatPr defaultColWidth="8.85546875" defaultRowHeight="15" x14ac:dyDescent="0.25"/>
  <cols>
    <col min="1" max="1" width="81.7109375" customWidth="1"/>
    <col min="3" max="3" width="81.7109375" customWidth="1"/>
  </cols>
  <sheetData>
    <row r="1" spans="1:3" ht="216" customHeight="1" x14ac:dyDescent="0.25"/>
    <row r="4" spans="1:3" x14ac:dyDescent="0.25">
      <c r="A4" s="2" t="s">
        <v>328</v>
      </c>
      <c r="C4" s="2" t="s">
        <v>328</v>
      </c>
    </row>
    <row r="5" spans="1:3" x14ac:dyDescent="0.25">
      <c r="A5" s="2" t="s">
        <v>329</v>
      </c>
      <c r="C5" s="2" t="s">
        <v>330</v>
      </c>
    </row>
    <row r="6" spans="1:3" x14ac:dyDescent="0.25">
      <c r="A6" s="2" t="s">
        <v>331</v>
      </c>
      <c r="C6" s="2" t="s">
        <v>332</v>
      </c>
    </row>
    <row r="8" spans="1:3" ht="216" customHeight="1" x14ac:dyDescent="0.25"/>
    <row r="11" spans="1:3" x14ac:dyDescent="0.25">
      <c r="A11" s="2" t="s">
        <v>328</v>
      </c>
      <c r="C11" s="2" t="s">
        <v>328</v>
      </c>
    </row>
    <row r="12" spans="1:3" x14ac:dyDescent="0.25">
      <c r="A12" s="2" t="s">
        <v>333</v>
      </c>
      <c r="C12" s="2" t="s">
        <v>334</v>
      </c>
    </row>
    <row r="13" spans="1:3" x14ac:dyDescent="0.25">
      <c r="A13" s="2" t="s">
        <v>335</v>
      </c>
      <c r="C13" s="2" t="s">
        <v>336</v>
      </c>
    </row>
    <row r="15" spans="1:3" ht="216" customHeight="1" x14ac:dyDescent="0.25"/>
    <row r="18" spans="1:3" x14ac:dyDescent="0.25">
      <c r="A18" s="2" t="s">
        <v>328</v>
      </c>
      <c r="C18" s="2" t="s">
        <v>328</v>
      </c>
    </row>
    <row r="19" spans="1:3" x14ac:dyDescent="0.25">
      <c r="A19" s="2" t="s">
        <v>337</v>
      </c>
      <c r="C19" s="2" t="s">
        <v>338</v>
      </c>
    </row>
    <row r="20" spans="1:3" x14ac:dyDescent="0.25">
      <c r="A20" s="2" t="s">
        <v>339</v>
      </c>
      <c r="C20" s="2" t="s">
        <v>340</v>
      </c>
    </row>
    <row r="22" spans="1:3" ht="216" customHeight="1" x14ac:dyDescent="0.25"/>
    <row r="25" spans="1:3" x14ac:dyDescent="0.25">
      <c r="A25" s="2" t="s">
        <v>328</v>
      </c>
      <c r="C25" s="2" t="s">
        <v>328</v>
      </c>
    </row>
    <row r="26" spans="1:3" x14ac:dyDescent="0.25">
      <c r="A26" s="2" t="s">
        <v>341</v>
      </c>
      <c r="C26" s="2" t="s">
        <v>342</v>
      </c>
    </row>
    <row r="27" spans="1:3" x14ac:dyDescent="0.25">
      <c r="A27" s="2" t="s">
        <v>343</v>
      </c>
      <c r="C27" s="2" t="s">
        <v>344</v>
      </c>
    </row>
    <row r="29" spans="1:3" ht="216" customHeight="1" x14ac:dyDescent="0.25"/>
    <row r="32" spans="1:3" x14ac:dyDescent="0.25">
      <c r="A32" s="2" t="s">
        <v>328</v>
      </c>
      <c r="C32" s="2" t="s">
        <v>328</v>
      </c>
    </row>
    <row r="33" spans="1:3" x14ac:dyDescent="0.25">
      <c r="A33" s="2" t="s">
        <v>345</v>
      </c>
      <c r="C33" s="2" t="s">
        <v>346</v>
      </c>
    </row>
    <row r="34" spans="1:3" x14ac:dyDescent="0.25">
      <c r="A34" s="2" t="s">
        <v>347</v>
      </c>
      <c r="C34" s="2" t="s">
        <v>348</v>
      </c>
    </row>
    <row r="36" spans="1:3" ht="216" customHeight="1" x14ac:dyDescent="0.25"/>
    <row r="39" spans="1:3" x14ac:dyDescent="0.25">
      <c r="A39" s="2" t="s">
        <v>328</v>
      </c>
      <c r="C39" s="2" t="s">
        <v>328</v>
      </c>
    </row>
    <row r="40" spans="1:3" x14ac:dyDescent="0.25">
      <c r="A40" s="2" t="s">
        <v>349</v>
      </c>
      <c r="C40" s="2" t="s">
        <v>350</v>
      </c>
    </row>
    <row r="41" spans="1:3" x14ac:dyDescent="0.25">
      <c r="A41" s="2" t="s">
        <v>351</v>
      </c>
      <c r="C41" s="2" t="s">
        <v>352</v>
      </c>
    </row>
    <row r="43" spans="1:3" ht="216" customHeight="1" x14ac:dyDescent="0.25"/>
    <row r="46" spans="1:3" x14ac:dyDescent="0.25">
      <c r="A46" s="2" t="s">
        <v>328</v>
      </c>
      <c r="C46" s="2" t="s">
        <v>328</v>
      </c>
    </row>
    <row r="47" spans="1:3" x14ac:dyDescent="0.25">
      <c r="A47" s="2" t="s">
        <v>353</v>
      </c>
      <c r="C47" s="2" t="s">
        <v>354</v>
      </c>
    </row>
    <row r="48" spans="1:3" x14ac:dyDescent="0.25">
      <c r="A48" s="2" t="s">
        <v>355</v>
      </c>
      <c r="C48" s="2" t="s">
        <v>356</v>
      </c>
    </row>
    <row r="50" spans="1:3" ht="216" customHeight="1" x14ac:dyDescent="0.25"/>
    <row r="53" spans="1:3" x14ac:dyDescent="0.25">
      <c r="A53" s="2" t="s">
        <v>328</v>
      </c>
      <c r="C53" s="2" t="s">
        <v>328</v>
      </c>
    </row>
    <row r="54" spans="1:3" x14ac:dyDescent="0.25">
      <c r="A54" s="2" t="s">
        <v>357</v>
      </c>
      <c r="C54" s="2" t="s">
        <v>358</v>
      </c>
    </row>
    <row r="55" spans="1:3" x14ac:dyDescent="0.25">
      <c r="A55" s="2" t="s">
        <v>359</v>
      </c>
      <c r="C55" s="2" t="s">
        <v>360</v>
      </c>
    </row>
    <row r="57" spans="1:3" ht="216" customHeight="1" x14ac:dyDescent="0.25"/>
    <row r="60" spans="1:3" x14ac:dyDescent="0.25">
      <c r="A60" s="2" t="s">
        <v>328</v>
      </c>
      <c r="C60" s="2" t="s">
        <v>328</v>
      </c>
    </row>
    <row r="61" spans="1:3" x14ac:dyDescent="0.25">
      <c r="A61" s="2" t="s">
        <v>361</v>
      </c>
      <c r="C61" s="2" t="s">
        <v>362</v>
      </c>
    </row>
    <row r="62" spans="1:3" x14ac:dyDescent="0.25">
      <c r="A62" s="2" t="s">
        <v>363</v>
      </c>
      <c r="C62" s="2" t="s">
        <v>364</v>
      </c>
    </row>
    <row r="64" spans="1:3" ht="216" customHeight="1" x14ac:dyDescent="0.25"/>
    <row r="67" spans="1:3" x14ac:dyDescent="0.25">
      <c r="A67" s="2" t="s">
        <v>328</v>
      </c>
      <c r="C67" s="2" t="s">
        <v>328</v>
      </c>
    </row>
    <row r="68" spans="1:3" x14ac:dyDescent="0.25">
      <c r="A68" s="2" t="s">
        <v>365</v>
      </c>
      <c r="C68" s="2" t="s">
        <v>366</v>
      </c>
    </row>
    <row r="69" spans="1:3" x14ac:dyDescent="0.25">
      <c r="A69" s="2" t="s">
        <v>367</v>
      </c>
      <c r="C69" s="2" t="s">
        <v>368</v>
      </c>
    </row>
    <row r="71" spans="1:3" ht="216" customHeight="1" x14ac:dyDescent="0.25"/>
    <row r="74" spans="1:3" x14ac:dyDescent="0.25">
      <c r="A74" s="2" t="s">
        <v>328</v>
      </c>
      <c r="C74" s="2" t="s">
        <v>328</v>
      </c>
    </row>
    <row r="75" spans="1:3" x14ac:dyDescent="0.25">
      <c r="A75" s="2" t="s">
        <v>369</v>
      </c>
      <c r="C75" s="2" t="s">
        <v>370</v>
      </c>
    </row>
    <row r="76" spans="1:3" x14ac:dyDescent="0.25">
      <c r="A76" s="2" t="s">
        <v>371</v>
      </c>
      <c r="C76" s="2" t="s">
        <v>372</v>
      </c>
    </row>
    <row r="78" spans="1:3" ht="216" customHeight="1" x14ac:dyDescent="0.25"/>
    <row r="81" spans="1:1" x14ac:dyDescent="0.25">
      <c r="A81" s="2" t="s">
        <v>328</v>
      </c>
    </row>
    <row r="82" spans="1:1" x14ac:dyDescent="0.25">
      <c r="A82" s="2" t="s">
        <v>373</v>
      </c>
    </row>
    <row r="83" spans="1:1" x14ac:dyDescent="0.25">
      <c r="A83" s="2" t="s">
        <v>374</v>
      </c>
    </row>
  </sheetData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7397D2-70E1-4E8E-92A7-F862E02639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8A1EF8-5018-4FB8-9457-BA131082D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991220-B392-4B38-BC8D-FA414EF296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Obs Conc- use this tab</vt:lpstr>
      <vt:lpstr>Data_Reordered</vt:lpstr>
      <vt:lpstr>FI</vt:lpstr>
      <vt:lpstr>Detectability Limits</vt:lpstr>
      <vt:lpstr>FI - Bkgd</vt:lpstr>
      <vt:lpstr>Std Dev</vt:lpstr>
      <vt:lpstr>%CV</vt:lpstr>
      <vt:lpstr>Conc in Range</vt:lpstr>
      <vt:lpstr>Exp Conc</vt:lpstr>
      <vt:lpstr>(Obs Exp) X 100</vt:lpstr>
      <vt:lpstr>Dilution</vt:lpstr>
      <vt:lpstr>Standard 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Suresh, Ramakrishna</cp:lastModifiedBy>
  <cp:revision/>
  <dcterms:created xsi:type="dcterms:W3CDTF">2022-12-14T20:41:16Z</dcterms:created>
  <dcterms:modified xsi:type="dcterms:W3CDTF">2025-03-04T20:21:02Z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