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36" documentId="8_{4E985165-6FEE-2243-B031-FD0E4EEBE532}" xr6:coauthVersionLast="47" xr6:coauthVersionMax="47" xr10:uidLastSave="{70CA5A64-FF50-4AC6-883D-4E4EC77B1D24}"/>
  <bookViews>
    <workbookView xWindow="-120" yWindow="-120" windowWidth="29040" windowHeight="15720" activeTab="2" xr2:uid="{6FAA88CD-9C3E-413F-BBAA-D3E964E581C1}"/>
  </bookViews>
  <sheets>
    <sheet name="BW data" sheetId="1" r:id="rId1"/>
    <sheet name="BAL protein" sheetId="2" r:id="rId2"/>
    <sheet name="Data_Reordered_BW" sheetId="3" r:id="rId3"/>
    <sheet name="Data_Reordered_BAL_protein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5" i="1" l="1"/>
  <c r="T97" i="2"/>
  <c r="U97" i="2" s="1"/>
  <c r="T96" i="2"/>
  <c r="U96" i="2" s="1"/>
  <c r="T95" i="2"/>
  <c r="U95" i="2" s="1"/>
  <c r="T94" i="2"/>
  <c r="U94" i="2" s="1"/>
  <c r="T93" i="2"/>
  <c r="U93" i="2" s="1"/>
  <c r="T92" i="2"/>
  <c r="U92" i="2" s="1"/>
  <c r="T91" i="2"/>
  <c r="U91" i="2" s="1"/>
  <c r="T90" i="2"/>
  <c r="U90" i="2" s="1"/>
  <c r="T89" i="2"/>
  <c r="U89" i="2" s="1"/>
  <c r="T88" i="2"/>
  <c r="U88" i="2" s="1"/>
  <c r="T87" i="2"/>
  <c r="U87" i="2" s="1"/>
  <c r="T86" i="2"/>
  <c r="U86" i="2" s="1"/>
  <c r="T85" i="2"/>
  <c r="U85" i="2" s="1"/>
  <c r="T84" i="2"/>
  <c r="U84" i="2" s="1"/>
  <c r="T83" i="2"/>
  <c r="U83" i="2" s="1"/>
  <c r="T82" i="2"/>
  <c r="U82" i="2" s="1"/>
  <c r="T81" i="2"/>
  <c r="U81" i="2" s="1"/>
  <c r="T80" i="2"/>
  <c r="U80" i="2" s="1"/>
  <c r="T79" i="2"/>
  <c r="U79" i="2" s="1"/>
  <c r="T78" i="2"/>
  <c r="U78" i="2" s="1"/>
  <c r="T77" i="2"/>
  <c r="U77" i="2" s="1"/>
  <c r="T76" i="2"/>
  <c r="U76" i="2" s="1"/>
  <c r="T75" i="2"/>
  <c r="U75" i="2" s="1"/>
  <c r="T74" i="2"/>
  <c r="U74" i="2" s="1"/>
  <c r="T73" i="2"/>
  <c r="U73" i="2" s="1"/>
  <c r="T72" i="2"/>
  <c r="U72" i="2" s="1"/>
  <c r="T71" i="2"/>
  <c r="U71" i="2" s="1"/>
  <c r="T70" i="2"/>
  <c r="U70" i="2" s="1"/>
  <c r="T69" i="2"/>
  <c r="U69" i="2" s="1"/>
  <c r="T68" i="2"/>
  <c r="U68" i="2" s="1"/>
  <c r="T67" i="2"/>
  <c r="U67" i="2" s="1"/>
  <c r="T66" i="2"/>
  <c r="U66" i="2" s="1"/>
  <c r="T65" i="2"/>
  <c r="U65" i="2" s="1"/>
  <c r="T64" i="2"/>
  <c r="U64" i="2" s="1"/>
  <c r="T63" i="2"/>
  <c r="U63" i="2" s="1"/>
  <c r="T62" i="2"/>
  <c r="U62" i="2" s="1"/>
  <c r="T61" i="2"/>
  <c r="U61" i="2" s="1"/>
  <c r="T60" i="2"/>
  <c r="U60" i="2" s="1"/>
  <c r="T59" i="2"/>
  <c r="U59" i="2" s="1"/>
  <c r="T58" i="2"/>
  <c r="U58" i="2" s="1"/>
  <c r="T57" i="2"/>
  <c r="U57" i="2" s="1"/>
  <c r="T56" i="2"/>
  <c r="U56" i="2" s="1"/>
  <c r="V69" i="2" s="1"/>
  <c r="T55" i="2"/>
  <c r="U55" i="2" s="1"/>
  <c r="T54" i="2"/>
  <c r="U54" i="2" s="1"/>
  <c r="T53" i="2"/>
  <c r="U53" i="2" s="1"/>
  <c r="T52" i="2"/>
  <c r="U52" i="2" s="1"/>
  <c r="T51" i="2"/>
  <c r="U51" i="2" s="1"/>
  <c r="T50" i="2"/>
  <c r="U50" i="2" s="1"/>
  <c r="T49" i="2"/>
  <c r="U49" i="2" s="1"/>
  <c r="T48" i="2"/>
  <c r="U48" i="2" s="1"/>
  <c r="T47" i="2"/>
  <c r="U47" i="2" s="1"/>
  <c r="T46" i="2"/>
  <c r="U46" i="2" s="1"/>
  <c r="T45" i="2"/>
  <c r="U45" i="2" s="1"/>
  <c r="T44" i="2"/>
  <c r="U44" i="2" s="1"/>
  <c r="T43" i="2"/>
  <c r="U43" i="2" s="1"/>
  <c r="T42" i="2"/>
  <c r="U42" i="2" s="1"/>
  <c r="T41" i="2"/>
  <c r="U41" i="2" s="1"/>
  <c r="T40" i="2"/>
  <c r="U40" i="2" s="1"/>
  <c r="T39" i="2"/>
  <c r="U39" i="2" s="1"/>
  <c r="T38" i="2"/>
  <c r="U38" i="2" s="1"/>
  <c r="T37" i="2"/>
  <c r="U37" i="2" s="1"/>
  <c r="T36" i="2"/>
  <c r="U36" i="2" s="1"/>
  <c r="T35" i="2"/>
  <c r="U35" i="2" s="1"/>
  <c r="T34" i="2"/>
  <c r="U34" i="2" s="1"/>
  <c r="T33" i="2"/>
  <c r="U33" i="2" s="1"/>
  <c r="T32" i="2"/>
  <c r="U32" i="2" s="1"/>
  <c r="T31" i="2"/>
  <c r="U31" i="2" s="1"/>
  <c r="T30" i="2"/>
  <c r="U30" i="2" s="1"/>
  <c r="T29" i="2"/>
  <c r="U29" i="2" s="1"/>
  <c r="T28" i="2"/>
  <c r="U28" i="2" s="1"/>
  <c r="T27" i="2"/>
  <c r="U27" i="2" s="1"/>
  <c r="T26" i="2"/>
  <c r="U26" i="2" s="1"/>
  <c r="T25" i="2"/>
  <c r="U25" i="2" s="1"/>
  <c r="T24" i="2"/>
  <c r="U24" i="2" s="1"/>
  <c r="T23" i="2"/>
  <c r="U23" i="2" s="1"/>
  <c r="T22" i="2"/>
  <c r="U22" i="2" s="1"/>
  <c r="T21" i="2"/>
  <c r="U21" i="2" s="1"/>
  <c r="T20" i="2"/>
  <c r="U20" i="2" s="1"/>
  <c r="T19" i="2"/>
  <c r="U19" i="2" s="1"/>
  <c r="T18" i="2"/>
  <c r="U18" i="2" s="1"/>
  <c r="T17" i="2"/>
  <c r="U17" i="2" s="1"/>
  <c r="T16" i="2"/>
  <c r="U16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T7" i="2"/>
  <c r="U7" i="2" s="1"/>
  <c r="T6" i="2"/>
  <c r="U6" i="2" s="1"/>
  <c r="T5" i="2"/>
  <c r="U5" i="2" s="1"/>
  <c r="T4" i="2"/>
  <c r="U4" i="2" s="1"/>
  <c r="V54" i="2" l="1"/>
  <c r="W69" i="2"/>
  <c r="W97" i="2"/>
  <c r="W40" i="2"/>
  <c r="W54" i="2"/>
  <c r="V25" i="2"/>
  <c r="W83" i="2"/>
  <c r="V83" i="2"/>
  <c r="V40" i="2"/>
  <c r="V97" i="2"/>
  <c r="J191" i="1" l="1"/>
  <c r="S191" i="1" s="1"/>
  <c r="J190" i="1"/>
  <c r="S190" i="1" s="1"/>
  <c r="J189" i="1"/>
  <c r="S189" i="1" s="1"/>
  <c r="J188" i="1"/>
  <c r="S188" i="1" s="1"/>
  <c r="J187" i="1"/>
  <c r="S187" i="1" s="1"/>
  <c r="J186" i="1"/>
  <c r="S186" i="1" s="1"/>
  <c r="J185" i="1"/>
  <c r="S185" i="1" s="1"/>
  <c r="J184" i="1"/>
  <c r="S184" i="1" s="1"/>
  <c r="J183" i="1"/>
  <c r="S183" i="1" s="1"/>
  <c r="J182" i="1"/>
  <c r="S182" i="1" s="1"/>
  <c r="J181" i="1"/>
  <c r="S181" i="1" s="1"/>
  <c r="J180" i="1"/>
  <c r="S180" i="1" s="1"/>
  <c r="J179" i="1"/>
  <c r="S179" i="1" s="1"/>
  <c r="J178" i="1"/>
  <c r="S178" i="1" s="1"/>
  <c r="J177" i="1"/>
  <c r="S177" i="1" s="1"/>
  <c r="J176" i="1"/>
  <c r="S176" i="1" s="1"/>
  <c r="J175" i="1"/>
  <c r="S175" i="1" s="1"/>
  <c r="J174" i="1"/>
  <c r="S174" i="1" s="1"/>
  <c r="J173" i="1"/>
  <c r="S173" i="1" s="1"/>
  <c r="J172" i="1"/>
  <c r="S172" i="1" s="1"/>
  <c r="J171" i="1"/>
  <c r="S171" i="1" s="1"/>
  <c r="J170" i="1"/>
  <c r="S170" i="1" s="1"/>
  <c r="J169" i="1"/>
  <c r="S169" i="1" s="1"/>
  <c r="J168" i="1"/>
  <c r="S168" i="1" s="1"/>
  <c r="J167" i="1"/>
  <c r="S167" i="1" s="1"/>
  <c r="J166" i="1"/>
  <c r="S166" i="1" s="1"/>
  <c r="J165" i="1"/>
  <c r="S165" i="1" s="1"/>
  <c r="J164" i="1"/>
  <c r="S164" i="1" s="1"/>
  <c r="J163" i="1"/>
  <c r="S163" i="1" s="1"/>
  <c r="J162" i="1"/>
  <c r="S162" i="1" s="1"/>
  <c r="J161" i="1"/>
  <c r="S161" i="1" s="1"/>
  <c r="J160" i="1"/>
  <c r="S160" i="1" s="1"/>
  <c r="J159" i="1"/>
  <c r="S159" i="1" s="1"/>
  <c r="J158" i="1"/>
  <c r="S158" i="1" s="1"/>
  <c r="J157" i="1"/>
  <c r="S157" i="1" s="1"/>
  <c r="J156" i="1"/>
  <c r="S156" i="1" s="1"/>
  <c r="J155" i="1"/>
  <c r="S155" i="1" s="1"/>
  <c r="J154" i="1"/>
  <c r="S154" i="1" s="1"/>
  <c r="J153" i="1"/>
  <c r="S153" i="1" s="1"/>
  <c r="J152" i="1"/>
  <c r="S152" i="1" s="1"/>
  <c r="J151" i="1"/>
  <c r="S151" i="1" s="1"/>
  <c r="J150" i="1"/>
  <c r="S150" i="1" s="1"/>
  <c r="J149" i="1"/>
  <c r="S149" i="1" s="1"/>
  <c r="J148" i="1"/>
  <c r="S148" i="1" s="1"/>
  <c r="J147" i="1"/>
  <c r="S147" i="1" s="1"/>
  <c r="J146" i="1"/>
  <c r="S146" i="1" s="1"/>
  <c r="J145" i="1"/>
  <c r="S145" i="1" s="1"/>
  <c r="J144" i="1"/>
  <c r="S144" i="1" s="1"/>
  <c r="J143" i="1"/>
  <c r="S143" i="1" s="1"/>
  <c r="J142" i="1"/>
  <c r="S142" i="1" s="1"/>
  <c r="J141" i="1"/>
  <c r="S141" i="1" s="1"/>
  <c r="J140" i="1"/>
  <c r="S140" i="1" s="1"/>
  <c r="J139" i="1"/>
  <c r="S139" i="1" s="1"/>
  <c r="J138" i="1"/>
  <c r="S138" i="1" s="1"/>
  <c r="J137" i="1"/>
  <c r="S137" i="1" s="1"/>
  <c r="J136" i="1"/>
  <c r="S136" i="1" s="1"/>
  <c r="J135" i="1"/>
  <c r="S135" i="1" s="1"/>
  <c r="J134" i="1"/>
  <c r="S134" i="1" s="1"/>
  <c r="J133" i="1"/>
  <c r="S133" i="1" s="1"/>
  <c r="J132" i="1"/>
  <c r="S132" i="1" s="1"/>
  <c r="J131" i="1"/>
  <c r="S131" i="1" s="1"/>
  <c r="J130" i="1"/>
  <c r="S130" i="1" s="1"/>
  <c r="J129" i="1"/>
  <c r="S129" i="1" s="1"/>
  <c r="J128" i="1"/>
  <c r="S128" i="1" s="1"/>
  <c r="J127" i="1"/>
  <c r="S127" i="1" s="1"/>
  <c r="J126" i="1"/>
  <c r="S126" i="1" s="1"/>
  <c r="J125" i="1"/>
  <c r="S125" i="1" s="1"/>
  <c r="J124" i="1"/>
  <c r="S124" i="1" s="1"/>
  <c r="J123" i="1"/>
  <c r="S123" i="1" s="1"/>
  <c r="J122" i="1"/>
  <c r="S122" i="1" s="1"/>
  <c r="J121" i="1"/>
  <c r="S121" i="1" s="1"/>
  <c r="J120" i="1"/>
  <c r="S120" i="1" s="1"/>
  <c r="J119" i="1"/>
  <c r="S119" i="1" s="1"/>
  <c r="J118" i="1"/>
  <c r="S118" i="1" s="1"/>
  <c r="J117" i="1"/>
  <c r="S117" i="1" s="1"/>
  <c r="J116" i="1"/>
  <c r="S116" i="1" s="1"/>
  <c r="J115" i="1"/>
  <c r="S115" i="1" s="1"/>
  <c r="J114" i="1"/>
  <c r="S114" i="1" s="1"/>
  <c r="J113" i="1"/>
  <c r="S113" i="1" s="1"/>
  <c r="J112" i="1"/>
  <c r="S112" i="1" s="1"/>
  <c r="J111" i="1"/>
  <c r="S111" i="1" s="1"/>
  <c r="J110" i="1"/>
  <c r="S110" i="1" s="1"/>
  <c r="J109" i="1"/>
  <c r="S109" i="1" s="1"/>
  <c r="J108" i="1"/>
  <c r="S108" i="1" s="1"/>
  <c r="J107" i="1"/>
  <c r="S107" i="1" s="1"/>
  <c r="J106" i="1"/>
  <c r="S106" i="1" s="1"/>
  <c r="J105" i="1"/>
  <c r="S105" i="1" s="1"/>
  <c r="J104" i="1"/>
  <c r="S104" i="1" s="1"/>
  <c r="J103" i="1"/>
  <c r="S103" i="1" s="1"/>
  <c r="J102" i="1"/>
  <c r="S102" i="1" s="1"/>
  <c r="I191" i="1"/>
  <c r="R191" i="1" s="1"/>
  <c r="I190" i="1"/>
  <c r="R190" i="1" s="1"/>
  <c r="I189" i="1"/>
  <c r="R189" i="1" s="1"/>
  <c r="I188" i="1"/>
  <c r="R188" i="1" s="1"/>
  <c r="I187" i="1"/>
  <c r="R187" i="1" s="1"/>
  <c r="I186" i="1"/>
  <c r="R186" i="1" s="1"/>
  <c r="I185" i="1"/>
  <c r="R185" i="1" s="1"/>
  <c r="I184" i="1"/>
  <c r="R184" i="1" s="1"/>
  <c r="I183" i="1"/>
  <c r="R183" i="1" s="1"/>
  <c r="I182" i="1"/>
  <c r="R182" i="1" s="1"/>
  <c r="I181" i="1"/>
  <c r="R181" i="1" s="1"/>
  <c r="I180" i="1"/>
  <c r="R180" i="1" s="1"/>
  <c r="I179" i="1"/>
  <c r="R179" i="1" s="1"/>
  <c r="I178" i="1"/>
  <c r="R178" i="1" s="1"/>
  <c r="I177" i="1"/>
  <c r="R177" i="1" s="1"/>
  <c r="I176" i="1"/>
  <c r="R176" i="1" s="1"/>
  <c r="I175" i="1"/>
  <c r="R175" i="1" s="1"/>
  <c r="I174" i="1"/>
  <c r="R174" i="1" s="1"/>
  <c r="I173" i="1"/>
  <c r="R173" i="1" s="1"/>
  <c r="I172" i="1"/>
  <c r="R172" i="1" s="1"/>
  <c r="I171" i="1"/>
  <c r="R171" i="1" s="1"/>
  <c r="I170" i="1"/>
  <c r="R170" i="1" s="1"/>
  <c r="I169" i="1"/>
  <c r="R169" i="1" s="1"/>
  <c r="I168" i="1"/>
  <c r="R168" i="1" s="1"/>
  <c r="I167" i="1"/>
  <c r="R167" i="1" s="1"/>
  <c r="I166" i="1"/>
  <c r="R166" i="1" s="1"/>
  <c r="I165" i="1"/>
  <c r="R165" i="1" s="1"/>
  <c r="I164" i="1"/>
  <c r="R164" i="1" s="1"/>
  <c r="I163" i="1"/>
  <c r="R163" i="1" s="1"/>
  <c r="I162" i="1"/>
  <c r="R162" i="1" s="1"/>
  <c r="I161" i="1"/>
  <c r="R161" i="1" s="1"/>
  <c r="I160" i="1"/>
  <c r="R160" i="1" s="1"/>
  <c r="I159" i="1"/>
  <c r="R159" i="1" s="1"/>
  <c r="I158" i="1"/>
  <c r="R158" i="1" s="1"/>
  <c r="I157" i="1"/>
  <c r="R157" i="1" s="1"/>
  <c r="I156" i="1"/>
  <c r="R156" i="1" s="1"/>
  <c r="I155" i="1"/>
  <c r="R155" i="1" s="1"/>
  <c r="I154" i="1"/>
  <c r="R154" i="1" s="1"/>
  <c r="I153" i="1"/>
  <c r="R153" i="1" s="1"/>
  <c r="I152" i="1"/>
  <c r="R152" i="1" s="1"/>
  <c r="I151" i="1"/>
  <c r="R151" i="1" s="1"/>
  <c r="I150" i="1"/>
  <c r="R150" i="1" s="1"/>
  <c r="I149" i="1"/>
  <c r="R149" i="1" s="1"/>
  <c r="I148" i="1"/>
  <c r="R148" i="1" s="1"/>
  <c r="I147" i="1"/>
  <c r="R147" i="1" s="1"/>
  <c r="I146" i="1"/>
  <c r="R146" i="1" s="1"/>
  <c r="I145" i="1"/>
  <c r="R145" i="1" s="1"/>
  <c r="I144" i="1"/>
  <c r="R144" i="1" s="1"/>
  <c r="I143" i="1"/>
  <c r="R143" i="1" s="1"/>
  <c r="I142" i="1"/>
  <c r="R142" i="1" s="1"/>
  <c r="I141" i="1"/>
  <c r="R141" i="1" s="1"/>
  <c r="I140" i="1"/>
  <c r="R140" i="1" s="1"/>
  <c r="I139" i="1"/>
  <c r="R139" i="1" s="1"/>
  <c r="I138" i="1"/>
  <c r="R138" i="1" s="1"/>
  <c r="I137" i="1"/>
  <c r="R137" i="1" s="1"/>
  <c r="I136" i="1"/>
  <c r="R136" i="1" s="1"/>
  <c r="I135" i="1"/>
  <c r="R135" i="1" s="1"/>
  <c r="I134" i="1"/>
  <c r="R134" i="1" s="1"/>
  <c r="I133" i="1"/>
  <c r="R133" i="1" s="1"/>
  <c r="I132" i="1"/>
  <c r="R132" i="1" s="1"/>
  <c r="I131" i="1"/>
  <c r="R131" i="1" s="1"/>
  <c r="I130" i="1"/>
  <c r="R130" i="1" s="1"/>
  <c r="I129" i="1"/>
  <c r="R129" i="1" s="1"/>
  <c r="I128" i="1"/>
  <c r="R128" i="1" s="1"/>
  <c r="I127" i="1"/>
  <c r="R127" i="1" s="1"/>
  <c r="I126" i="1"/>
  <c r="R126" i="1" s="1"/>
  <c r="I125" i="1"/>
  <c r="R125" i="1" s="1"/>
  <c r="I124" i="1"/>
  <c r="R124" i="1" s="1"/>
  <c r="I123" i="1"/>
  <c r="R123" i="1" s="1"/>
  <c r="I122" i="1"/>
  <c r="R122" i="1" s="1"/>
  <c r="I121" i="1"/>
  <c r="R121" i="1" s="1"/>
  <c r="I120" i="1"/>
  <c r="R120" i="1" s="1"/>
  <c r="I119" i="1"/>
  <c r="R119" i="1" s="1"/>
  <c r="I118" i="1"/>
  <c r="R118" i="1" s="1"/>
  <c r="I117" i="1"/>
  <c r="R117" i="1" s="1"/>
  <c r="I116" i="1"/>
  <c r="R116" i="1" s="1"/>
  <c r="I115" i="1"/>
  <c r="R115" i="1" s="1"/>
  <c r="I114" i="1"/>
  <c r="R114" i="1" s="1"/>
  <c r="I113" i="1"/>
  <c r="R113" i="1" s="1"/>
  <c r="I112" i="1"/>
  <c r="R112" i="1" s="1"/>
  <c r="I111" i="1"/>
  <c r="R111" i="1" s="1"/>
  <c r="I110" i="1"/>
  <c r="R110" i="1" s="1"/>
  <c r="I109" i="1"/>
  <c r="R109" i="1" s="1"/>
  <c r="I108" i="1"/>
  <c r="R108" i="1" s="1"/>
  <c r="I107" i="1"/>
  <c r="R107" i="1" s="1"/>
  <c r="I106" i="1"/>
  <c r="R106" i="1" s="1"/>
  <c r="I105" i="1"/>
  <c r="R105" i="1" s="1"/>
  <c r="I104" i="1"/>
  <c r="R104" i="1" s="1"/>
  <c r="I103" i="1"/>
  <c r="R103" i="1" s="1"/>
  <c r="I102" i="1"/>
  <c r="R102" i="1" s="1"/>
  <c r="H191" i="1"/>
  <c r="Q191" i="1" s="1"/>
  <c r="H190" i="1"/>
  <c r="Q190" i="1" s="1"/>
  <c r="H189" i="1"/>
  <c r="Q189" i="1" s="1"/>
  <c r="H188" i="1"/>
  <c r="Q188" i="1" s="1"/>
  <c r="H187" i="1"/>
  <c r="Q187" i="1" s="1"/>
  <c r="H186" i="1"/>
  <c r="Q186" i="1" s="1"/>
  <c r="H185" i="1"/>
  <c r="Q185" i="1" s="1"/>
  <c r="H184" i="1"/>
  <c r="Q184" i="1" s="1"/>
  <c r="H183" i="1"/>
  <c r="Q183" i="1" s="1"/>
  <c r="H182" i="1"/>
  <c r="Q182" i="1" s="1"/>
  <c r="H181" i="1"/>
  <c r="Q181" i="1" s="1"/>
  <c r="H180" i="1"/>
  <c r="Q180" i="1" s="1"/>
  <c r="H179" i="1"/>
  <c r="Q179" i="1" s="1"/>
  <c r="H178" i="1"/>
  <c r="Q178" i="1" s="1"/>
  <c r="H177" i="1"/>
  <c r="Q177" i="1" s="1"/>
  <c r="H176" i="1"/>
  <c r="Q176" i="1" s="1"/>
  <c r="H175" i="1"/>
  <c r="Q175" i="1" s="1"/>
  <c r="H174" i="1"/>
  <c r="Q174" i="1" s="1"/>
  <c r="H173" i="1"/>
  <c r="Q173" i="1" s="1"/>
  <c r="H172" i="1"/>
  <c r="Q172" i="1" s="1"/>
  <c r="H171" i="1"/>
  <c r="Q171" i="1" s="1"/>
  <c r="H170" i="1"/>
  <c r="Q170" i="1" s="1"/>
  <c r="H169" i="1"/>
  <c r="Q169" i="1" s="1"/>
  <c r="H168" i="1"/>
  <c r="Q168" i="1" s="1"/>
  <c r="H167" i="1"/>
  <c r="Q167" i="1" s="1"/>
  <c r="H166" i="1"/>
  <c r="Q166" i="1" s="1"/>
  <c r="H165" i="1"/>
  <c r="Q165" i="1" s="1"/>
  <c r="H164" i="1"/>
  <c r="Q164" i="1" s="1"/>
  <c r="H163" i="1"/>
  <c r="Q163" i="1" s="1"/>
  <c r="H162" i="1"/>
  <c r="Q162" i="1" s="1"/>
  <c r="H161" i="1"/>
  <c r="Q161" i="1" s="1"/>
  <c r="H160" i="1"/>
  <c r="Q160" i="1" s="1"/>
  <c r="H159" i="1"/>
  <c r="Q159" i="1" s="1"/>
  <c r="H158" i="1"/>
  <c r="Q158" i="1" s="1"/>
  <c r="H157" i="1"/>
  <c r="Q157" i="1" s="1"/>
  <c r="H156" i="1"/>
  <c r="Q156" i="1" s="1"/>
  <c r="H155" i="1"/>
  <c r="Q155" i="1" s="1"/>
  <c r="H154" i="1"/>
  <c r="Q154" i="1" s="1"/>
  <c r="H153" i="1"/>
  <c r="Q153" i="1" s="1"/>
  <c r="H152" i="1"/>
  <c r="Q152" i="1" s="1"/>
  <c r="H151" i="1"/>
  <c r="Q151" i="1" s="1"/>
  <c r="H150" i="1"/>
  <c r="Q150" i="1" s="1"/>
  <c r="H149" i="1"/>
  <c r="Q149" i="1" s="1"/>
  <c r="H148" i="1"/>
  <c r="Q148" i="1" s="1"/>
  <c r="H147" i="1"/>
  <c r="Q147" i="1" s="1"/>
  <c r="H146" i="1"/>
  <c r="Q146" i="1" s="1"/>
  <c r="H145" i="1"/>
  <c r="Q145" i="1" s="1"/>
  <c r="H144" i="1"/>
  <c r="Q144" i="1" s="1"/>
  <c r="H143" i="1"/>
  <c r="Q143" i="1" s="1"/>
  <c r="H142" i="1"/>
  <c r="Q142" i="1" s="1"/>
  <c r="H141" i="1"/>
  <c r="Q141" i="1" s="1"/>
  <c r="H140" i="1"/>
  <c r="Q140" i="1" s="1"/>
  <c r="H139" i="1"/>
  <c r="Q139" i="1" s="1"/>
  <c r="H138" i="1"/>
  <c r="Q138" i="1" s="1"/>
  <c r="H137" i="1"/>
  <c r="Q137" i="1" s="1"/>
  <c r="H136" i="1"/>
  <c r="Q136" i="1" s="1"/>
  <c r="H135" i="1"/>
  <c r="Q135" i="1" s="1"/>
  <c r="H134" i="1"/>
  <c r="Q134" i="1" s="1"/>
  <c r="H133" i="1"/>
  <c r="Q133" i="1" s="1"/>
  <c r="H132" i="1"/>
  <c r="Q132" i="1" s="1"/>
  <c r="H131" i="1"/>
  <c r="Q131" i="1" s="1"/>
  <c r="H130" i="1"/>
  <c r="Q130" i="1" s="1"/>
  <c r="H129" i="1"/>
  <c r="Q129" i="1" s="1"/>
  <c r="H128" i="1"/>
  <c r="Q128" i="1" s="1"/>
  <c r="H127" i="1"/>
  <c r="Q127" i="1" s="1"/>
  <c r="H126" i="1"/>
  <c r="Q126" i="1" s="1"/>
  <c r="H125" i="1"/>
  <c r="Q125" i="1" s="1"/>
  <c r="H124" i="1"/>
  <c r="Q124" i="1" s="1"/>
  <c r="H123" i="1"/>
  <c r="Q123" i="1" s="1"/>
  <c r="H122" i="1"/>
  <c r="Q122" i="1" s="1"/>
  <c r="H121" i="1"/>
  <c r="Q121" i="1" s="1"/>
  <c r="H120" i="1"/>
  <c r="Q120" i="1" s="1"/>
  <c r="H119" i="1"/>
  <c r="Q119" i="1" s="1"/>
  <c r="H118" i="1"/>
  <c r="Q118" i="1" s="1"/>
  <c r="H117" i="1"/>
  <c r="Q117" i="1" s="1"/>
  <c r="H116" i="1"/>
  <c r="Q116" i="1" s="1"/>
  <c r="H115" i="1"/>
  <c r="Q115" i="1" s="1"/>
  <c r="H114" i="1"/>
  <c r="Q114" i="1" s="1"/>
  <c r="H113" i="1"/>
  <c r="Q113" i="1" s="1"/>
  <c r="H112" i="1"/>
  <c r="Q112" i="1" s="1"/>
  <c r="H111" i="1"/>
  <c r="Q111" i="1" s="1"/>
  <c r="H110" i="1"/>
  <c r="Q110" i="1" s="1"/>
  <c r="H109" i="1"/>
  <c r="Q109" i="1" s="1"/>
  <c r="H108" i="1"/>
  <c r="Q108" i="1" s="1"/>
  <c r="H107" i="1"/>
  <c r="Q107" i="1" s="1"/>
  <c r="H106" i="1"/>
  <c r="Q106" i="1" s="1"/>
  <c r="H105" i="1"/>
  <c r="Q105" i="1" s="1"/>
  <c r="H104" i="1"/>
  <c r="Q104" i="1" s="1"/>
  <c r="H103" i="1"/>
  <c r="Q103" i="1" s="1"/>
  <c r="H102" i="1"/>
  <c r="Q102" i="1" s="1"/>
  <c r="G191" i="1"/>
  <c r="P191" i="1" s="1"/>
  <c r="G190" i="1"/>
  <c r="P190" i="1" s="1"/>
  <c r="G189" i="1"/>
  <c r="P189" i="1" s="1"/>
  <c r="G188" i="1"/>
  <c r="P188" i="1" s="1"/>
  <c r="G187" i="1"/>
  <c r="P187" i="1" s="1"/>
  <c r="G186" i="1"/>
  <c r="P186" i="1" s="1"/>
  <c r="G185" i="1"/>
  <c r="P185" i="1" s="1"/>
  <c r="G184" i="1"/>
  <c r="P184" i="1" s="1"/>
  <c r="G183" i="1"/>
  <c r="P183" i="1" s="1"/>
  <c r="G182" i="1"/>
  <c r="P182" i="1" s="1"/>
  <c r="G181" i="1"/>
  <c r="P181" i="1" s="1"/>
  <c r="G180" i="1"/>
  <c r="P180" i="1" s="1"/>
  <c r="G179" i="1"/>
  <c r="P179" i="1" s="1"/>
  <c r="G178" i="1"/>
  <c r="P178" i="1" s="1"/>
  <c r="G177" i="1"/>
  <c r="P177" i="1" s="1"/>
  <c r="G176" i="1"/>
  <c r="P176" i="1" s="1"/>
  <c r="G175" i="1"/>
  <c r="P175" i="1" s="1"/>
  <c r="G174" i="1"/>
  <c r="P174" i="1" s="1"/>
  <c r="G173" i="1"/>
  <c r="P173" i="1" s="1"/>
  <c r="G172" i="1"/>
  <c r="P172" i="1" s="1"/>
  <c r="G171" i="1"/>
  <c r="P171" i="1" s="1"/>
  <c r="G170" i="1"/>
  <c r="P170" i="1" s="1"/>
  <c r="G169" i="1"/>
  <c r="P169" i="1" s="1"/>
  <c r="G168" i="1"/>
  <c r="P168" i="1" s="1"/>
  <c r="G167" i="1"/>
  <c r="P167" i="1" s="1"/>
  <c r="G166" i="1"/>
  <c r="P166" i="1" s="1"/>
  <c r="G165" i="1"/>
  <c r="P165" i="1" s="1"/>
  <c r="G164" i="1"/>
  <c r="P164" i="1" s="1"/>
  <c r="G163" i="1"/>
  <c r="P163" i="1" s="1"/>
  <c r="G162" i="1"/>
  <c r="P162" i="1" s="1"/>
  <c r="G161" i="1"/>
  <c r="P161" i="1" s="1"/>
  <c r="G160" i="1"/>
  <c r="P160" i="1" s="1"/>
  <c r="G159" i="1"/>
  <c r="P159" i="1" s="1"/>
  <c r="G158" i="1"/>
  <c r="P158" i="1" s="1"/>
  <c r="G157" i="1"/>
  <c r="P157" i="1" s="1"/>
  <c r="G156" i="1"/>
  <c r="P156" i="1" s="1"/>
  <c r="G155" i="1"/>
  <c r="P155" i="1" s="1"/>
  <c r="G154" i="1"/>
  <c r="P154" i="1" s="1"/>
  <c r="G153" i="1"/>
  <c r="P153" i="1" s="1"/>
  <c r="G152" i="1"/>
  <c r="P152" i="1" s="1"/>
  <c r="G151" i="1"/>
  <c r="P151" i="1" s="1"/>
  <c r="G150" i="1"/>
  <c r="P150" i="1" s="1"/>
  <c r="G149" i="1"/>
  <c r="P149" i="1" s="1"/>
  <c r="G148" i="1"/>
  <c r="P148" i="1" s="1"/>
  <c r="G147" i="1"/>
  <c r="P147" i="1" s="1"/>
  <c r="G146" i="1"/>
  <c r="P146" i="1" s="1"/>
  <c r="G145" i="1"/>
  <c r="P145" i="1" s="1"/>
  <c r="G144" i="1"/>
  <c r="P144" i="1" s="1"/>
  <c r="G143" i="1"/>
  <c r="P143" i="1" s="1"/>
  <c r="G142" i="1"/>
  <c r="P142" i="1" s="1"/>
  <c r="G141" i="1"/>
  <c r="P141" i="1" s="1"/>
  <c r="G140" i="1"/>
  <c r="P140" i="1" s="1"/>
  <c r="G139" i="1"/>
  <c r="P139" i="1" s="1"/>
  <c r="G138" i="1"/>
  <c r="P138" i="1" s="1"/>
  <c r="G137" i="1"/>
  <c r="P137" i="1" s="1"/>
  <c r="G136" i="1"/>
  <c r="P136" i="1" s="1"/>
  <c r="G135" i="1"/>
  <c r="P135" i="1" s="1"/>
  <c r="G134" i="1"/>
  <c r="P134" i="1" s="1"/>
  <c r="G133" i="1"/>
  <c r="P133" i="1" s="1"/>
  <c r="G132" i="1"/>
  <c r="P132" i="1" s="1"/>
  <c r="G131" i="1"/>
  <c r="P131" i="1" s="1"/>
  <c r="G130" i="1"/>
  <c r="P130" i="1" s="1"/>
  <c r="G129" i="1"/>
  <c r="P129" i="1" s="1"/>
  <c r="G128" i="1"/>
  <c r="P128" i="1" s="1"/>
  <c r="G127" i="1"/>
  <c r="P127" i="1" s="1"/>
  <c r="G126" i="1"/>
  <c r="P126" i="1" s="1"/>
  <c r="G125" i="1"/>
  <c r="P125" i="1" s="1"/>
  <c r="G124" i="1"/>
  <c r="P124" i="1" s="1"/>
  <c r="G123" i="1"/>
  <c r="P123" i="1" s="1"/>
  <c r="G122" i="1"/>
  <c r="P122" i="1" s="1"/>
  <c r="G121" i="1"/>
  <c r="P121" i="1" s="1"/>
  <c r="G120" i="1"/>
  <c r="P120" i="1" s="1"/>
  <c r="G119" i="1"/>
  <c r="P119" i="1" s="1"/>
  <c r="G118" i="1"/>
  <c r="P118" i="1" s="1"/>
  <c r="G117" i="1"/>
  <c r="P117" i="1" s="1"/>
  <c r="G116" i="1"/>
  <c r="P116" i="1" s="1"/>
  <c r="G115" i="1"/>
  <c r="P115" i="1" s="1"/>
  <c r="G114" i="1"/>
  <c r="P114" i="1" s="1"/>
  <c r="G113" i="1"/>
  <c r="P113" i="1" s="1"/>
  <c r="G112" i="1"/>
  <c r="P112" i="1" s="1"/>
  <c r="G111" i="1"/>
  <c r="P111" i="1" s="1"/>
  <c r="G110" i="1"/>
  <c r="P110" i="1" s="1"/>
  <c r="G109" i="1"/>
  <c r="P109" i="1" s="1"/>
  <c r="G108" i="1"/>
  <c r="P108" i="1" s="1"/>
  <c r="G107" i="1"/>
  <c r="P107" i="1" s="1"/>
  <c r="G106" i="1"/>
  <c r="P106" i="1" s="1"/>
  <c r="G105" i="1"/>
  <c r="P105" i="1" s="1"/>
  <c r="G104" i="1"/>
  <c r="P104" i="1" s="1"/>
  <c r="G103" i="1"/>
  <c r="P103" i="1" s="1"/>
  <c r="G102" i="1"/>
  <c r="P102" i="1" s="1"/>
  <c r="F191" i="1"/>
  <c r="O191" i="1" s="1"/>
  <c r="F190" i="1"/>
  <c r="O190" i="1" s="1"/>
  <c r="F189" i="1"/>
  <c r="O189" i="1" s="1"/>
  <c r="F188" i="1"/>
  <c r="O188" i="1" s="1"/>
  <c r="F187" i="1"/>
  <c r="O187" i="1" s="1"/>
  <c r="F186" i="1"/>
  <c r="O186" i="1" s="1"/>
  <c r="F185" i="1"/>
  <c r="O185" i="1" s="1"/>
  <c r="F184" i="1"/>
  <c r="O184" i="1" s="1"/>
  <c r="F183" i="1"/>
  <c r="O183" i="1" s="1"/>
  <c r="F182" i="1"/>
  <c r="O182" i="1" s="1"/>
  <c r="F181" i="1"/>
  <c r="O181" i="1" s="1"/>
  <c r="F180" i="1"/>
  <c r="O180" i="1" s="1"/>
  <c r="F179" i="1"/>
  <c r="O179" i="1" s="1"/>
  <c r="F178" i="1"/>
  <c r="O178" i="1" s="1"/>
  <c r="F177" i="1"/>
  <c r="O177" i="1" s="1"/>
  <c r="F176" i="1"/>
  <c r="O176" i="1" s="1"/>
  <c r="F175" i="1"/>
  <c r="O175" i="1" s="1"/>
  <c r="F174" i="1"/>
  <c r="O174" i="1" s="1"/>
  <c r="F173" i="1"/>
  <c r="O173" i="1" s="1"/>
  <c r="F172" i="1"/>
  <c r="O172" i="1" s="1"/>
  <c r="F171" i="1"/>
  <c r="O171" i="1" s="1"/>
  <c r="F170" i="1"/>
  <c r="O170" i="1" s="1"/>
  <c r="F169" i="1"/>
  <c r="O169" i="1" s="1"/>
  <c r="F168" i="1"/>
  <c r="O168" i="1" s="1"/>
  <c r="F167" i="1"/>
  <c r="O167" i="1" s="1"/>
  <c r="F166" i="1"/>
  <c r="O166" i="1" s="1"/>
  <c r="F165" i="1"/>
  <c r="O165" i="1" s="1"/>
  <c r="F164" i="1"/>
  <c r="O164" i="1" s="1"/>
  <c r="F163" i="1"/>
  <c r="O163" i="1" s="1"/>
  <c r="F162" i="1"/>
  <c r="O162" i="1" s="1"/>
  <c r="F161" i="1"/>
  <c r="O161" i="1" s="1"/>
  <c r="F160" i="1"/>
  <c r="O160" i="1" s="1"/>
  <c r="F159" i="1"/>
  <c r="O159" i="1" s="1"/>
  <c r="F158" i="1"/>
  <c r="O158" i="1" s="1"/>
  <c r="F157" i="1"/>
  <c r="O157" i="1" s="1"/>
  <c r="F156" i="1"/>
  <c r="O156" i="1" s="1"/>
  <c r="F155" i="1"/>
  <c r="O155" i="1" s="1"/>
  <c r="F154" i="1"/>
  <c r="O154" i="1" s="1"/>
  <c r="F153" i="1"/>
  <c r="O153" i="1" s="1"/>
  <c r="F152" i="1"/>
  <c r="O152" i="1" s="1"/>
  <c r="F151" i="1"/>
  <c r="O151" i="1" s="1"/>
  <c r="F150" i="1"/>
  <c r="O150" i="1" s="1"/>
  <c r="F149" i="1"/>
  <c r="O149" i="1" s="1"/>
  <c r="F148" i="1"/>
  <c r="O148" i="1" s="1"/>
  <c r="F147" i="1"/>
  <c r="O147" i="1" s="1"/>
  <c r="F146" i="1"/>
  <c r="O146" i="1" s="1"/>
  <c r="F145" i="1"/>
  <c r="O145" i="1" s="1"/>
  <c r="F144" i="1"/>
  <c r="O144" i="1" s="1"/>
  <c r="F143" i="1"/>
  <c r="O143" i="1" s="1"/>
  <c r="F142" i="1"/>
  <c r="O142" i="1" s="1"/>
  <c r="F141" i="1"/>
  <c r="O141" i="1" s="1"/>
  <c r="F140" i="1"/>
  <c r="O140" i="1" s="1"/>
  <c r="F139" i="1"/>
  <c r="O139" i="1" s="1"/>
  <c r="F138" i="1"/>
  <c r="O138" i="1" s="1"/>
  <c r="F137" i="1"/>
  <c r="O137" i="1" s="1"/>
  <c r="F136" i="1"/>
  <c r="O136" i="1" s="1"/>
  <c r="F135" i="1"/>
  <c r="O135" i="1" s="1"/>
  <c r="F134" i="1"/>
  <c r="O134" i="1" s="1"/>
  <c r="F133" i="1"/>
  <c r="O133" i="1" s="1"/>
  <c r="F132" i="1"/>
  <c r="O132" i="1" s="1"/>
  <c r="F131" i="1"/>
  <c r="O131" i="1" s="1"/>
  <c r="F130" i="1"/>
  <c r="O130" i="1" s="1"/>
  <c r="F129" i="1"/>
  <c r="O129" i="1" s="1"/>
  <c r="F128" i="1"/>
  <c r="O128" i="1" s="1"/>
  <c r="F127" i="1"/>
  <c r="O127" i="1" s="1"/>
  <c r="F126" i="1"/>
  <c r="O126" i="1" s="1"/>
  <c r="F125" i="1"/>
  <c r="O125" i="1" s="1"/>
  <c r="F124" i="1"/>
  <c r="O124" i="1" s="1"/>
  <c r="F123" i="1"/>
  <c r="O123" i="1" s="1"/>
  <c r="F122" i="1"/>
  <c r="O122" i="1" s="1"/>
  <c r="F121" i="1"/>
  <c r="O121" i="1" s="1"/>
  <c r="F120" i="1"/>
  <c r="O120" i="1" s="1"/>
  <c r="F119" i="1"/>
  <c r="O119" i="1" s="1"/>
  <c r="F118" i="1"/>
  <c r="O118" i="1" s="1"/>
  <c r="F117" i="1"/>
  <c r="O117" i="1" s="1"/>
  <c r="F116" i="1"/>
  <c r="O116" i="1" s="1"/>
  <c r="F115" i="1"/>
  <c r="O115" i="1" s="1"/>
  <c r="F114" i="1"/>
  <c r="O114" i="1" s="1"/>
  <c r="F113" i="1"/>
  <c r="O113" i="1" s="1"/>
  <c r="F112" i="1"/>
  <c r="O112" i="1" s="1"/>
  <c r="F111" i="1"/>
  <c r="O111" i="1" s="1"/>
  <c r="F110" i="1"/>
  <c r="O110" i="1" s="1"/>
  <c r="F109" i="1"/>
  <c r="O109" i="1" s="1"/>
  <c r="F108" i="1"/>
  <c r="O108" i="1" s="1"/>
  <c r="F107" i="1"/>
  <c r="O107" i="1" s="1"/>
  <c r="F106" i="1"/>
  <c r="O106" i="1" s="1"/>
  <c r="F105" i="1"/>
  <c r="O105" i="1" s="1"/>
  <c r="F104" i="1"/>
  <c r="O104" i="1" s="1"/>
  <c r="F103" i="1"/>
  <c r="O103" i="1" s="1"/>
  <c r="F102" i="1"/>
  <c r="O102" i="1" s="1"/>
  <c r="E191" i="1"/>
  <c r="N191" i="1" s="1"/>
  <c r="E190" i="1"/>
  <c r="N190" i="1" s="1"/>
  <c r="E189" i="1"/>
  <c r="N189" i="1" s="1"/>
  <c r="E188" i="1"/>
  <c r="N188" i="1" s="1"/>
  <c r="E187" i="1"/>
  <c r="N187" i="1" s="1"/>
  <c r="E186" i="1"/>
  <c r="N186" i="1" s="1"/>
  <c r="E185" i="1"/>
  <c r="N185" i="1" s="1"/>
  <c r="E184" i="1"/>
  <c r="N184" i="1" s="1"/>
  <c r="E183" i="1"/>
  <c r="N183" i="1" s="1"/>
  <c r="E182" i="1"/>
  <c r="N182" i="1" s="1"/>
  <c r="E181" i="1"/>
  <c r="N181" i="1" s="1"/>
  <c r="E180" i="1"/>
  <c r="N180" i="1" s="1"/>
  <c r="E179" i="1"/>
  <c r="N179" i="1" s="1"/>
  <c r="E178" i="1"/>
  <c r="N178" i="1" s="1"/>
  <c r="E177" i="1"/>
  <c r="N177" i="1" s="1"/>
  <c r="E176" i="1"/>
  <c r="N176" i="1" s="1"/>
  <c r="E175" i="1"/>
  <c r="N175" i="1" s="1"/>
  <c r="E174" i="1"/>
  <c r="N174" i="1" s="1"/>
  <c r="E173" i="1"/>
  <c r="N173" i="1" s="1"/>
  <c r="E172" i="1"/>
  <c r="N172" i="1" s="1"/>
  <c r="E171" i="1"/>
  <c r="N171" i="1" s="1"/>
  <c r="E170" i="1"/>
  <c r="N170" i="1" s="1"/>
  <c r="E169" i="1"/>
  <c r="N169" i="1" s="1"/>
  <c r="E168" i="1"/>
  <c r="N168" i="1" s="1"/>
  <c r="E167" i="1"/>
  <c r="N167" i="1" s="1"/>
  <c r="E166" i="1"/>
  <c r="N166" i="1" s="1"/>
  <c r="E165" i="1"/>
  <c r="N165" i="1" s="1"/>
  <c r="E164" i="1"/>
  <c r="N164" i="1" s="1"/>
  <c r="E163" i="1"/>
  <c r="N163" i="1" s="1"/>
  <c r="E162" i="1"/>
  <c r="N162" i="1" s="1"/>
  <c r="E161" i="1"/>
  <c r="N161" i="1" s="1"/>
  <c r="E160" i="1"/>
  <c r="N160" i="1" s="1"/>
  <c r="E159" i="1"/>
  <c r="N159" i="1" s="1"/>
  <c r="E158" i="1"/>
  <c r="N158" i="1" s="1"/>
  <c r="E157" i="1"/>
  <c r="N157" i="1" s="1"/>
  <c r="E156" i="1"/>
  <c r="N156" i="1" s="1"/>
  <c r="E155" i="1"/>
  <c r="N155" i="1" s="1"/>
  <c r="E154" i="1"/>
  <c r="N154" i="1" s="1"/>
  <c r="E153" i="1"/>
  <c r="N153" i="1" s="1"/>
  <c r="E152" i="1"/>
  <c r="N152" i="1" s="1"/>
  <c r="E151" i="1"/>
  <c r="N151" i="1" s="1"/>
  <c r="E150" i="1"/>
  <c r="N150" i="1" s="1"/>
  <c r="E149" i="1"/>
  <c r="N149" i="1" s="1"/>
  <c r="E148" i="1"/>
  <c r="N148" i="1" s="1"/>
  <c r="E147" i="1"/>
  <c r="N147" i="1" s="1"/>
  <c r="E146" i="1"/>
  <c r="N146" i="1" s="1"/>
  <c r="E145" i="1"/>
  <c r="N145" i="1" s="1"/>
  <c r="E144" i="1"/>
  <c r="N144" i="1" s="1"/>
  <c r="E143" i="1"/>
  <c r="N143" i="1" s="1"/>
  <c r="E142" i="1"/>
  <c r="N142" i="1" s="1"/>
  <c r="E141" i="1"/>
  <c r="N141" i="1" s="1"/>
  <c r="E140" i="1"/>
  <c r="N140" i="1" s="1"/>
  <c r="E139" i="1"/>
  <c r="N139" i="1" s="1"/>
  <c r="E138" i="1"/>
  <c r="N138" i="1" s="1"/>
  <c r="E137" i="1"/>
  <c r="N137" i="1" s="1"/>
  <c r="E136" i="1"/>
  <c r="N136" i="1" s="1"/>
  <c r="E135" i="1"/>
  <c r="N135" i="1" s="1"/>
  <c r="E134" i="1"/>
  <c r="N134" i="1" s="1"/>
  <c r="E133" i="1"/>
  <c r="N133" i="1" s="1"/>
  <c r="E132" i="1"/>
  <c r="N132" i="1" s="1"/>
  <c r="E131" i="1"/>
  <c r="N131" i="1" s="1"/>
  <c r="E130" i="1"/>
  <c r="N130" i="1" s="1"/>
  <c r="E129" i="1"/>
  <c r="N129" i="1" s="1"/>
  <c r="E128" i="1"/>
  <c r="N128" i="1" s="1"/>
  <c r="E127" i="1"/>
  <c r="N127" i="1" s="1"/>
  <c r="E126" i="1"/>
  <c r="N126" i="1" s="1"/>
  <c r="E125" i="1"/>
  <c r="N125" i="1" s="1"/>
  <c r="E124" i="1"/>
  <c r="N124" i="1" s="1"/>
  <c r="E123" i="1"/>
  <c r="N123" i="1" s="1"/>
  <c r="E122" i="1"/>
  <c r="N122" i="1" s="1"/>
  <c r="E121" i="1"/>
  <c r="N121" i="1" s="1"/>
  <c r="E120" i="1"/>
  <c r="N120" i="1" s="1"/>
  <c r="E119" i="1"/>
  <c r="N119" i="1" s="1"/>
  <c r="E118" i="1"/>
  <c r="N118" i="1" s="1"/>
  <c r="E117" i="1"/>
  <c r="N117" i="1" s="1"/>
  <c r="E116" i="1"/>
  <c r="N116" i="1" s="1"/>
  <c r="E115" i="1"/>
  <c r="N115" i="1" s="1"/>
  <c r="E114" i="1"/>
  <c r="N114" i="1" s="1"/>
  <c r="E113" i="1"/>
  <c r="N113" i="1" s="1"/>
  <c r="E112" i="1"/>
  <c r="N112" i="1" s="1"/>
  <c r="E111" i="1"/>
  <c r="N111" i="1" s="1"/>
  <c r="E110" i="1"/>
  <c r="N110" i="1" s="1"/>
  <c r="E109" i="1"/>
  <c r="N109" i="1" s="1"/>
  <c r="E108" i="1"/>
  <c r="N108" i="1" s="1"/>
  <c r="E107" i="1"/>
  <c r="N107" i="1" s="1"/>
  <c r="E106" i="1"/>
  <c r="N106" i="1" s="1"/>
  <c r="E105" i="1"/>
  <c r="N105" i="1" s="1"/>
  <c r="E104" i="1"/>
  <c r="N104" i="1" s="1"/>
  <c r="E103" i="1"/>
  <c r="N103" i="1" s="1"/>
  <c r="E102" i="1"/>
  <c r="N102" i="1" s="1"/>
  <c r="D185" i="1"/>
  <c r="M185" i="1" s="1"/>
  <c r="D191" i="1"/>
  <c r="M191" i="1" s="1"/>
  <c r="D190" i="1"/>
  <c r="M190" i="1" s="1"/>
  <c r="D189" i="1"/>
  <c r="M189" i="1" s="1"/>
  <c r="D188" i="1"/>
  <c r="M188" i="1" s="1"/>
  <c r="D187" i="1"/>
  <c r="M187" i="1" s="1"/>
  <c r="D186" i="1"/>
  <c r="M186" i="1" s="1"/>
  <c r="D184" i="1"/>
  <c r="M184" i="1" s="1"/>
  <c r="D183" i="1"/>
  <c r="M183" i="1" s="1"/>
  <c r="D182" i="1"/>
  <c r="M182" i="1" s="1"/>
  <c r="D181" i="1"/>
  <c r="M181" i="1" s="1"/>
  <c r="D180" i="1"/>
  <c r="M180" i="1" s="1"/>
  <c r="D179" i="1"/>
  <c r="M179" i="1" s="1"/>
  <c r="D178" i="1"/>
  <c r="M178" i="1" s="1"/>
  <c r="D177" i="1"/>
  <c r="M177" i="1" s="1"/>
  <c r="D176" i="1"/>
  <c r="M176" i="1" s="1"/>
  <c r="D175" i="1"/>
  <c r="M175" i="1" s="1"/>
  <c r="D174" i="1"/>
  <c r="M174" i="1" s="1"/>
  <c r="D173" i="1"/>
  <c r="M173" i="1" s="1"/>
  <c r="D172" i="1"/>
  <c r="M172" i="1" s="1"/>
  <c r="D171" i="1"/>
  <c r="M171" i="1" s="1"/>
  <c r="D170" i="1"/>
  <c r="M170" i="1" s="1"/>
  <c r="D169" i="1"/>
  <c r="M169" i="1" s="1"/>
  <c r="D168" i="1"/>
  <c r="M168" i="1" s="1"/>
  <c r="D167" i="1"/>
  <c r="M167" i="1" s="1"/>
  <c r="D166" i="1"/>
  <c r="M166" i="1" s="1"/>
  <c r="D165" i="1"/>
  <c r="M165" i="1" s="1"/>
  <c r="D164" i="1"/>
  <c r="M164" i="1" s="1"/>
  <c r="D163" i="1"/>
  <c r="M163" i="1" s="1"/>
  <c r="D162" i="1"/>
  <c r="M162" i="1" s="1"/>
  <c r="D161" i="1"/>
  <c r="M161" i="1" s="1"/>
  <c r="D160" i="1"/>
  <c r="M160" i="1" s="1"/>
  <c r="D159" i="1"/>
  <c r="M159" i="1" s="1"/>
  <c r="D158" i="1"/>
  <c r="M158" i="1" s="1"/>
  <c r="D157" i="1"/>
  <c r="M157" i="1" s="1"/>
  <c r="D156" i="1"/>
  <c r="M156" i="1" s="1"/>
  <c r="D155" i="1"/>
  <c r="M155" i="1" s="1"/>
  <c r="D154" i="1"/>
  <c r="M154" i="1" s="1"/>
  <c r="D153" i="1"/>
  <c r="M153" i="1" s="1"/>
  <c r="D152" i="1"/>
  <c r="M152" i="1" s="1"/>
  <c r="D151" i="1"/>
  <c r="M151" i="1" s="1"/>
  <c r="D150" i="1"/>
  <c r="M150" i="1" s="1"/>
  <c r="D149" i="1"/>
  <c r="M149" i="1" s="1"/>
  <c r="D148" i="1"/>
  <c r="M148" i="1" s="1"/>
  <c r="D147" i="1"/>
  <c r="M147" i="1" s="1"/>
  <c r="D146" i="1"/>
  <c r="M146" i="1" s="1"/>
  <c r="D145" i="1"/>
  <c r="M145" i="1" s="1"/>
  <c r="D144" i="1"/>
  <c r="M144" i="1" s="1"/>
  <c r="D143" i="1"/>
  <c r="M143" i="1" s="1"/>
  <c r="D142" i="1"/>
  <c r="M142" i="1" s="1"/>
  <c r="D141" i="1"/>
  <c r="M141" i="1" s="1"/>
  <c r="D140" i="1"/>
  <c r="M140" i="1" s="1"/>
  <c r="D139" i="1"/>
  <c r="M139" i="1" s="1"/>
  <c r="D138" i="1"/>
  <c r="M138" i="1" s="1"/>
  <c r="D137" i="1"/>
  <c r="M137" i="1" s="1"/>
  <c r="D136" i="1"/>
  <c r="M136" i="1" s="1"/>
  <c r="D135" i="1"/>
  <c r="M135" i="1" s="1"/>
  <c r="D134" i="1"/>
  <c r="M134" i="1" s="1"/>
  <c r="D133" i="1"/>
  <c r="M133" i="1" s="1"/>
  <c r="D132" i="1"/>
  <c r="M132" i="1" s="1"/>
  <c r="D131" i="1"/>
  <c r="M131" i="1" s="1"/>
  <c r="D130" i="1"/>
  <c r="M130" i="1" s="1"/>
  <c r="D129" i="1"/>
  <c r="M129" i="1" s="1"/>
  <c r="D128" i="1"/>
  <c r="M128" i="1" s="1"/>
  <c r="D127" i="1"/>
  <c r="M127" i="1" s="1"/>
  <c r="D126" i="1"/>
  <c r="M126" i="1" s="1"/>
  <c r="D125" i="1"/>
  <c r="M125" i="1" s="1"/>
  <c r="D124" i="1"/>
  <c r="M124" i="1" s="1"/>
  <c r="D123" i="1"/>
  <c r="M123" i="1" s="1"/>
  <c r="D122" i="1"/>
  <c r="M122" i="1" s="1"/>
  <c r="D121" i="1"/>
  <c r="M121" i="1" s="1"/>
  <c r="D120" i="1"/>
  <c r="M120" i="1" s="1"/>
  <c r="D119" i="1"/>
  <c r="M119" i="1" s="1"/>
  <c r="D118" i="1"/>
  <c r="M118" i="1" s="1"/>
  <c r="D117" i="1"/>
  <c r="M117" i="1" s="1"/>
  <c r="D116" i="1"/>
  <c r="M116" i="1" s="1"/>
  <c r="D115" i="1"/>
  <c r="M115" i="1" s="1"/>
  <c r="D114" i="1"/>
  <c r="M114" i="1" s="1"/>
  <c r="D113" i="1"/>
  <c r="M113" i="1" s="1"/>
  <c r="D112" i="1"/>
  <c r="M112" i="1" s="1"/>
  <c r="D111" i="1"/>
  <c r="M111" i="1" s="1"/>
  <c r="D110" i="1"/>
  <c r="M110" i="1" s="1"/>
  <c r="D109" i="1"/>
  <c r="M109" i="1" s="1"/>
  <c r="D108" i="1"/>
  <c r="M108" i="1" s="1"/>
  <c r="D107" i="1"/>
  <c r="M107" i="1" s="1"/>
  <c r="D106" i="1"/>
  <c r="M106" i="1" s="1"/>
  <c r="D105" i="1"/>
  <c r="M105" i="1" s="1"/>
  <c r="D104" i="1"/>
  <c r="M104" i="1" s="1"/>
  <c r="D103" i="1"/>
  <c r="M103" i="1" s="1"/>
  <c r="D102" i="1"/>
  <c r="M10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RANGOS9145</author>
  </authors>
  <commentList>
    <comment ref="A27" authorId="0" shapeId="0" xr:uid="{7ABD87A6-B671-FE4D-9C30-FC849FFC65D3}">
      <text>
        <r>
          <rPr>
            <sz val="8"/>
            <color indexed="81"/>
            <rFont val="Tahoma"/>
            <family val="2"/>
          </rPr>
          <t>Raw Data Report from file Plate1. Exported from Microplate Manager 5.0 from Bio-Rad Laboratories, Inc.</t>
        </r>
      </text>
    </comment>
    <comment ref="A48" authorId="0" shapeId="0" xr:uid="{FEFC3523-1A53-2645-8C94-41966FA17DF0}">
      <text>
        <r>
          <rPr>
            <sz val="8"/>
            <color indexed="81"/>
            <rFont val="Tahoma"/>
            <family val="2"/>
          </rPr>
          <t>Raw Data Report from file Plate2. Exported from Microplate Manager 5.0 from Bio-Rad Laboratories, Inc.</t>
        </r>
      </text>
    </comment>
  </commentList>
</comments>
</file>

<file path=xl/sharedStrings.xml><?xml version="1.0" encoding="utf-8"?>
<sst xmlns="http://schemas.openxmlformats.org/spreadsheetml/2006/main" count="340" uniqueCount="44">
  <si>
    <t xml:space="preserve">4/15/2022 exp 022 jdo female bw </t>
  </si>
  <si>
    <t>ID</t>
  </si>
  <si>
    <t>Day 0</t>
  </si>
  <si>
    <t>Day 3</t>
  </si>
  <si>
    <t>Day 4</t>
  </si>
  <si>
    <t>Day 5</t>
  </si>
  <si>
    <t>Day 7</t>
  </si>
  <si>
    <t>Day 8</t>
  </si>
  <si>
    <t>Day 10</t>
  </si>
  <si>
    <t>Day 21</t>
  </si>
  <si>
    <t>MALE!!</t>
  </si>
  <si>
    <t>Ratio to starting bw</t>
  </si>
  <si>
    <t>% starting body weight</t>
  </si>
  <si>
    <t xml:space="preserve">Plate Set-up JDO Females </t>
  </si>
  <si>
    <t>Plate 1</t>
  </si>
  <si>
    <t>Day</t>
  </si>
  <si>
    <t>ABS 1</t>
  </si>
  <si>
    <t>ABS 2</t>
  </si>
  <si>
    <t>average abs</t>
  </si>
  <si>
    <t>Calculated protein</t>
  </si>
  <si>
    <t>Day average</t>
  </si>
  <si>
    <t>t-test v day 0</t>
  </si>
  <si>
    <t>blank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</si>
  <si>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</si>
  <si>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</si>
  <si>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</si>
  <si>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</si>
  <si>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</si>
  <si>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</si>
  <si>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</si>
  <si>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</si>
  <si>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</si>
  <si>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</si>
  <si>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</si>
  <si>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</si>
  <si>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</si>
  <si>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</si>
  <si>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</si>
  <si>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</si>
  <si>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</si>
  <si>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</si>
  <si>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1</t>
  </si>
  <si>
    <t>Days</t>
  </si>
  <si>
    <t>Mouse_ID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</si>
</sst>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Arial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9486111111111112"/>
          <c:w val="0.8712246281714786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[1]Sheet1!$Q$4:$Q$11</c:f>
              <c:numCache>
                <c:formatCode>General</c:formatCode>
                <c:ptCount val="8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</c:numCache>
            </c:numRef>
          </c:xVal>
          <c:yVal>
            <c:numRef>
              <c:f>[1]Sheet1!$T$4:$T$11</c:f>
              <c:numCache>
                <c:formatCode>General</c:formatCode>
                <c:ptCount val="8"/>
                <c:pt idx="0">
                  <c:v>7.6999999999999999E-2</c:v>
                </c:pt>
                <c:pt idx="1">
                  <c:v>0.29199999999999998</c:v>
                </c:pt>
                <c:pt idx="2">
                  <c:v>0.48899999999999999</c:v>
                </c:pt>
                <c:pt idx="3">
                  <c:v>0.83250000000000002</c:v>
                </c:pt>
                <c:pt idx="4">
                  <c:v>1.1375</c:v>
                </c:pt>
                <c:pt idx="5">
                  <c:v>1.4159999999999999</c:v>
                </c:pt>
                <c:pt idx="6">
                  <c:v>1.8719999999999999</c:v>
                </c:pt>
                <c:pt idx="7">
                  <c:v>2.4684999999999997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5-0741-AEC2-85DB19C53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777455"/>
        <c:axId val="917781183"/>
      </c:scatterChart>
      <c:valAx>
        <c:axId val="91777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81183"/>
        <c:crosses val="autoZero"/>
        <c:crossBetween val="midCat"/>
      </c:valAx>
      <c:valAx>
        <c:axId val="9177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7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298450</xdr:colOff>
      <xdr:row>40</xdr:row>
      <xdr:rowOff>50800</xdr:rowOff>
    </xdr:from>
    <xdr:to>
      <xdr:col>11</xdr:col>
      <xdr:colOff>158750</xdr:colOff>
      <xdr:row>54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C917A-07EF-B247-AE44-BD39CFD3A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.24.22%20exp%20022%20jdo%20f%20bal%20protei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Q4">
            <v>0</v>
          </cell>
          <cell r="T4">
            <v>7.6999999999999999E-2</v>
          </cell>
        </row>
        <row r="5">
          <cell r="Q5">
            <v>125</v>
          </cell>
          <cell r="T5">
            <v>0.29199999999999998</v>
          </cell>
        </row>
        <row r="6">
          <cell r="Q6">
            <v>250</v>
          </cell>
          <cell r="T6">
            <v>0.48899999999999999</v>
          </cell>
        </row>
        <row r="7">
          <cell r="Q7">
            <v>500</v>
          </cell>
          <cell r="T7">
            <v>0.83250000000000002</v>
          </cell>
        </row>
        <row r="8">
          <cell r="Q8">
            <v>750</v>
          </cell>
          <cell r="T8">
            <v>1.1375</v>
          </cell>
        </row>
        <row r="9">
          <cell r="Q9">
            <v>1000</v>
          </cell>
          <cell r="T9">
            <v>1.4159999999999999</v>
          </cell>
        </row>
        <row r="10">
          <cell r="Q10">
            <v>1500</v>
          </cell>
          <cell r="T10">
            <v>1.8719999999999999</v>
          </cell>
        </row>
        <row r="11">
          <cell r="Q11">
            <v>2000</v>
          </cell>
          <cell r="T11">
            <v>2.4684999999999997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DF34-B258-4B17-890C-E97579B9E877}">
  <dimension ref="A1:AA191"/>
  <sheetViews>
    <sheetView topLeftCell="A22" workbookViewId="0">
      <selection activeCell="K85" sqref="K85"/>
    </sheetView>
  </sheetViews>
  <sheetFormatPr defaultColWidth="8.85546875" defaultRowHeight="15" x14ac:dyDescent="0.25"/>
  <cols>
    <col min="3" max="3" width="9.7109375" bestFit="1" customWidth="1"/>
    <col min="9" max="9" width="9.7109375" bestFit="1" customWidth="1"/>
    <col min="17" max="17" width="17" customWidth="1"/>
  </cols>
  <sheetData>
    <row r="1" spans="1:10" x14ac:dyDescent="0.25">
      <c r="A1" t="s">
        <v>0</v>
      </c>
    </row>
    <row r="2" spans="1:10" x14ac:dyDescent="0.25">
      <c r="C2" s="1">
        <v>44665</v>
      </c>
      <c r="I2" s="1">
        <v>44676</v>
      </c>
    </row>
    <row r="3" spans="1:10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5">
      <c r="B4">
        <v>16</v>
      </c>
      <c r="C4">
        <v>13</v>
      </c>
      <c r="D4">
        <v>15.2</v>
      </c>
    </row>
    <row r="5" spans="1:10" x14ac:dyDescent="0.25">
      <c r="B5">
        <v>17</v>
      </c>
      <c r="C5">
        <v>15.8</v>
      </c>
      <c r="D5">
        <v>18.100000000000001</v>
      </c>
    </row>
    <row r="6" spans="1:10" x14ac:dyDescent="0.25">
      <c r="B6">
        <v>18</v>
      </c>
      <c r="C6">
        <v>15.3</v>
      </c>
      <c r="D6">
        <v>16.100000000000001</v>
      </c>
    </row>
    <row r="7" spans="1:10" x14ac:dyDescent="0.25">
      <c r="B7">
        <v>19</v>
      </c>
      <c r="C7">
        <v>11.9</v>
      </c>
      <c r="D7">
        <v>14.5</v>
      </c>
    </row>
    <row r="8" spans="1:10" x14ac:dyDescent="0.25">
      <c r="B8">
        <v>20</v>
      </c>
      <c r="C8">
        <v>15.4</v>
      </c>
      <c r="D8">
        <v>18.5</v>
      </c>
    </row>
    <row r="9" spans="1:10" x14ac:dyDescent="0.25">
      <c r="B9">
        <v>21</v>
      </c>
      <c r="C9">
        <v>17.100000000000001</v>
      </c>
      <c r="D9">
        <v>19.5</v>
      </c>
    </row>
    <row r="10" spans="1:10" x14ac:dyDescent="0.25">
      <c r="B10">
        <v>22</v>
      </c>
      <c r="C10">
        <v>17.2</v>
      </c>
      <c r="D10">
        <v>19.399999999999999</v>
      </c>
    </row>
    <row r="11" spans="1:10" x14ac:dyDescent="0.25">
      <c r="B11">
        <v>23</v>
      </c>
      <c r="C11">
        <v>11.2</v>
      </c>
      <c r="D11">
        <v>12.6</v>
      </c>
    </row>
    <row r="12" spans="1:10" x14ac:dyDescent="0.25">
      <c r="B12">
        <v>24</v>
      </c>
      <c r="C12">
        <v>13.8</v>
      </c>
      <c r="D12">
        <v>15.2</v>
      </c>
    </row>
    <row r="13" spans="1:10" x14ac:dyDescent="0.25">
      <c r="B13">
        <v>25</v>
      </c>
      <c r="C13">
        <v>15.3</v>
      </c>
      <c r="D13">
        <v>17.899999999999999</v>
      </c>
    </row>
    <row r="14" spans="1:10" x14ac:dyDescent="0.25">
      <c r="B14">
        <v>26</v>
      </c>
      <c r="C14">
        <v>13.2</v>
      </c>
      <c r="D14">
        <v>15.8</v>
      </c>
    </row>
    <row r="15" spans="1:10" x14ac:dyDescent="0.25">
      <c r="B15">
        <v>27</v>
      </c>
      <c r="C15">
        <v>14.8</v>
      </c>
      <c r="D15">
        <v>16.2</v>
      </c>
    </row>
    <row r="16" spans="1:10" x14ac:dyDescent="0.25">
      <c r="B16">
        <v>28</v>
      </c>
      <c r="C16">
        <v>15.7</v>
      </c>
      <c r="D16">
        <v>18</v>
      </c>
    </row>
    <row r="17" spans="2:5" x14ac:dyDescent="0.25">
      <c r="B17">
        <v>29</v>
      </c>
      <c r="C17">
        <v>14.4</v>
      </c>
      <c r="D17">
        <v>15.9</v>
      </c>
    </row>
    <row r="18" spans="2:5" x14ac:dyDescent="0.25">
      <c r="B18">
        <v>30</v>
      </c>
      <c r="C18">
        <v>14.3</v>
      </c>
      <c r="D18">
        <v>17.2</v>
      </c>
    </row>
    <row r="19" spans="2:5" x14ac:dyDescent="0.25">
      <c r="B19">
        <v>31</v>
      </c>
      <c r="C19">
        <v>12</v>
      </c>
      <c r="D19">
        <v>16.399999999999999</v>
      </c>
      <c r="E19">
        <v>16.899999999999999</v>
      </c>
    </row>
    <row r="20" spans="2:5" x14ac:dyDescent="0.25">
      <c r="B20">
        <v>32</v>
      </c>
      <c r="C20">
        <v>13.8</v>
      </c>
      <c r="D20">
        <v>19.2</v>
      </c>
      <c r="E20">
        <v>19</v>
      </c>
    </row>
    <row r="21" spans="2:5" x14ac:dyDescent="0.25">
      <c r="B21">
        <v>33</v>
      </c>
      <c r="C21">
        <v>12.3</v>
      </c>
      <c r="D21">
        <v>16.399999999999999</v>
      </c>
      <c r="E21">
        <v>16.7</v>
      </c>
    </row>
    <row r="22" spans="2:5" x14ac:dyDescent="0.25">
      <c r="B22">
        <v>34</v>
      </c>
      <c r="C22">
        <v>9.4</v>
      </c>
      <c r="D22">
        <v>13.1</v>
      </c>
      <c r="E22">
        <v>13.1</v>
      </c>
    </row>
    <row r="23" spans="2:5" x14ac:dyDescent="0.25">
      <c r="B23">
        <v>35</v>
      </c>
      <c r="C23">
        <v>8.4</v>
      </c>
      <c r="D23">
        <v>12.6</v>
      </c>
      <c r="E23">
        <v>12</v>
      </c>
    </row>
    <row r="24" spans="2:5" x14ac:dyDescent="0.25">
      <c r="B24">
        <v>36</v>
      </c>
      <c r="C24">
        <v>13.3</v>
      </c>
      <c r="D24">
        <v>15.1</v>
      </c>
      <c r="E24">
        <v>15.5</v>
      </c>
    </row>
    <row r="25" spans="2:5" x14ac:dyDescent="0.25">
      <c r="B25">
        <v>37</v>
      </c>
      <c r="C25">
        <v>11.7</v>
      </c>
      <c r="D25">
        <v>13.1</v>
      </c>
      <c r="E25">
        <v>13.3</v>
      </c>
    </row>
    <row r="26" spans="2:5" x14ac:dyDescent="0.25">
      <c r="B26">
        <v>38</v>
      </c>
      <c r="C26">
        <v>16.899999999999999</v>
      </c>
      <c r="D26">
        <v>19.3</v>
      </c>
      <c r="E26">
        <v>19.899999999999999</v>
      </c>
    </row>
    <row r="27" spans="2:5" x14ac:dyDescent="0.25">
      <c r="B27">
        <v>39</v>
      </c>
      <c r="C27">
        <v>14.9</v>
      </c>
      <c r="D27">
        <v>16.2</v>
      </c>
      <c r="E27">
        <v>16.3</v>
      </c>
    </row>
    <row r="28" spans="2:5" x14ac:dyDescent="0.25">
      <c r="B28">
        <v>40</v>
      </c>
      <c r="C28">
        <v>15.1</v>
      </c>
      <c r="D28">
        <v>16.899999999999999</v>
      </c>
      <c r="E28">
        <v>16.7</v>
      </c>
    </row>
    <row r="29" spans="2:5" x14ac:dyDescent="0.25">
      <c r="B29">
        <v>41</v>
      </c>
      <c r="C29">
        <v>15.8</v>
      </c>
      <c r="D29">
        <v>17.2</v>
      </c>
      <c r="E29">
        <v>17.100000000000001</v>
      </c>
    </row>
    <row r="30" spans="2:5" x14ac:dyDescent="0.25">
      <c r="B30">
        <v>42</v>
      </c>
      <c r="C30">
        <v>14.5</v>
      </c>
      <c r="D30">
        <v>16.2</v>
      </c>
      <c r="E30">
        <v>16.3</v>
      </c>
    </row>
    <row r="31" spans="2:5" x14ac:dyDescent="0.25">
      <c r="B31">
        <v>43</v>
      </c>
      <c r="C31">
        <v>14.5</v>
      </c>
      <c r="D31">
        <v>16.600000000000001</v>
      </c>
      <c r="E31">
        <v>16.8</v>
      </c>
    </row>
    <row r="32" spans="2:5" x14ac:dyDescent="0.25">
      <c r="B32">
        <v>44</v>
      </c>
      <c r="C32">
        <v>15.9</v>
      </c>
      <c r="D32">
        <v>17.8</v>
      </c>
      <c r="E32">
        <v>18</v>
      </c>
    </row>
    <row r="33" spans="2:6" x14ac:dyDescent="0.25">
      <c r="B33">
        <v>45</v>
      </c>
      <c r="C33">
        <v>14.3</v>
      </c>
      <c r="D33">
        <v>15.9</v>
      </c>
      <c r="E33">
        <v>16.7</v>
      </c>
    </row>
    <row r="34" spans="2:6" x14ac:dyDescent="0.25">
      <c r="B34">
        <v>46</v>
      </c>
      <c r="C34">
        <v>13.2</v>
      </c>
      <c r="D34">
        <v>14.2</v>
      </c>
      <c r="E34">
        <v>14.6</v>
      </c>
      <c r="F34">
        <v>15.2</v>
      </c>
    </row>
    <row r="35" spans="2:6" s="2" customFormat="1" x14ac:dyDescent="0.25">
      <c r="B35" s="2">
        <v>47</v>
      </c>
      <c r="C35" s="2">
        <v>17.899999999999999</v>
      </c>
      <c r="D35" s="2">
        <v>19.8</v>
      </c>
      <c r="E35" s="2">
        <v>20.399999999999999</v>
      </c>
      <c r="F35" s="2">
        <v>20.6</v>
      </c>
    </row>
    <row r="36" spans="2:6" x14ac:dyDescent="0.25">
      <c r="B36">
        <v>48</v>
      </c>
      <c r="C36">
        <v>15.5</v>
      </c>
      <c r="D36">
        <v>17</v>
      </c>
      <c r="E36">
        <v>17.5</v>
      </c>
      <c r="F36">
        <v>17.8</v>
      </c>
    </row>
    <row r="37" spans="2:6" x14ac:dyDescent="0.25">
      <c r="B37">
        <v>49</v>
      </c>
      <c r="C37">
        <v>16.899999999999999</v>
      </c>
      <c r="D37">
        <v>18.5</v>
      </c>
      <c r="E37">
        <v>19</v>
      </c>
      <c r="F37">
        <v>19.8</v>
      </c>
    </row>
    <row r="38" spans="2:6" x14ac:dyDescent="0.25">
      <c r="B38">
        <v>50</v>
      </c>
      <c r="C38">
        <v>19.5</v>
      </c>
      <c r="D38">
        <v>21.2</v>
      </c>
      <c r="E38">
        <v>21.9</v>
      </c>
      <c r="F38">
        <v>22.4</v>
      </c>
    </row>
    <row r="39" spans="2:6" x14ac:dyDescent="0.25">
      <c r="B39">
        <v>51</v>
      </c>
      <c r="C39">
        <v>14.5</v>
      </c>
      <c r="D39">
        <v>16.3</v>
      </c>
      <c r="E39">
        <v>17.2</v>
      </c>
      <c r="F39">
        <v>17.5</v>
      </c>
    </row>
    <row r="40" spans="2:6" x14ac:dyDescent="0.25">
      <c r="B40">
        <v>52</v>
      </c>
      <c r="C40">
        <v>16.100000000000001</v>
      </c>
      <c r="D40">
        <v>17.399999999999999</v>
      </c>
      <c r="E40">
        <v>18</v>
      </c>
      <c r="F40">
        <v>18.7</v>
      </c>
    </row>
    <row r="41" spans="2:6" x14ac:dyDescent="0.25">
      <c r="B41">
        <v>53</v>
      </c>
      <c r="C41">
        <v>13.6</v>
      </c>
      <c r="D41">
        <v>15.2</v>
      </c>
      <c r="E41">
        <v>15.7</v>
      </c>
      <c r="F41">
        <v>16.2</v>
      </c>
    </row>
    <row r="42" spans="2:6" x14ac:dyDescent="0.25">
      <c r="B42">
        <v>54</v>
      </c>
      <c r="C42">
        <v>15.5</v>
      </c>
      <c r="D42">
        <v>17.7</v>
      </c>
      <c r="E42">
        <v>18.8</v>
      </c>
      <c r="F42">
        <v>18.5</v>
      </c>
    </row>
    <row r="43" spans="2:6" x14ac:dyDescent="0.25">
      <c r="B43">
        <v>55</v>
      </c>
      <c r="C43">
        <v>18.5</v>
      </c>
      <c r="D43">
        <v>21.7</v>
      </c>
      <c r="E43">
        <v>22</v>
      </c>
      <c r="F43">
        <v>22.2</v>
      </c>
    </row>
    <row r="44" spans="2:6" x14ac:dyDescent="0.25">
      <c r="B44">
        <v>56</v>
      </c>
      <c r="C44">
        <v>16.3</v>
      </c>
      <c r="D44">
        <v>17.5</v>
      </c>
      <c r="E44">
        <v>17.5</v>
      </c>
      <c r="F44">
        <v>17.600000000000001</v>
      </c>
    </row>
    <row r="45" spans="2:6" x14ac:dyDescent="0.25">
      <c r="B45">
        <v>57</v>
      </c>
      <c r="C45">
        <v>13.9</v>
      </c>
      <c r="D45">
        <v>15.9</v>
      </c>
      <c r="E45">
        <v>16.5</v>
      </c>
      <c r="F45">
        <v>16.399999999999999</v>
      </c>
    </row>
    <row r="46" spans="2:6" x14ac:dyDescent="0.25">
      <c r="B46">
        <v>58</v>
      </c>
      <c r="C46">
        <v>15.5</v>
      </c>
      <c r="D46">
        <v>17.2</v>
      </c>
      <c r="E46">
        <v>18.2</v>
      </c>
      <c r="F46">
        <v>18.2</v>
      </c>
    </row>
    <row r="47" spans="2:6" x14ac:dyDescent="0.25">
      <c r="B47">
        <v>59</v>
      </c>
      <c r="C47">
        <v>15.9</v>
      </c>
      <c r="D47">
        <v>18.100000000000001</v>
      </c>
      <c r="E47">
        <v>19</v>
      </c>
      <c r="F47">
        <v>18.7</v>
      </c>
    </row>
    <row r="48" spans="2:6" x14ac:dyDescent="0.25">
      <c r="B48">
        <v>60</v>
      </c>
      <c r="C48">
        <v>13.9</v>
      </c>
      <c r="D48">
        <v>15.7</v>
      </c>
      <c r="E48">
        <v>16.5</v>
      </c>
      <c r="F48">
        <v>17</v>
      </c>
    </row>
    <row r="49" spans="1:10" x14ac:dyDescent="0.25">
      <c r="B49">
        <v>61</v>
      </c>
      <c r="C49">
        <v>16.2</v>
      </c>
      <c r="D49">
        <v>19.7</v>
      </c>
      <c r="E49">
        <v>19.899999999999999</v>
      </c>
      <c r="F49">
        <v>20.7</v>
      </c>
      <c r="G49">
        <v>22</v>
      </c>
      <c r="H49">
        <v>22.2</v>
      </c>
    </row>
    <row r="50" spans="1:10" x14ac:dyDescent="0.25">
      <c r="B50">
        <v>62</v>
      </c>
      <c r="C50">
        <v>14.5</v>
      </c>
      <c r="D50">
        <v>16</v>
      </c>
      <c r="E50">
        <v>16.399999999999999</v>
      </c>
      <c r="F50">
        <v>16.600000000000001</v>
      </c>
      <c r="G50">
        <v>18.100000000000001</v>
      </c>
      <c r="H50">
        <v>17.7</v>
      </c>
    </row>
    <row r="51" spans="1:10" x14ac:dyDescent="0.25">
      <c r="B51">
        <v>63</v>
      </c>
      <c r="C51">
        <v>13.4</v>
      </c>
      <c r="D51">
        <v>15.6</v>
      </c>
      <c r="E51">
        <v>16.2</v>
      </c>
      <c r="F51">
        <v>17</v>
      </c>
      <c r="G51">
        <v>16.600000000000001</v>
      </c>
      <c r="H51">
        <v>17.399999999999999</v>
      </c>
    </row>
    <row r="52" spans="1:10" x14ac:dyDescent="0.25">
      <c r="B52">
        <v>64</v>
      </c>
      <c r="C52">
        <v>14.1</v>
      </c>
      <c r="D52">
        <v>16.399999999999999</v>
      </c>
      <c r="E52">
        <v>15.1</v>
      </c>
      <c r="F52">
        <v>15.1</v>
      </c>
      <c r="G52">
        <v>14</v>
      </c>
      <c r="H52">
        <v>13.4</v>
      </c>
    </row>
    <row r="53" spans="1:10" x14ac:dyDescent="0.25">
      <c r="B53">
        <v>65</v>
      </c>
      <c r="C53">
        <v>17.7</v>
      </c>
      <c r="D53">
        <v>20.399999999999999</v>
      </c>
      <c r="E53">
        <v>20.9</v>
      </c>
      <c r="F53">
        <v>21.2</v>
      </c>
      <c r="G53">
        <v>23.5</v>
      </c>
      <c r="H53">
        <v>24.1</v>
      </c>
    </row>
    <row r="54" spans="1:10" x14ac:dyDescent="0.25">
      <c r="B54">
        <v>66</v>
      </c>
      <c r="C54">
        <v>14.9</v>
      </c>
      <c r="D54">
        <v>16.3</v>
      </c>
      <c r="E54">
        <v>16.399999999999999</v>
      </c>
      <c r="F54">
        <v>17</v>
      </c>
      <c r="G54">
        <v>18.5</v>
      </c>
      <c r="H54">
        <v>18.899999999999999</v>
      </c>
    </row>
    <row r="55" spans="1:10" x14ac:dyDescent="0.25">
      <c r="B55">
        <v>67</v>
      </c>
      <c r="C55">
        <v>12.8</v>
      </c>
      <c r="D55">
        <v>14.3</v>
      </c>
      <c r="E55">
        <v>14.8</v>
      </c>
      <c r="F55">
        <v>15.3</v>
      </c>
      <c r="G55">
        <v>17.100000000000001</v>
      </c>
      <c r="H55">
        <v>17.100000000000001</v>
      </c>
    </row>
    <row r="56" spans="1:10" x14ac:dyDescent="0.25">
      <c r="B56">
        <v>68</v>
      </c>
      <c r="C56">
        <v>15.6</v>
      </c>
      <c r="D56">
        <v>16.899999999999999</v>
      </c>
      <c r="E56">
        <v>16.899999999999999</v>
      </c>
      <c r="F56">
        <v>17.5</v>
      </c>
      <c r="G56">
        <v>19.8</v>
      </c>
      <c r="H56">
        <v>20</v>
      </c>
    </row>
    <row r="57" spans="1:10" x14ac:dyDescent="0.25">
      <c r="A57" t="s">
        <v>10</v>
      </c>
      <c r="B57">
        <v>69</v>
      </c>
      <c r="C57">
        <v>14.2</v>
      </c>
      <c r="D57">
        <v>17.7</v>
      </c>
      <c r="E57">
        <v>18.600000000000001</v>
      </c>
      <c r="F57">
        <v>19.600000000000001</v>
      </c>
      <c r="G57">
        <v>20.7</v>
      </c>
      <c r="H57">
        <v>20.5</v>
      </c>
    </row>
    <row r="58" spans="1:10" x14ac:dyDescent="0.25">
      <c r="B58">
        <v>70</v>
      </c>
      <c r="C58">
        <v>15</v>
      </c>
      <c r="D58">
        <v>17.100000000000001</v>
      </c>
      <c r="E58">
        <v>17.2</v>
      </c>
      <c r="F58">
        <v>17.3</v>
      </c>
      <c r="G58">
        <v>17.100000000000001</v>
      </c>
      <c r="H58">
        <v>17.600000000000001</v>
      </c>
    </row>
    <row r="59" spans="1:10" x14ac:dyDescent="0.25">
      <c r="B59">
        <v>71</v>
      </c>
      <c r="C59">
        <v>14.5</v>
      </c>
      <c r="D59">
        <v>16</v>
      </c>
      <c r="E59">
        <v>15.9</v>
      </c>
      <c r="F59">
        <v>16.8</v>
      </c>
      <c r="G59">
        <v>17.3</v>
      </c>
      <c r="H59">
        <v>17</v>
      </c>
    </row>
    <row r="60" spans="1:10" x14ac:dyDescent="0.25">
      <c r="B60">
        <v>72</v>
      </c>
      <c r="C60">
        <v>17.8</v>
      </c>
      <c r="D60">
        <v>20.2</v>
      </c>
      <c r="E60">
        <v>20.6</v>
      </c>
      <c r="F60">
        <v>21.5</v>
      </c>
      <c r="G60">
        <v>22.7</v>
      </c>
      <c r="H60">
        <v>23</v>
      </c>
    </row>
    <row r="61" spans="1:10" x14ac:dyDescent="0.25">
      <c r="B61">
        <v>73</v>
      </c>
      <c r="C61">
        <v>13.5</v>
      </c>
      <c r="D61">
        <v>15.5</v>
      </c>
      <c r="E61">
        <v>15.9</v>
      </c>
      <c r="F61">
        <v>16.399999999999999</v>
      </c>
      <c r="G61">
        <v>18</v>
      </c>
      <c r="H61">
        <v>18.5</v>
      </c>
    </row>
    <row r="62" spans="1:10" x14ac:dyDescent="0.25">
      <c r="B62">
        <v>74</v>
      </c>
      <c r="C62">
        <v>14.7</v>
      </c>
      <c r="D62">
        <v>17.600000000000001</v>
      </c>
      <c r="E62">
        <v>18.2</v>
      </c>
      <c r="F62">
        <v>18.899999999999999</v>
      </c>
      <c r="G62">
        <v>17.899999999999999</v>
      </c>
      <c r="H62">
        <v>17.8</v>
      </c>
    </row>
    <row r="63" spans="1:10" x14ac:dyDescent="0.25">
      <c r="B63">
        <v>75</v>
      </c>
      <c r="C63">
        <v>16.600000000000001</v>
      </c>
      <c r="D63">
        <v>17.5</v>
      </c>
      <c r="E63">
        <v>17.399999999999999</v>
      </c>
      <c r="F63">
        <v>18.2</v>
      </c>
      <c r="G63">
        <v>17.7</v>
      </c>
      <c r="H63">
        <v>18.2</v>
      </c>
    </row>
    <row r="64" spans="1:10" x14ac:dyDescent="0.25">
      <c r="B64">
        <v>76</v>
      </c>
      <c r="C64">
        <v>14.3</v>
      </c>
      <c r="D64">
        <v>16.600000000000001</v>
      </c>
      <c r="E64">
        <v>16.899999999999999</v>
      </c>
      <c r="F64">
        <v>17.899999999999999</v>
      </c>
      <c r="G64">
        <v>19.899999999999999</v>
      </c>
      <c r="H64">
        <v>19.8</v>
      </c>
      <c r="I64">
        <v>20.100000000000001</v>
      </c>
      <c r="J64">
        <v>21.6</v>
      </c>
    </row>
    <row r="65" spans="1:17" x14ac:dyDescent="0.25">
      <c r="B65">
        <v>77</v>
      </c>
      <c r="C65">
        <v>17.600000000000001</v>
      </c>
      <c r="D65">
        <v>18.3</v>
      </c>
      <c r="E65">
        <v>17.899999999999999</v>
      </c>
      <c r="F65">
        <v>18.2</v>
      </c>
      <c r="G65">
        <v>18.899999999999999</v>
      </c>
      <c r="H65">
        <v>18.2</v>
      </c>
      <c r="I65">
        <v>18.600000000000001</v>
      </c>
      <c r="J65">
        <v>21.8</v>
      </c>
    </row>
    <row r="66" spans="1:17" x14ac:dyDescent="0.25">
      <c r="B66">
        <v>78</v>
      </c>
      <c r="C66">
        <v>17.3</v>
      </c>
      <c r="D66">
        <v>19.7</v>
      </c>
      <c r="E66">
        <v>20.399999999999999</v>
      </c>
      <c r="F66">
        <v>21.8</v>
      </c>
      <c r="G66">
        <v>22.8</v>
      </c>
      <c r="H66">
        <v>22.5</v>
      </c>
      <c r="I66">
        <v>24.4</v>
      </c>
      <c r="J66">
        <v>31.7</v>
      </c>
    </row>
    <row r="67" spans="1:17" x14ac:dyDescent="0.25">
      <c r="A67" t="s">
        <v>10</v>
      </c>
      <c r="B67">
        <v>79</v>
      </c>
      <c r="C67" s="3">
        <v>12.9</v>
      </c>
      <c r="D67" s="3">
        <v>16.7</v>
      </c>
      <c r="E67" s="3">
        <v>17.899999999999999</v>
      </c>
      <c r="F67" s="3">
        <v>19.3</v>
      </c>
      <c r="G67" s="3">
        <v>21.2</v>
      </c>
      <c r="H67" s="3">
        <v>21.7</v>
      </c>
      <c r="I67" s="3">
        <v>22.4</v>
      </c>
      <c r="J67" s="3">
        <v>24.7</v>
      </c>
    </row>
    <row r="68" spans="1:17" x14ac:dyDescent="0.25">
      <c r="B68">
        <v>80</v>
      </c>
      <c r="C68">
        <v>14.8</v>
      </c>
      <c r="D68">
        <v>16</v>
      </c>
      <c r="E68">
        <v>16.7</v>
      </c>
      <c r="F68">
        <v>16.7</v>
      </c>
      <c r="G68">
        <v>17.399999999999999</v>
      </c>
      <c r="H68">
        <v>16.7</v>
      </c>
      <c r="I68">
        <v>17.600000000000001</v>
      </c>
      <c r="J68">
        <v>22.5</v>
      </c>
    </row>
    <row r="69" spans="1:17" x14ac:dyDescent="0.25">
      <c r="B69">
        <v>81</v>
      </c>
      <c r="C69">
        <v>16.2</v>
      </c>
      <c r="D69">
        <v>18</v>
      </c>
      <c r="E69">
        <v>18.8</v>
      </c>
      <c r="F69">
        <v>19.100000000000001</v>
      </c>
      <c r="G69">
        <v>20</v>
      </c>
      <c r="H69">
        <v>20.3</v>
      </c>
      <c r="I69">
        <v>21.3</v>
      </c>
      <c r="J69">
        <v>22.5</v>
      </c>
    </row>
    <row r="70" spans="1:17" x14ac:dyDescent="0.25">
      <c r="B70">
        <v>82</v>
      </c>
      <c r="C70">
        <v>20.100000000000001</v>
      </c>
      <c r="D70">
        <v>22.3</v>
      </c>
      <c r="E70">
        <v>22.9</v>
      </c>
      <c r="F70">
        <v>23</v>
      </c>
      <c r="G70">
        <v>23.9</v>
      </c>
      <c r="H70">
        <v>23.8</v>
      </c>
      <c r="I70">
        <v>24.8</v>
      </c>
      <c r="J70">
        <v>28</v>
      </c>
    </row>
    <row r="71" spans="1:17" x14ac:dyDescent="0.25">
      <c r="B71">
        <v>83</v>
      </c>
      <c r="C71">
        <v>15</v>
      </c>
      <c r="D71">
        <v>17.2</v>
      </c>
      <c r="E71">
        <v>17.100000000000001</v>
      </c>
      <c r="F71">
        <v>17.600000000000001</v>
      </c>
      <c r="G71">
        <v>19.399999999999999</v>
      </c>
      <c r="H71">
        <v>19</v>
      </c>
      <c r="I71">
        <v>19.3</v>
      </c>
      <c r="J71">
        <v>20.399999999999999</v>
      </c>
    </row>
    <row r="72" spans="1:17" x14ac:dyDescent="0.25">
      <c r="B72">
        <v>84</v>
      </c>
      <c r="C72">
        <v>12.7</v>
      </c>
      <c r="D72">
        <v>14.5</v>
      </c>
      <c r="E72">
        <v>13.9</v>
      </c>
      <c r="F72">
        <v>14.8</v>
      </c>
      <c r="G72">
        <v>12.6</v>
      </c>
      <c r="H72">
        <v>13.3</v>
      </c>
      <c r="I72">
        <v>16.7</v>
      </c>
      <c r="J72">
        <v>19.3</v>
      </c>
    </row>
    <row r="73" spans="1:17" x14ac:dyDescent="0.25">
      <c r="B73">
        <v>85</v>
      </c>
      <c r="C73">
        <v>15.7</v>
      </c>
      <c r="D73">
        <v>17.100000000000001</v>
      </c>
      <c r="E73">
        <v>17.7</v>
      </c>
      <c r="F73">
        <v>18</v>
      </c>
      <c r="G73">
        <v>18.5</v>
      </c>
      <c r="H73">
        <v>17.2</v>
      </c>
      <c r="I73">
        <v>18.600000000000001</v>
      </c>
      <c r="J73">
        <v>22.8</v>
      </c>
    </row>
    <row r="74" spans="1:17" x14ac:dyDescent="0.25">
      <c r="B74">
        <v>86</v>
      </c>
      <c r="C74">
        <v>11.2</v>
      </c>
      <c r="D74">
        <v>13.8</v>
      </c>
      <c r="E74">
        <v>14.5</v>
      </c>
      <c r="F74">
        <v>14.8</v>
      </c>
      <c r="G74">
        <v>15.4</v>
      </c>
      <c r="H74">
        <v>15.8</v>
      </c>
      <c r="I74">
        <v>16.8</v>
      </c>
      <c r="J74">
        <v>19.5</v>
      </c>
    </row>
    <row r="75" spans="1:17" x14ac:dyDescent="0.25">
      <c r="B75">
        <v>87</v>
      </c>
      <c r="C75">
        <v>10.3</v>
      </c>
      <c r="D75">
        <v>12.9</v>
      </c>
      <c r="E75">
        <v>14.2</v>
      </c>
      <c r="F75">
        <v>14.6</v>
      </c>
      <c r="G75">
        <v>15.5</v>
      </c>
      <c r="H75">
        <v>16.3</v>
      </c>
      <c r="I75">
        <v>16.8</v>
      </c>
      <c r="J75">
        <v>17.5</v>
      </c>
      <c r="Q75">
        <f>_xlfn.T.TEST(F79:F93,F34:F48,2,2)</f>
        <v>0.38733386954860027</v>
      </c>
    </row>
    <row r="76" spans="1:17" x14ac:dyDescent="0.25">
      <c r="B76">
        <v>88</v>
      </c>
      <c r="C76">
        <v>11.2</v>
      </c>
      <c r="D76">
        <v>13.7</v>
      </c>
      <c r="E76">
        <v>14</v>
      </c>
      <c r="F76">
        <v>14.3</v>
      </c>
      <c r="G76">
        <v>16.2</v>
      </c>
      <c r="H76">
        <v>16.600000000000001</v>
      </c>
      <c r="I76">
        <v>18.2</v>
      </c>
      <c r="J76">
        <v>20.399999999999999</v>
      </c>
    </row>
    <row r="77" spans="1:17" x14ac:dyDescent="0.25">
      <c r="B77">
        <v>89</v>
      </c>
      <c r="C77">
        <v>12.5</v>
      </c>
      <c r="D77">
        <v>15.6</v>
      </c>
      <c r="E77">
        <v>16.3</v>
      </c>
      <c r="F77">
        <v>16.3</v>
      </c>
      <c r="G77">
        <v>17.3</v>
      </c>
      <c r="H77">
        <v>17.8</v>
      </c>
      <c r="I77">
        <v>18.5</v>
      </c>
      <c r="J77">
        <v>21.6</v>
      </c>
    </row>
    <row r="78" spans="1:17" x14ac:dyDescent="0.25">
      <c r="B78">
        <v>90</v>
      </c>
      <c r="C78">
        <v>13.6</v>
      </c>
      <c r="D78">
        <v>16.399999999999999</v>
      </c>
      <c r="E78">
        <v>17.2</v>
      </c>
      <c r="F78">
        <v>18.399999999999999</v>
      </c>
      <c r="G78">
        <v>19.600000000000001</v>
      </c>
      <c r="H78">
        <v>19.8</v>
      </c>
      <c r="I78">
        <v>20.9</v>
      </c>
      <c r="J78">
        <v>24.8</v>
      </c>
    </row>
    <row r="79" spans="1:17" x14ac:dyDescent="0.25">
      <c r="B79">
        <v>1</v>
      </c>
      <c r="C79">
        <v>9.5</v>
      </c>
      <c r="D79">
        <v>14.1</v>
      </c>
      <c r="E79">
        <v>14.6</v>
      </c>
      <c r="F79">
        <v>15.2</v>
      </c>
      <c r="G79">
        <v>16.3</v>
      </c>
    </row>
    <row r="80" spans="1:17" x14ac:dyDescent="0.25">
      <c r="B80">
        <v>2</v>
      </c>
      <c r="C80">
        <v>10.6</v>
      </c>
      <c r="D80">
        <v>17.5</v>
      </c>
      <c r="E80">
        <v>18.100000000000001</v>
      </c>
      <c r="F80">
        <v>18</v>
      </c>
      <c r="G80">
        <v>18.5</v>
      </c>
    </row>
    <row r="81" spans="2:7" x14ac:dyDescent="0.25">
      <c r="B81">
        <v>3</v>
      </c>
      <c r="C81">
        <v>11.3</v>
      </c>
      <c r="D81">
        <v>14.7</v>
      </c>
      <c r="E81">
        <v>15.1</v>
      </c>
      <c r="F81">
        <v>15.2</v>
      </c>
      <c r="G81">
        <v>16.399999999999999</v>
      </c>
    </row>
    <row r="82" spans="2:7" x14ac:dyDescent="0.25">
      <c r="B82">
        <v>4</v>
      </c>
      <c r="C82">
        <v>10.5</v>
      </c>
      <c r="D82">
        <v>15.1</v>
      </c>
      <c r="E82">
        <v>14.9</v>
      </c>
      <c r="F82">
        <v>15.7</v>
      </c>
      <c r="G82">
        <v>17</v>
      </c>
    </row>
    <row r="83" spans="2:7" x14ac:dyDescent="0.25">
      <c r="B83">
        <v>5</v>
      </c>
    </row>
    <row r="84" spans="2:7" x14ac:dyDescent="0.25">
      <c r="B84">
        <v>6</v>
      </c>
      <c r="C84">
        <v>16</v>
      </c>
      <c r="D84">
        <v>17.2</v>
      </c>
      <c r="E84">
        <v>18.7</v>
      </c>
      <c r="F84">
        <v>17.899999999999999</v>
      </c>
      <c r="G84">
        <v>18</v>
      </c>
    </row>
    <row r="85" spans="2:7" x14ac:dyDescent="0.25">
      <c r="B85">
        <v>7</v>
      </c>
      <c r="C85">
        <v>15.5</v>
      </c>
      <c r="D85">
        <v>17.5</v>
      </c>
      <c r="E85">
        <v>18.100000000000001</v>
      </c>
      <c r="F85">
        <v>19.100000000000001</v>
      </c>
      <c r="G85">
        <v>20.6</v>
      </c>
    </row>
    <row r="86" spans="2:7" x14ac:dyDescent="0.25">
      <c r="B86">
        <v>8</v>
      </c>
      <c r="C86">
        <v>14.5</v>
      </c>
      <c r="D86">
        <v>16.600000000000001</v>
      </c>
      <c r="E86">
        <v>17.100000000000001</v>
      </c>
      <c r="F86">
        <v>17.600000000000001</v>
      </c>
      <c r="G86">
        <v>18.899999999999999</v>
      </c>
    </row>
    <row r="87" spans="2:7" x14ac:dyDescent="0.25">
      <c r="B87">
        <v>9</v>
      </c>
      <c r="C87">
        <v>13.2</v>
      </c>
      <c r="D87">
        <v>15.1</v>
      </c>
      <c r="E87">
        <v>15.6</v>
      </c>
      <c r="F87">
        <v>16</v>
      </c>
      <c r="G87">
        <v>16.899999999999999</v>
      </c>
    </row>
    <row r="88" spans="2:7" x14ac:dyDescent="0.25">
      <c r="B88">
        <v>10</v>
      </c>
      <c r="C88">
        <v>13.1</v>
      </c>
      <c r="D88">
        <v>14.2</v>
      </c>
      <c r="E88">
        <v>14.5</v>
      </c>
      <c r="F88">
        <v>14.9</v>
      </c>
      <c r="G88">
        <v>16.100000000000001</v>
      </c>
    </row>
    <row r="89" spans="2:7" x14ac:dyDescent="0.25">
      <c r="B89">
        <v>11</v>
      </c>
      <c r="C89">
        <v>17.2</v>
      </c>
      <c r="D89">
        <v>19.899999999999999</v>
      </c>
      <c r="E89">
        <v>20.6</v>
      </c>
      <c r="F89">
        <v>21</v>
      </c>
      <c r="G89">
        <v>21.5</v>
      </c>
    </row>
    <row r="90" spans="2:7" x14ac:dyDescent="0.25">
      <c r="B90">
        <v>12</v>
      </c>
      <c r="C90">
        <v>13.9</v>
      </c>
      <c r="D90">
        <v>15.7</v>
      </c>
      <c r="E90">
        <v>16.3</v>
      </c>
      <c r="F90">
        <v>16.5</v>
      </c>
      <c r="G90">
        <v>17.3</v>
      </c>
    </row>
    <row r="91" spans="2:7" x14ac:dyDescent="0.25">
      <c r="B91">
        <v>13</v>
      </c>
      <c r="C91">
        <v>18.2</v>
      </c>
      <c r="D91">
        <v>20.3</v>
      </c>
      <c r="E91">
        <v>20.7</v>
      </c>
      <c r="F91">
        <v>21.2</v>
      </c>
      <c r="G91">
        <v>22.1</v>
      </c>
    </row>
    <row r="92" spans="2:7" x14ac:dyDescent="0.25">
      <c r="B92">
        <v>14</v>
      </c>
      <c r="C92">
        <v>19.3</v>
      </c>
      <c r="D92">
        <v>22.3</v>
      </c>
      <c r="E92">
        <v>22.5</v>
      </c>
      <c r="F92">
        <v>23</v>
      </c>
      <c r="G92">
        <v>23.1</v>
      </c>
    </row>
    <row r="93" spans="2:7" x14ac:dyDescent="0.25">
      <c r="B93">
        <v>15</v>
      </c>
      <c r="C93">
        <v>15</v>
      </c>
      <c r="D93">
        <v>15.7</v>
      </c>
      <c r="E93">
        <v>16.2</v>
      </c>
      <c r="F93">
        <v>16.5</v>
      </c>
      <c r="G93">
        <v>17.3</v>
      </c>
    </row>
    <row r="100" spans="2:19" ht="15.75" thickBot="1" x14ac:dyDescent="0.3">
      <c r="B100" t="s">
        <v>11</v>
      </c>
      <c r="M100" t="s">
        <v>12</v>
      </c>
    </row>
    <row r="101" spans="2:19" x14ac:dyDescent="0.25"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s="5"/>
      <c r="L101" s="6"/>
      <c r="M101" s="6" t="s">
        <v>3</v>
      </c>
      <c r="N101" s="6" t="s">
        <v>4</v>
      </c>
      <c r="O101" s="6" t="s">
        <v>5</v>
      </c>
      <c r="P101" s="6" t="s">
        <v>6</v>
      </c>
      <c r="Q101" s="6" t="s">
        <v>7</v>
      </c>
      <c r="R101" s="6" t="s">
        <v>8</v>
      </c>
      <c r="S101" s="7" t="s">
        <v>9</v>
      </c>
    </row>
    <row r="102" spans="2:19" x14ac:dyDescent="0.25">
      <c r="B102" t="s">
        <v>3</v>
      </c>
      <c r="C102">
        <v>16</v>
      </c>
      <c r="D102">
        <f t="shared" ref="D102:J111" si="0">D4/$C4</f>
        <v>1.1692307692307691</v>
      </c>
      <c r="E102">
        <f t="shared" si="0"/>
        <v>0</v>
      </c>
      <c r="F102">
        <f t="shared" si="0"/>
        <v>0</v>
      </c>
      <c r="G102">
        <f t="shared" si="0"/>
        <v>0</v>
      </c>
      <c r="H102">
        <f t="shared" si="0"/>
        <v>0</v>
      </c>
      <c r="I102">
        <f t="shared" si="0"/>
        <v>0</v>
      </c>
      <c r="J102">
        <f t="shared" si="0"/>
        <v>0</v>
      </c>
      <c r="K102" s="8" t="s">
        <v>3</v>
      </c>
      <c r="L102" s="2">
        <v>16</v>
      </c>
      <c r="M102" s="2">
        <f t="shared" ref="M102:M108" si="1">D102*100</f>
        <v>116.92307692307691</v>
      </c>
      <c r="N102" s="2">
        <f t="shared" ref="N102:N108" si="2">E102*100</f>
        <v>0</v>
      </c>
      <c r="O102" s="2">
        <f t="shared" ref="O102:O108" si="3">F102*100</f>
        <v>0</v>
      </c>
      <c r="P102" s="2">
        <f t="shared" ref="P102:P108" si="4">G102*100</f>
        <v>0</v>
      </c>
      <c r="Q102" s="2">
        <f t="shared" ref="Q102:Q108" si="5">H102*100</f>
        <v>0</v>
      </c>
      <c r="R102" s="2">
        <f t="shared" ref="R102:R108" si="6">I102*100</f>
        <v>0</v>
      </c>
      <c r="S102" s="9">
        <f t="shared" ref="S102:S108" si="7">J102*100</f>
        <v>0</v>
      </c>
    </row>
    <row r="103" spans="2:19" x14ac:dyDescent="0.25">
      <c r="B103" t="s">
        <v>3</v>
      </c>
      <c r="C103">
        <v>17</v>
      </c>
      <c r="D103">
        <f t="shared" si="0"/>
        <v>1.1455696202531647</v>
      </c>
      <c r="E103">
        <f t="shared" si="0"/>
        <v>0</v>
      </c>
      <c r="F103">
        <f t="shared" si="0"/>
        <v>0</v>
      </c>
      <c r="G103">
        <f t="shared" si="0"/>
        <v>0</v>
      </c>
      <c r="H103">
        <f t="shared" si="0"/>
        <v>0</v>
      </c>
      <c r="I103">
        <f t="shared" si="0"/>
        <v>0</v>
      </c>
      <c r="J103">
        <f t="shared" si="0"/>
        <v>0</v>
      </c>
      <c r="K103" s="8" t="s">
        <v>3</v>
      </c>
      <c r="L103" s="2">
        <v>17</v>
      </c>
      <c r="M103" s="2">
        <f t="shared" si="1"/>
        <v>114.55696202531647</v>
      </c>
      <c r="N103" s="2">
        <f t="shared" si="2"/>
        <v>0</v>
      </c>
      <c r="O103" s="2">
        <f t="shared" si="3"/>
        <v>0</v>
      </c>
      <c r="P103" s="2">
        <f t="shared" si="4"/>
        <v>0</v>
      </c>
      <c r="Q103" s="2">
        <f t="shared" si="5"/>
        <v>0</v>
      </c>
      <c r="R103" s="2">
        <f t="shared" si="6"/>
        <v>0</v>
      </c>
      <c r="S103" s="9">
        <f t="shared" si="7"/>
        <v>0</v>
      </c>
    </row>
    <row r="104" spans="2:19" x14ac:dyDescent="0.25">
      <c r="B104" t="s">
        <v>3</v>
      </c>
      <c r="C104">
        <v>18</v>
      </c>
      <c r="D104">
        <f t="shared" si="0"/>
        <v>1.0522875816993464</v>
      </c>
      <c r="E104">
        <f t="shared" si="0"/>
        <v>0</v>
      </c>
      <c r="F104">
        <f t="shared" si="0"/>
        <v>0</v>
      </c>
      <c r="G104">
        <f t="shared" si="0"/>
        <v>0</v>
      </c>
      <c r="H104">
        <f t="shared" si="0"/>
        <v>0</v>
      </c>
      <c r="I104">
        <f t="shared" si="0"/>
        <v>0</v>
      </c>
      <c r="J104">
        <f t="shared" si="0"/>
        <v>0</v>
      </c>
      <c r="K104" s="8" t="s">
        <v>3</v>
      </c>
      <c r="L104" s="2">
        <v>18</v>
      </c>
      <c r="M104" s="2">
        <f t="shared" si="1"/>
        <v>105.22875816993465</v>
      </c>
      <c r="N104" s="2">
        <f t="shared" si="2"/>
        <v>0</v>
      </c>
      <c r="O104" s="2">
        <f t="shared" si="3"/>
        <v>0</v>
      </c>
      <c r="P104" s="2">
        <f t="shared" si="4"/>
        <v>0</v>
      </c>
      <c r="Q104" s="2">
        <f t="shared" si="5"/>
        <v>0</v>
      </c>
      <c r="R104" s="2">
        <f t="shared" si="6"/>
        <v>0</v>
      </c>
      <c r="S104" s="9">
        <f t="shared" si="7"/>
        <v>0</v>
      </c>
    </row>
    <row r="105" spans="2:19" x14ac:dyDescent="0.25">
      <c r="B105" t="s">
        <v>3</v>
      </c>
      <c r="C105">
        <v>19</v>
      </c>
      <c r="D105">
        <f t="shared" si="0"/>
        <v>1.2184873949579831</v>
      </c>
      <c r="E105">
        <f t="shared" si="0"/>
        <v>0</v>
      </c>
      <c r="F105">
        <f t="shared" si="0"/>
        <v>0</v>
      </c>
      <c r="G105">
        <f t="shared" si="0"/>
        <v>0</v>
      </c>
      <c r="H105">
        <f t="shared" si="0"/>
        <v>0</v>
      </c>
      <c r="I105">
        <f t="shared" si="0"/>
        <v>0</v>
      </c>
      <c r="J105">
        <f t="shared" si="0"/>
        <v>0</v>
      </c>
      <c r="K105" s="8" t="s">
        <v>3</v>
      </c>
      <c r="L105" s="2">
        <v>19</v>
      </c>
      <c r="M105" s="2">
        <f t="shared" si="1"/>
        <v>121.84873949579831</v>
      </c>
      <c r="N105" s="2">
        <f t="shared" si="2"/>
        <v>0</v>
      </c>
      <c r="O105" s="2">
        <f t="shared" si="3"/>
        <v>0</v>
      </c>
      <c r="P105" s="2">
        <f t="shared" si="4"/>
        <v>0</v>
      </c>
      <c r="Q105" s="2">
        <f t="shared" si="5"/>
        <v>0</v>
      </c>
      <c r="R105" s="2">
        <f t="shared" si="6"/>
        <v>0</v>
      </c>
      <c r="S105" s="9">
        <f t="shared" si="7"/>
        <v>0</v>
      </c>
    </row>
    <row r="106" spans="2:19" x14ac:dyDescent="0.25">
      <c r="B106" t="s">
        <v>3</v>
      </c>
      <c r="C106">
        <v>20</v>
      </c>
      <c r="D106">
        <f t="shared" si="0"/>
        <v>1.2012987012987013</v>
      </c>
      <c r="E106">
        <f t="shared" si="0"/>
        <v>0</v>
      </c>
      <c r="F106">
        <f t="shared" si="0"/>
        <v>0</v>
      </c>
      <c r="G106">
        <f t="shared" si="0"/>
        <v>0</v>
      </c>
      <c r="H106">
        <f t="shared" si="0"/>
        <v>0</v>
      </c>
      <c r="I106">
        <f t="shared" si="0"/>
        <v>0</v>
      </c>
      <c r="J106">
        <f t="shared" si="0"/>
        <v>0</v>
      </c>
      <c r="K106" s="8" t="s">
        <v>3</v>
      </c>
      <c r="L106" s="2">
        <v>20</v>
      </c>
      <c r="M106" s="2">
        <f t="shared" si="1"/>
        <v>120.12987012987013</v>
      </c>
      <c r="N106" s="2">
        <f t="shared" si="2"/>
        <v>0</v>
      </c>
      <c r="O106" s="2">
        <f t="shared" si="3"/>
        <v>0</v>
      </c>
      <c r="P106" s="2">
        <f t="shared" si="4"/>
        <v>0</v>
      </c>
      <c r="Q106" s="2">
        <f t="shared" si="5"/>
        <v>0</v>
      </c>
      <c r="R106" s="2">
        <f t="shared" si="6"/>
        <v>0</v>
      </c>
      <c r="S106" s="9">
        <f t="shared" si="7"/>
        <v>0</v>
      </c>
    </row>
    <row r="107" spans="2:19" x14ac:dyDescent="0.25">
      <c r="B107" t="s">
        <v>3</v>
      </c>
      <c r="C107">
        <v>21</v>
      </c>
      <c r="D107">
        <f t="shared" si="0"/>
        <v>1.1403508771929824</v>
      </c>
      <c r="E107">
        <f t="shared" si="0"/>
        <v>0</v>
      </c>
      <c r="F107">
        <f t="shared" si="0"/>
        <v>0</v>
      </c>
      <c r="G107">
        <f t="shared" si="0"/>
        <v>0</v>
      </c>
      <c r="H107">
        <f t="shared" si="0"/>
        <v>0</v>
      </c>
      <c r="I107">
        <f t="shared" si="0"/>
        <v>0</v>
      </c>
      <c r="J107">
        <f t="shared" si="0"/>
        <v>0</v>
      </c>
      <c r="K107" s="8" t="s">
        <v>3</v>
      </c>
      <c r="L107" s="2">
        <v>21</v>
      </c>
      <c r="M107" s="2">
        <f t="shared" si="1"/>
        <v>114.03508771929825</v>
      </c>
      <c r="N107" s="2">
        <f t="shared" si="2"/>
        <v>0</v>
      </c>
      <c r="O107" s="2">
        <f t="shared" si="3"/>
        <v>0</v>
      </c>
      <c r="P107" s="2">
        <f t="shared" si="4"/>
        <v>0</v>
      </c>
      <c r="Q107" s="2">
        <f t="shared" si="5"/>
        <v>0</v>
      </c>
      <c r="R107" s="2">
        <f t="shared" si="6"/>
        <v>0</v>
      </c>
      <c r="S107" s="9">
        <f t="shared" si="7"/>
        <v>0</v>
      </c>
    </row>
    <row r="108" spans="2:19" x14ac:dyDescent="0.25">
      <c r="B108" t="s">
        <v>3</v>
      </c>
      <c r="C108">
        <v>22</v>
      </c>
      <c r="D108">
        <f t="shared" si="0"/>
        <v>1.1279069767441861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 s="8" t="s">
        <v>3</v>
      </c>
      <c r="L108" s="2">
        <v>22</v>
      </c>
      <c r="M108" s="2">
        <f t="shared" si="1"/>
        <v>112.79069767441861</v>
      </c>
      <c r="N108" s="2">
        <f t="shared" si="2"/>
        <v>0</v>
      </c>
      <c r="O108" s="2">
        <f t="shared" si="3"/>
        <v>0</v>
      </c>
      <c r="P108" s="2">
        <f t="shared" si="4"/>
        <v>0</v>
      </c>
      <c r="Q108" s="2">
        <f t="shared" si="5"/>
        <v>0</v>
      </c>
      <c r="R108" s="2">
        <f t="shared" si="6"/>
        <v>0</v>
      </c>
      <c r="S108" s="9">
        <f t="shared" si="7"/>
        <v>0</v>
      </c>
    </row>
    <row r="109" spans="2:19" x14ac:dyDescent="0.25">
      <c r="B109" t="s">
        <v>3</v>
      </c>
      <c r="C109">
        <v>23</v>
      </c>
      <c r="D109">
        <f t="shared" si="0"/>
        <v>1.125</v>
      </c>
      <c r="E109">
        <f t="shared" si="0"/>
        <v>0</v>
      </c>
      <c r="F109">
        <f t="shared" si="0"/>
        <v>0</v>
      </c>
      <c r="G109">
        <f t="shared" si="0"/>
        <v>0</v>
      </c>
      <c r="H109">
        <f t="shared" si="0"/>
        <v>0</v>
      </c>
      <c r="I109">
        <f t="shared" si="0"/>
        <v>0</v>
      </c>
      <c r="J109">
        <f t="shared" si="0"/>
        <v>0</v>
      </c>
      <c r="K109" s="8" t="s">
        <v>3</v>
      </c>
      <c r="L109" s="2">
        <v>23</v>
      </c>
      <c r="M109" s="2">
        <f t="shared" ref="M109:M129" si="8">D109*100</f>
        <v>112.5</v>
      </c>
      <c r="N109" s="2">
        <f t="shared" ref="N109:N129" si="9">E109*100</f>
        <v>0</v>
      </c>
      <c r="O109" s="2">
        <f t="shared" ref="O109:O129" si="10">F109*100</f>
        <v>0</v>
      </c>
      <c r="P109" s="2">
        <f t="shared" ref="P109:P129" si="11">G109*100</f>
        <v>0</v>
      </c>
      <c r="Q109" s="2">
        <f t="shared" ref="Q109:Q129" si="12">H109*100</f>
        <v>0</v>
      </c>
      <c r="R109" s="2">
        <f t="shared" ref="R109:R129" si="13">I109*100</f>
        <v>0</v>
      </c>
      <c r="S109" s="9">
        <f t="shared" ref="S109:S129" si="14">J109*100</f>
        <v>0</v>
      </c>
    </row>
    <row r="110" spans="2:19" x14ac:dyDescent="0.25">
      <c r="B110" t="s">
        <v>3</v>
      </c>
      <c r="C110">
        <v>24</v>
      </c>
      <c r="D110">
        <f t="shared" si="0"/>
        <v>1.1014492753623186</v>
      </c>
      <c r="E110">
        <f t="shared" si="0"/>
        <v>0</v>
      </c>
      <c r="F110">
        <f t="shared" si="0"/>
        <v>0</v>
      </c>
      <c r="G110">
        <f t="shared" si="0"/>
        <v>0</v>
      </c>
      <c r="H110">
        <f t="shared" si="0"/>
        <v>0</v>
      </c>
      <c r="I110">
        <f t="shared" si="0"/>
        <v>0</v>
      </c>
      <c r="J110">
        <f t="shared" si="0"/>
        <v>0</v>
      </c>
      <c r="K110" s="8" t="s">
        <v>3</v>
      </c>
      <c r="L110" s="2">
        <v>24</v>
      </c>
      <c r="M110" s="2">
        <f t="shared" si="8"/>
        <v>110.14492753623186</v>
      </c>
      <c r="N110" s="2">
        <f t="shared" si="9"/>
        <v>0</v>
      </c>
      <c r="O110" s="2">
        <f t="shared" si="10"/>
        <v>0</v>
      </c>
      <c r="P110" s="2">
        <f t="shared" si="11"/>
        <v>0</v>
      </c>
      <c r="Q110" s="2">
        <f t="shared" si="12"/>
        <v>0</v>
      </c>
      <c r="R110" s="2">
        <f t="shared" si="13"/>
        <v>0</v>
      </c>
      <c r="S110" s="9">
        <f t="shared" si="14"/>
        <v>0</v>
      </c>
    </row>
    <row r="111" spans="2:19" x14ac:dyDescent="0.25">
      <c r="B111" t="s">
        <v>3</v>
      </c>
      <c r="C111">
        <v>25</v>
      </c>
      <c r="D111">
        <f t="shared" si="0"/>
        <v>1.1699346405228757</v>
      </c>
      <c r="E111">
        <f t="shared" si="0"/>
        <v>0</v>
      </c>
      <c r="F111">
        <f t="shared" si="0"/>
        <v>0</v>
      </c>
      <c r="G111">
        <f t="shared" si="0"/>
        <v>0</v>
      </c>
      <c r="H111">
        <f t="shared" si="0"/>
        <v>0</v>
      </c>
      <c r="I111">
        <f t="shared" si="0"/>
        <v>0</v>
      </c>
      <c r="J111">
        <f t="shared" si="0"/>
        <v>0</v>
      </c>
      <c r="K111" s="8" t="s">
        <v>3</v>
      </c>
      <c r="L111" s="2">
        <v>25</v>
      </c>
      <c r="M111" s="2">
        <f t="shared" si="8"/>
        <v>116.99346405228756</v>
      </c>
      <c r="N111" s="2">
        <f t="shared" si="9"/>
        <v>0</v>
      </c>
      <c r="O111" s="2">
        <f t="shared" si="10"/>
        <v>0</v>
      </c>
      <c r="P111" s="2">
        <f t="shared" si="11"/>
        <v>0</v>
      </c>
      <c r="Q111" s="2">
        <f t="shared" si="12"/>
        <v>0</v>
      </c>
      <c r="R111" s="2">
        <f t="shared" si="13"/>
        <v>0</v>
      </c>
      <c r="S111" s="9">
        <f t="shared" si="14"/>
        <v>0</v>
      </c>
    </row>
    <row r="112" spans="2:19" x14ac:dyDescent="0.25">
      <c r="B112" t="s">
        <v>3</v>
      </c>
      <c r="C112">
        <v>26</v>
      </c>
      <c r="D112">
        <f t="shared" ref="D112:J121" si="15">D14/$C14</f>
        <v>1.196969696969697</v>
      </c>
      <c r="E112">
        <f t="shared" si="15"/>
        <v>0</v>
      </c>
      <c r="F112">
        <f t="shared" si="15"/>
        <v>0</v>
      </c>
      <c r="G112">
        <f t="shared" si="15"/>
        <v>0</v>
      </c>
      <c r="H112">
        <f t="shared" si="15"/>
        <v>0</v>
      </c>
      <c r="I112">
        <f t="shared" si="15"/>
        <v>0</v>
      </c>
      <c r="J112">
        <f t="shared" si="15"/>
        <v>0</v>
      </c>
      <c r="K112" s="8" t="s">
        <v>3</v>
      </c>
      <c r="L112" s="2">
        <v>26</v>
      </c>
      <c r="M112" s="2">
        <f t="shared" si="8"/>
        <v>119.6969696969697</v>
      </c>
      <c r="N112" s="2">
        <f t="shared" si="9"/>
        <v>0</v>
      </c>
      <c r="O112" s="2">
        <f t="shared" si="10"/>
        <v>0</v>
      </c>
      <c r="P112" s="2">
        <f t="shared" si="11"/>
        <v>0</v>
      </c>
      <c r="Q112" s="2">
        <f t="shared" si="12"/>
        <v>0</v>
      </c>
      <c r="R112" s="2">
        <f t="shared" si="13"/>
        <v>0</v>
      </c>
      <c r="S112" s="9">
        <f t="shared" si="14"/>
        <v>0</v>
      </c>
    </row>
    <row r="113" spans="2:19" x14ac:dyDescent="0.25">
      <c r="B113" t="s">
        <v>3</v>
      </c>
      <c r="C113">
        <v>27</v>
      </c>
      <c r="D113">
        <f t="shared" si="15"/>
        <v>1.0945945945945945</v>
      </c>
      <c r="E113">
        <f t="shared" si="15"/>
        <v>0</v>
      </c>
      <c r="F113">
        <f t="shared" si="15"/>
        <v>0</v>
      </c>
      <c r="G113">
        <f t="shared" si="15"/>
        <v>0</v>
      </c>
      <c r="H113">
        <f t="shared" si="15"/>
        <v>0</v>
      </c>
      <c r="I113">
        <f t="shared" si="15"/>
        <v>0</v>
      </c>
      <c r="J113">
        <f t="shared" si="15"/>
        <v>0</v>
      </c>
      <c r="K113" s="8" t="s">
        <v>3</v>
      </c>
      <c r="L113" s="2">
        <v>27</v>
      </c>
      <c r="M113" s="2">
        <f t="shared" si="8"/>
        <v>109.45945945945945</v>
      </c>
      <c r="N113" s="2">
        <f t="shared" si="9"/>
        <v>0</v>
      </c>
      <c r="O113" s="2">
        <f t="shared" si="10"/>
        <v>0</v>
      </c>
      <c r="P113" s="2">
        <f t="shared" si="11"/>
        <v>0</v>
      </c>
      <c r="Q113" s="2">
        <f t="shared" si="12"/>
        <v>0</v>
      </c>
      <c r="R113" s="2">
        <f t="shared" si="13"/>
        <v>0</v>
      </c>
      <c r="S113" s="9">
        <f t="shared" si="14"/>
        <v>0</v>
      </c>
    </row>
    <row r="114" spans="2:19" x14ac:dyDescent="0.25">
      <c r="B114" t="s">
        <v>3</v>
      </c>
      <c r="C114">
        <v>28</v>
      </c>
      <c r="D114">
        <f t="shared" si="15"/>
        <v>1.1464968152866242</v>
      </c>
      <c r="E114">
        <f t="shared" si="15"/>
        <v>0</v>
      </c>
      <c r="F114">
        <f t="shared" si="15"/>
        <v>0</v>
      </c>
      <c r="G114">
        <f t="shared" si="15"/>
        <v>0</v>
      </c>
      <c r="H114">
        <f t="shared" si="15"/>
        <v>0</v>
      </c>
      <c r="I114">
        <f t="shared" si="15"/>
        <v>0</v>
      </c>
      <c r="J114">
        <f t="shared" si="15"/>
        <v>0</v>
      </c>
      <c r="K114" s="8" t="s">
        <v>3</v>
      </c>
      <c r="L114" s="2">
        <v>28</v>
      </c>
      <c r="M114" s="2">
        <f t="shared" si="8"/>
        <v>114.64968152866241</v>
      </c>
      <c r="N114" s="2">
        <f t="shared" si="9"/>
        <v>0</v>
      </c>
      <c r="O114" s="2">
        <f t="shared" si="10"/>
        <v>0</v>
      </c>
      <c r="P114" s="2">
        <f t="shared" si="11"/>
        <v>0</v>
      </c>
      <c r="Q114" s="2">
        <f t="shared" si="12"/>
        <v>0</v>
      </c>
      <c r="R114" s="2">
        <f t="shared" si="13"/>
        <v>0</v>
      </c>
      <c r="S114" s="9">
        <f t="shared" si="14"/>
        <v>0</v>
      </c>
    </row>
    <row r="115" spans="2:19" x14ac:dyDescent="0.25">
      <c r="B115" t="s">
        <v>3</v>
      </c>
      <c r="C115">
        <v>29</v>
      </c>
      <c r="D115">
        <f t="shared" si="15"/>
        <v>1.1041666666666667</v>
      </c>
      <c r="E115">
        <f t="shared" si="15"/>
        <v>0</v>
      </c>
      <c r="F115">
        <f t="shared" si="15"/>
        <v>0</v>
      </c>
      <c r="G115">
        <f t="shared" si="15"/>
        <v>0</v>
      </c>
      <c r="H115">
        <f t="shared" si="15"/>
        <v>0</v>
      </c>
      <c r="I115">
        <f t="shared" si="15"/>
        <v>0</v>
      </c>
      <c r="J115">
        <f t="shared" si="15"/>
        <v>0</v>
      </c>
      <c r="K115" s="8" t="s">
        <v>3</v>
      </c>
      <c r="L115" s="2">
        <v>29</v>
      </c>
      <c r="M115" s="2">
        <f t="shared" si="8"/>
        <v>110.41666666666667</v>
      </c>
      <c r="N115" s="2">
        <f t="shared" si="9"/>
        <v>0</v>
      </c>
      <c r="O115" s="2">
        <f t="shared" si="10"/>
        <v>0</v>
      </c>
      <c r="P115" s="2">
        <f t="shared" si="11"/>
        <v>0</v>
      </c>
      <c r="Q115" s="2">
        <f t="shared" si="12"/>
        <v>0</v>
      </c>
      <c r="R115" s="2">
        <f t="shared" si="13"/>
        <v>0</v>
      </c>
      <c r="S115" s="9">
        <f t="shared" si="14"/>
        <v>0</v>
      </c>
    </row>
    <row r="116" spans="2:19" x14ac:dyDescent="0.25">
      <c r="B116" t="s">
        <v>3</v>
      </c>
      <c r="C116">
        <v>30</v>
      </c>
      <c r="D116">
        <f t="shared" si="15"/>
        <v>1.2027972027972027</v>
      </c>
      <c r="E116">
        <f t="shared" si="15"/>
        <v>0</v>
      </c>
      <c r="F116">
        <f t="shared" si="15"/>
        <v>0</v>
      </c>
      <c r="G116">
        <f t="shared" si="15"/>
        <v>0</v>
      </c>
      <c r="H116">
        <f t="shared" si="15"/>
        <v>0</v>
      </c>
      <c r="I116">
        <f t="shared" si="15"/>
        <v>0</v>
      </c>
      <c r="J116">
        <f t="shared" si="15"/>
        <v>0</v>
      </c>
      <c r="K116" s="8" t="s">
        <v>3</v>
      </c>
      <c r="L116" s="2">
        <v>30</v>
      </c>
      <c r="M116" s="2">
        <f t="shared" si="8"/>
        <v>120.27972027972027</v>
      </c>
      <c r="N116" s="2">
        <f t="shared" si="9"/>
        <v>0</v>
      </c>
      <c r="O116" s="2">
        <f t="shared" si="10"/>
        <v>0</v>
      </c>
      <c r="P116" s="2">
        <f t="shared" si="11"/>
        <v>0</v>
      </c>
      <c r="Q116" s="2">
        <f t="shared" si="12"/>
        <v>0</v>
      </c>
      <c r="R116" s="2">
        <f t="shared" si="13"/>
        <v>0</v>
      </c>
      <c r="S116" s="9">
        <f t="shared" si="14"/>
        <v>0</v>
      </c>
    </row>
    <row r="117" spans="2:19" x14ac:dyDescent="0.25">
      <c r="B117" t="s">
        <v>4</v>
      </c>
      <c r="C117">
        <v>31</v>
      </c>
      <c r="D117">
        <f t="shared" si="15"/>
        <v>1.3666666666666665</v>
      </c>
      <c r="E117">
        <f t="shared" si="15"/>
        <v>1.4083333333333332</v>
      </c>
      <c r="F117">
        <f t="shared" si="15"/>
        <v>0</v>
      </c>
      <c r="G117">
        <f t="shared" si="15"/>
        <v>0</v>
      </c>
      <c r="H117">
        <f t="shared" si="15"/>
        <v>0</v>
      </c>
      <c r="I117">
        <f t="shared" si="15"/>
        <v>0</v>
      </c>
      <c r="J117">
        <f t="shared" si="15"/>
        <v>0</v>
      </c>
      <c r="K117" s="8" t="s">
        <v>4</v>
      </c>
      <c r="L117" s="2">
        <v>31</v>
      </c>
      <c r="M117" s="2">
        <f t="shared" si="8"/>
        <v>136.66666666666666</v>
      </c>
      <c r="N117" s="2">
        <f t="shared" si="9"/>
        <v>140.83333333333331</v>
      </c>
      <c r="O117" s="2">
        <f t="shared" si="10"/>
        <v>0</v>
      </c>
      <c r="P117" s="2">
        <f t="shared" si="11"/>
        <v>0</v>
      </c>
      <c r="Q117" s="2">
        <f t="shared" si="12"/>
        <v>0</v>
      </c>
      <c r="R117" s="2">
        <f t="shared" si="13"/>
        <v>0</v>
      </c>
      <c r="S117" s="9">
        <f t="shared" si="14"/>
        <v>0</v>
      </c>
    </row>
    <row r="118" spans="2:19" x14ac:dyDescent="0.25">
      <c r="B118" t="s">
        <v>4</v>
      </c>
      <c r="C118">
        <v>32</v>
      </c>
      <c r="D118">
        <f t="shared" si="15"/>
        <v>1.3913043478260869</v>
      </c>
      <c r="E118">
        <f t="shared" si="15"/>
        <v>1.3768115942028984</v>
      </c>
      <c r="F118">
        <f t="shared" si="15"/>
        <v>0</v>
      </c>
      <c r="G118">
        <f t="shared" si="15"/>
        <v>0</v>
      </c>
      <c r="H118">
        <f t="shared" si="15"/>
        <v>0</v>
      </c>
      <c r="I118">
        <f t="shared" si="15"/>
        <v>0</v>
      </c>
      <c r="J118">
        <f t="shared" si="15"/>
        <v>0</v>
      </c>
      <c r="K118" s="8" t="s">
        <v>4</v>
      </c>
      <c r="L118" s="2">
        <v>32</v>
      </c>
      <c r="M118" s="2">
        <f t="shared" si="8"/>
        <v>139.13043478260869</v>
      </c>
      <c r="N118" s="2">
        <f t="shared" si="9"/>
        <v>137.68115942028984</v>
      </c>
      <c r="O118" s="2">
        <f t="shared" si="10"/>
        <v>0</v>
      </c>
      <c r="P118" s="2">
        <f t="shared" si="11"/>
        <v>0</v>
      </c>
      <c r="Q118" s="2">
        <f t="shared" si="12"/>
        <v>0</v>
      </c>
      <c r="R118" s="2">
        <f t="shared" si="13"/>
        <v>0</v>
      </c>
      <c r="S118" s="9">
        <f t="shared" si="14"/>
        <v>0</v>
      </c>
    </row>
    <row r="119" spans="2:19" x14ac:dyDescent="0.25">
      <c r="B119" t="s">
        <v>4</v>
      </c>
      <c r="C119">
        <v>33</v>
      </c>
      <c r="D119">
        <f t="shared" si="15"/>
        <v>1.333333333333333</v>
      </c>
      <c r="E119">
        <f t="shared" si="15"/>
        <v>1.3577235772357723</v>
      </c>
      <c r="F119">
        <f t="shared" si="15"/>
        <v>0</v>
      </c>
      <c r="G119">
        <f t="shared" si="15"/>
        <v>0</v>
      </c>
      <c r="H119">
        <f t="shared" si="15"/>
        <v>0</v>
      </c>
      <c r="I119">
        <f t="shared" si="15"/>
        <v>0</v>
      </c>
      <c r="J119">
        <f t="shared" si="15"/>
        <v>0</v>
      </c>
      <c r="K119" s="8" t="s">
        <v>4</v>
      </c>
      <c r="L119" s="2">
        <v>33</v>
      </c>
      <c r="M119" s="2">
        <f t="shared" si="8"/>
        <v>133.33333333333331</v>
      </c>
      <c r="N119" s="2">
        <f t="shared" si="9"/>
        <v>135.77235772357724</v>
      </c>
      <c r="O119" s="2">
        <f t="shared" si="10"/>
        <v>0</v>
      </c>
      <c r="P119" s="2">
        <f t="shared" si="11"/>
        <v>0</v>
      </c>
      <c r="Q119" s="2">
        <f t="shared" si="12"/>
        <v>0</v>
      </c>
      <c r="R119" s="2">
        <f t="shared" si="13"/>
        <v>0</v>
      </c>
      <c r="S119" s="9">
        <f t="shared" si="14"/>
        <v>0</v>
      </c>
    </row>
    <row r="120" spans="2:19" x14ac:dyDescent="0.25">
      <c r="B120" t="s">
        <v>4</v>
      </c>
      <c r="C120">
        <v>34</v>
      </c>
      <c r="D120">
        <f t="shared" si="15"/>
        <v>1.3936170212765957</v>
      </c>
      <c r="E120">
        <f t="shared" si="15"/>
        <v>1.3936170212765957</v>
      </c>
      <c r="F120">
        <f t="shared" si="15"/>
        <v>0</v>
      </c>
      <c r="G120">
        <f t="shared" si="15"/>
        <v>0</v>
      </c>
      <c r="H120">
        <f t="shared" si="15"/>
        <v>0</v>
      </c>
      <c r="I120">
        <f t="shared" si="15"/>
        <v>0</v>
      </c>
      <c r="J120">
        <f t="shared" si="15"/>
        <v>0</v>
      </c>
      <c r="K120" s="8" t="s">
        <v>4</v>
      </c>
      <c r="L120" s="2">
        <v>34</v>
      </c>
      <c r="M120" s="2">
        <f t="shared" si="8"/>
        <v>139.36170212765958</v>
      </c>
      <c r="N120" s="2">
        <f t="shared" si="9"/>
        <v>139.36170212765958</v>
      </c>
      <c r="O120" s="2">
        <f t="shared" si="10"/>
        <v>0</v>
      </c>
      <c r="P120" s="2">
        <f t="shared" si="11"/>
        <v>0</v>
      </c>
      <c r="Q120" s="2">
        <f t="shared" si="12"/>
        <v>0</v>
      </c>
      <c r="R120" s="2">
        <f t="shared" si="13"/>
        <v>0</v>
      </c>
      <c r="S120" s="9">
        <f t="shared" si="14"/>
        <v>0</v>
      </c>
    </row>
    <row r="121" spans="2:19" x14ac:dyDescent="0.25">
      <c r="B121" t="s">
        <v>4</v>
      </c>
      <c r="C121">
        <v>35</v>
      </c>
      <c r="D121">
        <f t="shared" si="15"/>
        <v>1.5</v>
      </c>
      <c r="E121">
        <f t="shared" si="15"/>
        <v>1.4285714285714286</v>
      </c>
      <c r="F121">
        <f t="shared" si="15"/>
        <v>0</v>
      </c>
      <c r="G121">
        <f t="shared" si="15"/>
        <v>0</v>
      </c>
      <c r="H121">
        <f t="shared" si="15"/>
        <v>0</v>
      </c>
      <c r="I121">
        <f t="shared" si="15"/>
        <v>0</v>
      </c>
      <c r="J121">
        <f t="shared" si="15"/>
        <v>0</v>
      </c>
      <c r="K121" s="8" t="s">
        <v>4</v>
      </c>
      <c r="L121" s="2">
        <v>35</v>
      </c>
      <c r="M121" s="2">
        <f t="shared" si="8"/>
        <v>150</v>
      </c>
      <c r="N121" s="2">
        <f t="shared" si="9"/>
        <v>142.85714285714286</v>
      </c>
      <c r="O121" s="2">
        <f t="shared" si="10"/>
        <v>0</v>
      </c>
      <c r="P121" s="2">
        <f t="shared" si="11"/>
        <v>0</v>
      </c>
      <c r="Q121" s="2">
        <f t="shared" si="12"/>
        <v>0</v>
      </c>
      <c r="R121" s="2">
        <f t="shared" si="13"/>
        <v>0</v>
      </c>
      <c r="S121" s="9">
        <f t="shared" si="14"/>
        <v>0</v>
      </c>
    </row>
    <row r="122" spans="2:19" x14ac:dyDescent="0.25">
      <c r="B122" t="s">
        <v>4</v>
      </c>
      <c r="C122">
        <v>36</v>
      </c>
      <c r="D122">
        <f t="shared" ref="D122:J131" si="16">D24/$C24</f>
        <v>1.1353383458646615</v>
      </c>
      <c r="E122">
        <f t="shared" si="16"/>
        <v>1.1654135338345863</v>
      </c>
      <c r="F122">
        <f t="shared" si="16"/>
        <v>0</v>
      </c>
      <c r="G122">
        <f t="shared" si="16"/>
        <v>0</v>
      </c>
      <c r="H122">
        <f t="shared" si="16"/>
        <v>0</v>
      </c>
      <c r="I122">
        <f t="shared" si="16"/>
        <v>0</v>
      </c>
      <c r="J122">
        <f t="shared" si="16"/>
        <v>0</v>
      </c>
      <c r="K122" s="8" t="s">
        <v>4</v>
      </c>
      <c r="L122" s="2">
        <v>36</v>
      </c>
      <c r="M122" s="2">
        <f t="shared" si="8"/>
        <v>113.53383458646616</v>
      </c>
      <c r="N122" s="2">
        <f t="shared" si="9"/>
        <v>116.54135338345864</v>
      </c>
      <c r="O122" s="2">
        <f t="shared" si="10"/>
        <v>0</v>
      </c>
      <c r="P122" s="2">
        <f t="shared" si="11"/>
        <v>0</v>
      </c>
      <c r="Q122" s="2">
        <f t="shared" si="12"/>
        <v>0</v>
      </c>
      <c r="R122" s="2">
        <f t="shared" si="13"/>
        <v>0</v>
      </c>
      <c r="S122" s="9">
        <f t="shared" si="14"/>
        <v>0</v>
      </c>
    </row>
    <row r="123" spans="2:19" x14ac:dyDescent="0.25">
      <c r="B123" t="s">
        <v>4</v>
      </c>
      <c r="C123">
        <v>37</v>
      </c>
      <c r="D123">
        <f t="shared" si="16"/>
        <v>1.1196581196581197</v>
      </c>
      <c r="E123">
        <f t="shared" si="16"/>
        <v>1.1367521367521369</v>
      </c>
      <c r="F123">
        <f t="shared" si="16"/>
        <v>0</v>
      </c>
      <c r="G123">
        <f t="shared" si="16"/>
        <v>0</v>
      </c>
      <c r="H123">
        <f t="shared" si="16"/>
        <v>0</v>
      </c>
      <c r="I123">
        <f t="shared" si="16"/>
        <v>0</v>
      </c>
      <c r="J123">
        <f t="shared" si="16"/>
        <v>0</v>
      </c>
      <c r="K123" s="8" t="s">
        <v>4</v>
      </c>
      <c r="L123" s="2">
        <v>37</v>
      </c>
      <c r="M123" s="2">
        <f t="shared" si="8"/>
        <v>111.96581196581197</v>
      </c>
      <c r="N123" s="2">
        <f t="shared" si="9"/>
        <v>113.6752136752137</v>
      </c>
      <c r="O123" s="2">
        <f t="shared" si="10"/>
        <v>0</v>
      </c>
      <c r="P123" s="2">
        <f t="shared" si="11"/>
        <v>0</v>
      </c>
      <c r="Q123" s="2">
        <f t="shared" si="12"/>
        <v>0</v>
      </c>
      <c r="R123" s="2">
        <f t="shared" si="13"/>
        <v>0</v>
      </c>
      <c r="S123" s="9">
        <f t="shared" si="14"/>
        <v>0</v>
      </c>
    </row>
    <row r="124" spans="2:19" x14ac:dyDescent="0.25">
      <c r="B124" t="s">
        <v>4</v>
      </c>
      <c r="C124">
        <v>38</v>
      </c>
      <c r="D124">
        <f t="shared" si="16"/>
        <v>1.1420118343195267</v>
      </c>
      <c r="E124">
        <f t="shared" si="16"/>
        <v>1.1775147928994083</v>
      </c>
      <c r="F124">
        <f t="shared" si="16"/>
        <v>0</v>
      </c>
      <c r="G124">
        <f t="shared" si="16"/>
        <v>0</v>
      </c>
      <c r="H124">
        <f t="shared" si="16"/>
        <v>0</v>
      </c>
      <c r="I124">
        <f t="shared" si="16"/>
        <v>0</v>
      </c>
      <c r="J124">
        <f t="shared" si="16"/>
        <v>0</v>
      </c>
      <c r="K124" s="8" t="s">
        <v>4</v>
      </c>
      <c r="L124" s="2">
        <v>38</v>
      </c>
      <c r="M124" s="2">
        <f t="shared" si="8"/>
        <v>114.20118343195267</v>
      </c>
      <c r="N124" s="2">
        <f t="shared" si="9"/>
        <v>117.75147928994083</v>
      </c>
      <c r="O124" s="2">
        <f t="shared" si="10"/>
        <v>0</v>
      </c>
      <c r="P124" s="2">
        <f t="shared" si="11"/>
        <v>0</v>
      </c>
      <c r="Q124" s="2">
        <f t="shared" si="12"/>
        <v>0</v>
      </c>
      <c r="R124" s="2">
        <f t="shared" si="13"/>
        <v>0</v>
      </c>
      <c r="S124" s="9">
        <f t="shared" si="14"/>
        <v>0</v>
      </c>
    </row>
    <row r="125" spans="2:19" x14ac:dyDescent="0.25">
      <c r="B125" t="s">
        <v>4</v>
      </c>
      <c r="C125">
        <v>39</v>
      </c>
      <c r="D125">
        <f t="shared" si="16"/>
        <v>1.087248322147651</v>
      </c>
      <c r="E125">
        <f t="shared" si="16"/>
        <v>1.0939597315436242</v>
      </c>
      <c r="F125">
        <f t="shared" si="16"/>
        <v>0</v>
      </c>
      <c r="G125">
        <f t="shared" si="16"/>
        <v>0</v>
      </c>
      <c r="H125">
        <f t="shared" si="16"/>
        <v>0</v>
      </c>
      <c r="I125">
        <f t="shared" si="16"/>
        <v>0</v>
      </c>
      <c r="J125">
        <f t="shared" si="16"/>
        <v>0</v>
      </c>
      <c r="K125" s="8" t="s">
        <v>4</v>
      </c>
      <c r="L125" s="2">
        <v>39</v>
      </c>
      <c r="M125" s="2">
        <f t="shared" si="8"/>
        <v>108.7248322147651</v>
      </c>
      <c r="N125" s="2">
        <f t="shared" si="9"/>
        <v>109.39597315436242</v>
      </c>
      <c r="O125" s="2">
        <f t="shared" si="10"/>
        <v>0</v>
      </c>
      <c r="P125" s="2">
        <f t="shared" si="11"/>
        <v>0</v>
      </c>
      <c r="Q125" s="2">
        <f t="shared" si="12"/>
        <v>0</v>
      </c>
      <c r="R125" s="2">
        <f t="shared" si="13"/>
        <v>0</v>
      </c>
      <c r="S125" s="9">
        <f t="shared" si="14"/>
        <v>0</v>
      </c>
    </row>
    <row r="126" spans="2:19" x14ac:dyDescent="0.25">
      <c r="B126" t="s">
        <v>4</v>
      </c>
      <c r="C126">
        <v>40</v>
      </c>
      <c r="D126">
        <f t="shared" si="16"/>
        <v>1.119205298013245</v>
      </c>
      <c r="E126">
        <f t="shared" si="16"/>
        <v>1.1059602649006621</v>
      </c>
      <c r="F126">
        <f t="shared" si="16"/>
        <v>0</v>
      </c>
      <c r="G126">
        <f t="shared" si="16"/>
        <v>0</v>
      </c>
      <c r="H126">
        <f t="shared" si="16"/>
        <v>0</v>
      </c>
      <c r="I126">
        <f t="shared" si="16"/>
        <v>0</v>
      </c>
      <c r="J126">
        <f t="shared" si="16"/>
        <v>0</v>
      </c>
      <c r="K126" s="8" t="s">
        <v>4</v>
      </c>
      <c r="L126" s="2">
        <v>40</v>
      </c>
      <c r="M126" s="2">
        <f t="shared" si="8"/>
        <v>111.92052980132449</v>
      </c>
      <c r="N126" s="2">
        <f t="shared" si="9"/>
        <v>110.59602649006621</v>
      </c>
      <c r="O126" s="2">
        <f t="shared" si="10"/>
        <v>0</v>
      </c>
      <c r="P126" s="2">
        <f t="shared" si="11"/>
        <v>0</v>
      </c>
      <c r="Q126" s="2">
        <f t="shared" si="12"/>
        <v>0</v>
      </c>
      <c r="R126" s="2">
        <f t="shared" si="13"/>
        <v>0</v>
      </c>
      <c r="S126" s="9">
        <f t="shared" si="14"/>
        <v>0</v>
      </c>
    </row>
    <row r="127" spans="2:19" x14ac:dyDescent="0.25">
      <c r="B127" t="s">
        <v>4</v>
      </c>
      <c r="C127">
        <v>41</v>
      </c>
      <c r="D127">
        <f t="shared" si="16"/>
        <v>1.0886075949367087</v>
      </c>
      <c r="E127">
        <f t="shared" si="16"/>
        <v>1.0822784810126582</v>
      </c>
      <c r="F127">
        <f t="shared" si="16"/>
        <v>0</v>
      </c>
      <c r="G127">
        <f t="shared" si="16"/>
        <v>0</v>
      </c>
      <c r="H127">
        <f t="shared" si="16"/>
        <v>0</v>
      </c>
      <c r="I127">
        <f t="shared" si="16"/>
        <v>0</v>
      </c>
      <c r="J127">
        <f t="shared" si="16"/>
        <v>0</v>
      </c>
      <c r="K127" s="8" t="s">
        <v>4</v>
      </c>
      <c r="L127" s="2">
        <v>41</v>
      </c>
      <c r="M127" s="2">
        <f t="shared" si="8"/>
        <v>108.86075949367087</v>
      </c>
      <c r="N127" s="2">
        <f t="shared" si="9"/>
        <v>108.22784810126582</v>
      </c>
      <c r="O127" s="2">
        <f t="shared" si="10"/>
        <v>0</v>
      </c>
      <c r="P127" s="2">
        <f t="shared" si="11"/>
        <v>0</v>
      </c>
      <c r="Q127" s="2">
        <f t="shared" si="12"/>
        <v>0</v>
      </c>
      <c r="R127" s="2">
        <f t="shared" si="13"/>
        <v>0</v>
      </c>
      <c r="S127" s="9">
        <f t="shared" si="14"/>
        <v>0</v>
      </c>
    </row>
    <row r="128" spans="2:19" x14ac:dyDescent="0.25">
      <c r="B128" t="s">
        <v>4</v>
      </c>
      <c r="C128">
        <v>42</v>
      </c>
      <c r="D128">
        <f t="shared" si="16"/>
        <v>1.1172413793103448</v>
      </c>
      <c r="E128">
        <f t="shared" si="16"/>
        <v>1.1241379310344828</v>
      </c>
      <c r="F128">
        <f t="shared" si="16"/>
        <v>0</v>
      </c>
      <c r="G128">
        <f t="shared" si="16"/>
        <v>0</v>
      </c>
      <c r="H128">
        <f t="shared" si="16"/>
        <v>0</v>
      </c>
      <c r="I128">
        <f t="shared" si="16"/>
        <v>0</v>
      </c>
      <c r="J128">
        <f t="shared" si="16"/>
        <v>0</v>
      </c>
      <c r="K128" s="8" t="s">
        <v>4</v>
      </c>
      <c r="L128" s="2">
        <v>42</v>
      </c>
      <c r="M128" s="2">
        <f t="shared" si="8"/>
        <v>111.72413793103448</v>
      </c>
      <c r="N128" s="2">
        <f t="shared" si="9"/>
        <v>112.41379310344828</v>
      </c>
      <c r="O128" s="2">
        <f t="shared" si="10"/>
        <v>0</v>
      </c>
      <c r="P128" s="2">
        <f t="shared" si="11"/>
        <v>0</v>
      </c>
      <c r="Q128" s="2">
        <f t="shared" si="12"/>
        <v>0</v>
      </c>
      <c r="R128" s="2">
        <f t="shared" si="13"/>
        <v>0</v>
      </c>
      <c r="S128" s="9">
        <f t="shared" si="14"/>
        <v>0</v>
      </c>
    </row>
    <row r="129" spans="2:19" x14ac:dyDescent="0.25">
      <c r="B129" t="s">
        <v>4</v>
      </c>
      <c r="C129">
        <v>43</v>
      </c>
      <c r="D129">
        <f t="shared" si="16"/>
        <v>1.1448275862068966</v>
      </c>
      <c r="E129">
        <f t="shared" si="16"/>
        <v>1.1586206896551725</v>
      </c>
      <c r="F129">
        <f t="shared" si="16"/>
        <v>0</v>
      </c>
      <c r="G129">
        <f t="shared" si="16"/>
        <v>0</v>
      </c>
      <c r="H129">
        <f t="shared" si="16"/>
        <v>0</v>
      </c>
      <c r="I129">
        <f t="shared" si="16"/>
        <v>0</v>
      </c>
      <c r="J129">
        <f t="shared" si="16"/>
        <v>0</v>
      </c>
      <c r="K129" s="8" t="s">
        <v>4</v>
      </c>
      <c r="L129" s="2">
        <v>43</v>
      </c>
      <c r="M129" s="2">
        <f t="shared" si="8"/>
        <v>114.48275862068967</v>
      </c>
      <c r="N129" s="2">
        <f t="shared" si="9"/>
        <v>115.86206896551725</v>
      </c>
      <c r="O129" s="2">
        <f t="shared" si="10"/>
        <v>0</v>
      </c>
      <c r="P129" s="2">
        <f t="shared" si="11"/>
        <v>0</v>
      </c>
      <c r="Q129" s="2">
        <f t="shared" si="12"/>
        <v>0</v>
      </c>
      <c r="R129" s="2">
        <f t="shared" si="13"/>
        <v>0</v>
      </c>
      <c r="S129" s="9">
        <f t="shared" si="14"/>
        <v>0</v>
      </c>
    </row>
    <row r="130" spans="2:19" x14ac:dyDescent="0.25">
      <c r="B130" t="s">
        <v>4</v>
      </c>
      <c r="C130">
        <v>44</v>
      </c>
      <c r="D130">
        <f t="shared" si="16"/>
        <v>1.1194968553459119</v>
      </c>
      <c r="E130">
        <f t="shared" si="16"/>
        <v>1.1320754716981132</v>
      </c>
      <c r="F130">
        <f t="shared" si="16"/>
        <v>0</v>
      </c>
      <c r="G130">
        <f t="shared" si="16"/>
        <v>0</v>
      </c>
      <c r="H130">
        <f t="shared" si="16"/>
        <v>0</v>
      </c>
      <c r="I130">
        <f t="shared" si="16"/>
        <v>0</v>
      </c>
      <c r="J130">
        <f t="shared" si="16"/>
        <v>0</v>
      </c>
      <c r="K130" s="8" t="s">
        <v>4</v>
      </c>
      <c r="L130" s="2">
        <v>44</v>
      </c>
      <c r="M130" s="2">
        <f t="shared" ref="M130:M145" si="17">D130*100</f>
        <v>111.9496855345912</v>
      </c>
      <c r="N130" s="2">
        <f t="shared" ref="N130:N145" si="18">E130*100</f>
        <v>113.20754716981132</v>
      </c>
      <c r="O130" s="2">
        <f t="shared" ref="O130:O145" si="19">F130*100</f>
        <v>0</v>
      </c>
      <c r="P130" s="2">
        <f t="shared" ref="P130:P145" si="20">G130*100</f>
        <v>0</v>
      </c>
      <c r="Q130" s="2">
        <f t="shared" ref="Q130:Q145" si="21">H130*100</f>
        <v>0</v>
      </c>
      <c r="R130" s="2">
        <f t="shared" ref="R130:R145" si="22">I130*100</f>
        <v>0</v>
      </c>
      <c r="S130" s="9">
        <f t="shared" ref="S130:S145" si="23">J130*100</f>
        <v>0</v>
      </c>
    </row>
    <row r="131" spans="2:19" x14ac:dyDescent="0.25">
      <c r="B131" t="s">
        <v>4</v>
      </c>
      <c r="C131">
        <v>45</v>
      </c>
      <c r="D131">
        <f t="shared" si="16"/>
        <v>1.1118881118881119</v>
      </c>
      <c r="E131">
        <f t="shared" si="16"/>
        <v>1.1678321678321677</v>
      </c>
      <c r="F131">
        <f t="shared" si="16"/>
        <v>0</v>
      </c>
      <c r="G131">
        <f t="shared" si="16"/>
        <v>0</v>
      </c>
      <c r="H131">
        <f t="shared" si="16"/>
        <v>0</v>
      </c>
      <c r="I131">
        <f t="shared" si="16"/>
        <v>0</v>
      </c>
      <c r="J131">
        <f t="shared" si="16"/>
        <v>0</v>
      </c>
      <c r="K131" s="8" t="s">
        <v>4</v>
      </c>
      <c r="L131" s="2">
        <v>45</v>
      </c>
      <c r="M131" s="2">
        <f t="shared" si="17"/>
        <v>111.18881118881119</v>
      </c>
      <c r="N131" s="2">
        <f t="shared" si="18"/>
        <v>116.78321678321677</v>
      </c>
      <c r="O131" s="2">
        <f t="shared" si="19"/>
        <v>0</v>
      </c>
      <c r="P131" s="2">
        <f t="shared" si="20"/>
        <v>0</v>
      </c>
      <c r="Q131" s="2">
        <f t="shared" si="21"/>
        <v>0</v>
      </c>
      <c r="R131" s="2">
        <f t="shared" si="22"/>
        <v>0</v>
      </c>
      <c r="S131" s="9">
        <f t="shared" si="23"/>
        <v>0</v>
      </c>
    </row>
    <row r="132" spans="2:19" x14ac:dyDescent="0.25">
      <c r="B132" t="s">
        <v>5</v>
      </c>
      <c r="C132">
        <v>46</v>
      </c>
      <c r="D132">
        <f t="shared" ref="D132:J141" si="24">D34/$C34</f>
        <v>1.0757575757575757</v>
      </c>
      <c r="E132">
        <f t="shared" si="24"/>
        <v>1.1060606060606062</v>
      </c>
      <c r="F132">
        <f t="shared" si="24"/>
        <v>1.1515151515151516</v>
      </c>
      <c r="G132">
        <f t="shared" si="24"/>
        <v>0</v>
      </c>
      <c r="H132">
        <f t="shared" si="24"/>
        <v>0</v>
      </c>
      <c r="I132">
        <f t="shared" si="24"/>
        <v>0</v>
      </c>
      <c r="J132">
        <f t="shared" si="24"/>
        <v>0</v>
      </c>
      <c r="K132" s="8" t="s">
        <v>5</v>
      </c>
      <c r="L132" s="2">
        <v>46</v>
      </c>
      <c r="M132" s="2">
        <f t="shared" si="17"/>
        <v>107.57575757575756</v>
      </c>
      <c r="N132" s="2">
        <f t="shared" si="18"/>
        <v>110.60606060606062</v>
      </c>
      <c r="O132" s="2">
        <f t="shared" si="19"/>
        <v>115.15151515151516</v>
      </c>
      <c r="P132" s="2">
        <f t="shared" si="20"/>
        <v>0</v>
      </c>
      <c r="Q132" s="2">
        <f t="shared" si="21"/>
        <v>0</v>
      </c>
      <c r="R132" s="2">
        <f t="shared" si="22"/>
        <v>0</v>
      </c>
      <c r="S132" s="9">
        <f t="shared" si="23"/>
        <v>0</v>
      </c>
    </row>
    <row r="133" spans="2:19" x14ac:dyDescent="0.25">
      <c r="B133" t="s">
        <v>5</v>
      </c>
      <c r="C133">
        <v>47</v>
      </c>
      <c r="D133">
        <f t="shared" si="24"/>
        <v>1.1061452513966481</v>
      </c>
      <c r="E133">
        <f t="shared" si="24"/>
        <v>1.1396648044692737</v>
      </c>
      <c r="F133">
        <f t="shared" si="24"/>
        <v>1.1508379888268159</v>
      </c>
      <c r="G133">
        <f t="shared" si="24"/>
        <v>0</v>
      </c>
      <c r="H133">
        <f t="shared" si="24"/>
        <v>0</v>
      </c>
      <c r="I133">
        <f t="shared" si="24"/>
        <v>0</v>
      </c>
      <c r="J133">
        <f t="shared" si="24"/>
        <v>0</v>
      </c>
      <c r="K133" s="8" t="s">
        <v>5</v>
      </c>
      <c r="L133" s="2">
        <v>47</v>
      </c>
      <c r="M133" s="2">
        <f t="shared" si="17"/>
        <v>110.61452513966481</v>
      </c>
      <c r="N133" s="2">
        <f t="shared" si="18"/>
        <v>113.96648044692736</v>
      </c>
      <c r="O133" s="2">
        <f t="shared" si="19"/>
        <v>115.08379888268159</v>
      </c>
      <c r="P133" s="2">
        <f t="shared" si="20"/>
        <v>0</v>
      </c>
      <c r="Q133" s="2">
        <f t="shared" si="21"/>
        <v>0</v>
      </c>
      <c r="R133" s="2">
        <f t="shared" si="22"/>
        <v>0</v>
      </c>
      <c r="S133" s="9">
        <f t="shared" si="23"/>
        <v>0</v>
      </c>
    </row>
    <row r="134" spans="2:19" x14ac:dyDescent="0.25">
      <c r="B134" t="s">
        <v>5</v>
      </c>
      <c r="C134">
        <v>48</v>
      </c>
      <c r="D134">
        <f t="shared" si="24"/>
        <v>1.096774193548387</v>
      </c>
      <c r="E134">
        <f t="shared" si="24"/>
        <v>1.1290322580645162</v>
      </c>
      <c r="F134">
        <f t="shared" si="24"/>
        <v>1.1483870967741936</v>
      </c>
      <c r="G134">
        <f t="shared" si="24"/>
        <v>0</v>
      </c>
      <c r="H134">
        <f t="shared" si="24"/>
        <v>0</v>
      </c>
      <c r="I134">
        <f t="shared" si="24"/>
        <v>0</v>
      </c>
      <c r="J134">
        <f t="shared" si="24"/>
        <v>0</v>
      </c>
      <c r="K134" s="8" t="s">
        <v>5</v>
      </c>
      <c r="L134" s="2">
        <v>48</v>
      </c>
      <c r="M134" s="2">
        <f t="shared" si="17"/>
        <v>109.6774193548387</v>
      </c>
      <c r="N134" s="2">
        <f t="shared" si="18"/>
        <v>112.90322580645163</v>
      </c>
      <c r="O134" s="2">
        <f t="shared" si="19"/>
        <v>114.83870967741936</v>
      </c>
      <c r="P134" s="2">
        <f t="shared" si="20"/>
        <v>0</v>
      </c>
      <c r="Q134" s="2">
        <f t="shared" si="21"/>
        <v>0</v>
      </c>
      <c r="R134" s="2">
        <f t="shared" si="22"/>
        <v>0</v>
      </c>
      <c r="S134" s="9">
        <f t="shared" si="23"/>
        <v>0</v>
      </c>
    </row>
    <row r="135" spans="2:19" x14ac:dyDescent="0.25">
      <c r="B135" t="s">
        <v>5</v>
      </c>
      <c r="C135">
        <v>49</v>
      </c>
      <c r="D135">
        <f t="shared" si="24"/>
        <v>1.0946745562130178</v>
      </c>
      <c r="E135">
        <f t="shared" si="24"/>
        <v>1.124260355029586</v>
      </c>
      <c r="F135">
        <f t="shared" si="24"/>
        <v>1.1715976331360949</v>
      </c>
      <c r="G135">
        <f t="shared" si="24"/>
        <v>0</v>
      </c>
      <c r="H135">
        <f t="shared" si="24"/>
        <v>0</v>
      </c>
      <c r="I135">
        <f t="shared" si="24"/>
        <v>0</v>
      </c>
      <c r="J135">
        <f t="shared" si="24"/>
        <v>0</v>
      </c>
      <c r="K135" s="8" t="s">
        <v>5</v>
      </c>
      <c r="L135" s="2">
        <v>49</v>
      </c>
      <c r="M135" s="2">
        <f t="shared" si="17"/>
        <v>109.46745562130178</v>
      </c>
      <c r="N135" s="2">
        <f t="shared" si="18"/>
        <v>112.4260355029586</v>
      </c>
      <c r="O135" s="2">
        <f t="shared" si="19"/>
        <v>117.15976331360949</v>
      </c>
      <c r="P135" s="2">
        <f t="shared" si="20"/>
        <v>0</v>
      </c>
      <c r="Q135" s="2">
        <f t="shared" si="21"/>
        <v>0</v>
      </c>
      <c r="R135" s="2">
        <f t="shared" si="22"/>
        <v>0</v>
      </c>
      <c r="S135" s="9">
        <f t="shared" si="23"/>
        <v>0</v>
      </c>
    </row>
    <row r="136" spans="2:19" x14ac:dyDescent="0.25">
      <c r="B136" t="s">
        <v>5</v>
      </c>
      <c r="C136">
        <v>50</v>
      </c>
      <c r="D136">
        <f t="shared" si="24"/>
        <v>1.0871794871794871</v>
      </c>
      <c r="E136">
        <f t="shared" si="24"/>
        <v>1.1230769230769231</v>
      </c>
      <c r="F136">
        <f t="shared" si="24"/>
        <v>1.1487179487179486</v>
      </c>
      <c r="G136">
        <f t="shared" si="24"/>
        <v>0</v>
      </c>
      <c r="H136">
        <f t="shared" si="24"/>
        <v>0</v>
      </c>
      <c r="I136">
        <f t="shared" si="24"/>
        <v>0</v>
      </c>
      <c r="J136">
        <f t="shared" si="24"/>
        <v>0</v>
      </c>
      <c r="K136" s="8" t="s">
        <v>5</v>
      </c>
      <c r="L136" s="2">
        <v>50</v>
      </c>
      <c r="M136" s="2">
        <f t="shared" si="17"/>
        <v>108.71794871794872</v>
      </c>
      <c r="N136" s="2">
        <f t="shared" si="18"/>
        <v>112.30769230769231</v>
      </c>
      <c r="O136" s="2">
        <f t="shared" si="19"/>
        <v>114.87179487179486</v>
      </c>
      <c r="P136" s="2">
        <f t="shared" si="20"/>
        <v>0</v>
      </c>
      <c r="Q136" s="2">
        <f t="shared" si="21"/>
        <v>0</v>
      </c>
      <c r="R136" s="2">
        <f t="shared" si="22"/>
        <v>0</v>
      </c>
      <c r="S136" s="9">
        <f t="shared" si="23"/>
        <v>0</v>
      </c>
    </row>
    <row r="137" spans="2:19" x14ac:dyDescent="0.25">
      <c r="B137" t="s">
        <v>5</v>
      </c>
      <c r="C137">
        <v>51</v>
      </c>
      <c r="D137">
        <f t="shared" si="24"/>
        <v>1.1241379310344828</v>
      </c>
      <c r="E137">
        <f t="shared" si="24"/>
        <v>1.1862068965517241</v>
      </c>
      <c r="F137">
        <f t="shared" si="24"/>
        <v>1.2068965517241379</v>
      </c>
      <c r="G137">
        <f t="shared" si="24"/>
        <v>0</v>
      </c>
      <c r="H137">
        <f t="shared" si="24"/>
        <v>0</v>
      </c>
      <c r="I137">
        <f t="shared" si="24"/>
        <v>0</v>
      </c>
      <c r="J137">
        <f t="shared" si="24"/>
        <v>0</v>
      </c>
      <c r="K137" s="8" t="s">
        <v>5</v>
      </c>
      <c r="L137" s="2">
        <v>51</v>
      </c>
      <c r="M137" s="2">
        <f t="shared" si="17"/>
        <v>112.41379310344828</v>
      </c>
      <c r="N137" s="2">
        <f t="shared" si="18"/>
        <v>118.62068965517241</v>
      </c>
      <c r="O137" s="2">
        <f t="shared" si="19"/>
        <v>120.68965517241379</v>
      </c>
      <c r="P137" s="2">
        <f t="shared" si="20"/>
        <v>0</v>
      </c>
      <c r="Q137" s="2">
        <f t="shared" si="21"/>
        <v>0</v>
      </c>
      <c r="R137" s="2">
        <f t="shared" si="22"/>
        <v>0</v>
      </c>
      <c r="S137" s="9">
        <f t="shared" si="23"/>
        <v>0</v>
      </c>
    </row>
    <row r="138" spans="2:19" x14ac:dyDescent="0.25">
      <c r="B138" t="s">
        <v>5</v>
      </c>
      <c r="C138">
        <v>52</v>
      </c>
      <c r="D138">
        <f t="shared" si="24"/>
        <v>1.0807453416149067</v>
      </c>
      <c r="E138">
        <f t="shared" si="24"/>
        <v>1.1180124223602483</v>
      </c>
      <c r="F138">
        <f t="shared" si="24"/>
        <v>1.1614906832298135</v>
      </c>
      <c r="G138">
        <f t="shared" si="24"/>
        <v>0</v>
      </c>
      <c r="H138">
        <f t="shared" si="24"/>
        <v>0</v>
      </c>
      <c r="I138">
        <f t="shared" si="24"/>
        <v>0</v>
      </c>
      <c r="J138">
        <f t="shared" si="24"/>
        <v>0</v>
      </c>
      <c r="K138" s="8" t="s">
        <v>5</v>
      </c>
      <c r="L138" s="2">
        <v>52</v>
      </c>
      <c r="M138" s="2">
        <f t="shared" si="17"/>
        <v>108.07453416149066</v>
      </c>
      <c r="N138" s="2">
        <f t="shared" si="18"/>
        <v>111.80124223602483</v>
      </c>
      <c r="O138" s="2">
        <f t="shared" si="19"/>
        <v>116.14906832298135</v>
      </c>
      <c r="P138" s="2">
        <f t="shared" si="20"/>
        <v>0</v>
      </c>
      <c r="Q138" s="2">
        <f t="shared" si="21"/>
        <v>0</v>
      </c>
      <c r="R138" s="2">
        <f t="shared" si="22"/>
        <v>0</v>
      </c>
      <c r="S138" s="9">
        <f t="shared" si="23"/>
        <v>0</v>
      </c>
    </row>
    <row r="139" spans="2:19" x14ac:dyDescent="0.25">
      <c r="B139" t="s">
        <v>5</v>
      </c>
      <c r="C139">
        <v>53</v>
      </c>
      <c r="D139">
        <f t="shared" si="24"/>
        <v>1.1176470588235294</v>
      </c>
      <c r="E139">
        <f t="shared" si="24"/>
        <v>1.1544117647058822</v>
      </c>
      <c r="F139">
        <f t="shared" si="24"/>
        <v>1.1911764705882353</v>
      </c>
      <c r="G139">
        <f t="shared" si="24"/>
        <v>0</v>
      </c>
      <c r="H139">
        <f t="shared" si="24"/>
        <v>0</v>
      </c>
      <c r="I139">
        <f t="shared" si="24"/>
        <v>0</v>
      </c>
      <c r="J139">
        <f t="shared" si="24"/>
        <v>0</v>
      </c>
      <c r="K139" s="8" t="s">
        <v>5</v>
      </c>
      <c r="L139" s="2">
        <v>53</v>
      </c>
      <c r="M139" s="2">
        <f t="shared" si="17"/>
        <v>111.76470588235294</v>
      </c>
      <c r="N139" s="2">
        <f t="shared" si="18"/>
        <v>115.44117647058823</v>
      </c>
      <c r="O139" s="2">
        <f t="shared" si="19"/>
        <v>119.11764705882352</v>
      </c>
      <c r="P139" s="2">
        <f t="shared" si="20"/>
        <v>0</v>
      </c>
      <c r="Q139" s="2">
        <f t="shared" si="21"/>
        <v>0</v>
      </c>
      <c r="R139" s="2">
        <f t="shared" si="22"/>
        <v>0</v>
      </c>
      <c r="S139" s="9">
        <f t="shared" si="23"/>
        <v>0</v>
      </c>
    </row>
    <row r="140" spans="2:19" x14ac:dyDescent="0.25">
      <c r="B140" t="s">
        <v>5</v>
      </c>
      <c r="C140">
        <v>54</v>
      </c>
      <c r="D140">
        <f t="shared" si="24"/>
        <v>1.1419354838709677</v>
      </c>
      <c r="E140">
        <f t="shared" si="24"/>
        <v>1.2129032258064516</v>
      </c>
      <c r="F140">
        <f t="shared" si="24"/>
        <v>1.1935483870967742</v>
      </c>
      <c r="G140">
        <f t="shared" si="24"/>
        <v>0</v>
      </c>
      <c r="H140">
        <f t="shared" si="24"/>
        <v>0</v>
      </c>
      <c r="I140">
        <f t="shared" si="24"/>
        <v>0</v>
      </c>
      <c r="J140">
        <f t="shared" si="24"/>
        <v>0</v>
      </c>
      <c r="K140" s="8" t="s">
        <v>5</v>
      </c>
      <c r="L140" s="2">
        <v>54</v>
      </c>
      <c r="M140" s="2">
        <f t="shared" si="17"/>
        <v>114.19354838709677</v>
      </c>
      <c r="N140" s="2">
        <f t="shared" si="18"/>
        <v>121.29032258064515</v>
      </c>
      <c r="O140" s="2">
        <f t="shared" si="19"/>
        <v>119.35483870967742</v>
      </c>
      <c r="P140" s="2">
        <f t="shared" si="20"/>
        <v>0</v>
      </c>
      <c r="Q140" s="2">
        <f t="shared" si="21"/>
        <v>0</v>
      </c>
      <c r="R140" s="2">
        <f t="shared" si="22"/>
        <v>0</v>
      </c>
      <c r="S140" s="9">
        <f t="shared" si="23"/>
        <v>0</v>
      </c>
    </row>
    <row r="141" spans="2:19" x14ac:dyDescent="0.25">
      <c r="B141" t="s">
        <v>5</v>
      </c>
      <c r="C141">
        <v>55</v>
      </c>
      <c r="D141">
        <f t="shared" si="24"/>
        <v>1.172972972972973</v>
      </c>
      <c r="E141">
        <f t="shared" si="24"/>
        <v>1.1891891891891893</v>
      </c>
      <c r="F141">
        <f t="shared" si="24"/>
        <v>1.2</v>
      </c>
      <c r="G141">
        <f t="shared" si="24"/>
        <v>0</v>
      </c>
      <c r="H141">
        <f t="shared" si="24"/>
        <v>0</v>
      </c>
      <c r="I141">
        <f t="shared" si="24"/>
        <v>0</v>
      </c>
      <c r="J141">
        <f t="shared" si="24"/>
        <v>0</v>
      </c>
      <c r="K141" s="8" t="s">
        <v>5</v>
      </c>
      <c r="L141" s="2">
        <v>55</v>
      </c>
      <c r="M141" s="2">
        <f t="shared" si="17"/>
        <v>117.29729729729729</v>
      </c>
      <c r="N141" s="2">
        <f t="shared" si="18"/>
        <v>118.91891891891892</v>
      </c>
      <c r="O141" s="2">
        <f t="shared" si="19"/>
        <v>120</v>
      </c>
      <c r="P141" s="2">
        <f t="shared" si="20"/>
        <v>0</v>
      </c>
      <c r="Q141" s="2">
        <f t="shared" si="21"/>
        <v>0</v>
      </c>
      <c r="R141" s="2">
        <f t="shared" si="22"/>
        <v>0</v>
      </c>
      <c r="S141" s="9">
        <f t="shared" si="23"/>
        <v>0</v>
      </c>
    </row>
    <row r="142" spans="2:19" x14ac:dyDescent="0.25">
      <c r="B142" t="s">
        <v>5</v>
      </c>
      <c r="C142">
        <v>56</v>
      </c>
      <c r="D142">
        <f t="shared" ref="D142:J151" si="25">D44/$C44</f>
        <v>1.0736196319018405</v>
      </c>
      <c r="E142">
        <f t="shared" si="25"/>
        <v>1.0736196319018405</v>
      </c>
      <c r="F142">
        <f t="shared" si="25"/>
        <v>1.0797546012269938</v>
      </c>
      <c r="G142">
        <f t="shared" si="25"/>
        <v>0</v>
      </c>
      <c r="H142">
        <f t="shared" si="25"/>
        <v>0</v>
      </c>
      <c r="I142">
        <f t="shared" si="25"/>
        <v>0</v>
      </c>
      <c r="J142">
        <f t="shared" si="25"/>
        <v>0</v>
      </c>
      <c r="K142" s="8" t="s">
        <v>5</v>
      </c>
      <c r="L142" s="2">
        <v>56</v>
      </c>
      <c r="M142" s="2">
        <f t="shared" si="17"/>
        <v>107.36196319018406</v>
      </c>
      <c r="N142" s="2">
        <f t="shared" si="18"/>
        <v>107.36196319018406</v>
      </c>
      <c r="O142" s="2">
        <f t="shared" si="19"/>
        <v>107.97546012269939</v>
      </c>
      <c r="P142" s="2">
        <f t="shared" si="20"/>
        <v>0</v>
      </c>
      <c r="Q142" s="2">
        <f t="shared" si="21"/>
        <v>0</v>
      </c>
      <c r="R142" s="2">
        <f t="shared" si="22"/>
        <v>0</v>
      </c>
      <c r="S142" s="9">
        <f t="shared" si="23"/>
        <v>0</v>
      </c>
    </row>
    <row r="143" spans="2:19" x14ac:dyDescent="0.25">
      <c r="B143" t="s">
        <v>5</v>
      </c>
      <c r="C143">
        <v>57</v>
      </c>
      <c r="D143">
        <f t="shared" si="25"/>
        <v>1.1438848920863309</v>
      </c>
      <c r="E143">
        <f t="shared" si="25"/>
        <v>1.1870503597122302</v>
      </c>
      <c r="F143">
        <f t="shared" si="25"/>
        <v>1.1798561151079134</v>
      </c>
      <c r="G143">
        <f t="shared" si="25"/>
        <v>0</v>
      </c>
      <c r="H143">
        <f t="shared" si="25"/>
        <v>0</v>
      </c>
      <c r="I143">
        <f t="shared" si="25"/>
        <v>0</v>
      </c>
      <c r="J143">
        <f t="shared" si="25"/>
        <v>0</v>
      </c>
      <c r="K143" s="8" t="s">
        <v>5</v>
      </c>
      <c r="L143" s="2">
        <v>57</v>
      </c>
      <c r="M143" s="2">
        <f t="shared" si="17"/>
        <v>114.38848920863309</v>
      </c>
      <c r="N143" s="2">
        <f t="shared" si="18"/>
        <v>118.70503597122301</v>
      </c>
      <c r="O143" s="2">
        <f t="shared" si="19"/>
        <v>117.98561151079134</v>
      </c>
      <c r="P143" s="2">
        <f t="shared" si="20"/>
        <v>0</v>
      </c>
      <c r="Q143" s="2">
        <f t="shared" si="21"/>
        <v>0</v>
      </c>
      <c r="R143" s="2">
        <f t="shared" si="22"/>
        <v>0</v>
      </c>
      <c r="S143" s="9">
        <f t="shared" si="23"/>
        <v>0</v>
      </c>
    </row>
    <row r="144" spans="2:19" x14ac:dyDescent="0.25">
      <c r="B144" t="s">
        <v>5</v>
      </c>
      <c r="C144">
        <v>58</v>
      </c>
      <c r="D144">
        <f t="shared" si="25"/>
        <v>1.1096774193548387</v>
      </c>
      <c r="E144">
        <f t="shared" si="25"/>
        <v>1.1741935483870967</v>
      </c>
      <c r="F144">
        <f t="shared" si="25"/>
        <v>1.1741935483870967</v>
      </c>
      <c r="G144">
        <f t="shared" si="25"/>
        <v>0</v>
      </c>
      <c r="H144">
        <f t="shared" si="25"/>
        <v>0</v>
      </c>
      <c r="I144">
        <f t="shared" si="25"/>
        <v>0</v>
      </c>
      <c r="J144">
        <f t="shared" si="25"/>
        <v>0</v>
      </c>
      <c r="K144" s="8" t="s">
        <v>5</v>
      </c>
      <c r="L144" s="2">
        <v>58</v>
      </c>
      <c r="M144" s="2">
        <f t="shared" si="17"/>
        <v>110.96774193548387</v>
      </c>
      <c r="N144" s="2">
        <f t="shared" si="18"/>
        <v>117.41935483870967</v>
      </c>
      <c r="O144" s="2">
        <f t="shared" si="19"/>
        <v>117.41935483870967</v>
      </c>
      <c r="P144" s="2">
        <f t="shared" si="20"/>
        <v>0</v>
      </c>
      <c r="Q144" s="2">
        <f t="shared" si="21"/>
        <v>0</v>
      </c>
      <c r="R144" s="2">
        <f t="shared" si="22"/>
        <v>0</v>
      </c>
      <c r="S144" s="9">
        <f t="shared" si="23"/>
        <v>0</v>
      </c>
    </row>
    <row r="145" spans="2:19" x14ac:dyDescent="0.25">
      <c r="B145" t="s">
        <v>5</v>
      </c>
      <c r="C145">
        <v>59</v>
      </c>
      <c r="D145">
        <f t="shared" si="25"/>
        <v>1.1383647798742138</v>
      </c>
      <c r="E145">
        <f t="shared" si="25"/>
        <v>1.1949685534591195</v>
      </c>
      <c r="F145">
        <f t="shared" si="25"/>
        <v>1.1761006289308176</v>
      </c>
      <c r="G145">
        <f t="shared" si="25"/>
        <v>0</v>
      </c>
      <c r="H145">
        <f t="shared" si="25"/>
        <v>0</v>
      </c>
      <c r="I145">
        <f t="shared" si="25"/>
        <v>0</v>
      </c>
      <c r="J145">
        <f t="shared" si="25"/>
        <v>0</v>
      </c>
      <c r="K145" s="8" t="s">
        <v>5</v>
      </c>
      <c r="L145" s="2">
        <v>59</v>
      </c>
      <c r="M145" s="2">
        <f t="shared" si="17"/>
        <v>113.83647798742138</v>
      </c>
      <c r="N145" s="2">
        <f t="shared" si="18"/>
        <v>119.49685534591194</v>
      </c>
      <c r="O145" s="2">
        <f t="shared" si="19"/>
        <v>117.61006289308176</v>
      </c>
      <c r="P145" s="2">
        <f t="shared" si="20"/>
        <v>0</v>
      </c>
      <c r="Q145" s="2">
        <f t="shared" si="21"/>
        <v>0</v>
      </c>
      <c r="R145" s="2">
        <f t="shared" si="22"/>
        <v>0</v>
      </c>
      <c r="S145" s="9">
        <f t="shared" si="23"/>
        <v>0</v>
      </c>
    </row>
    <row r="146" spans="2:19" x14ac:dyDescent="0.25">
      <c r="B146" t="s">
        <v>5</v>
      </c>
      <c r="C146">
        <v>60</v>
      </c>
      <c r="D146">
        <f t="shared" si="25"/>
        <v>1.1294964028776977</v>
      </c>
      <c r="E146">
        <f t="shared" si="25"/>
        <v>1.1870503597122302</v>
      </c>
      <c r="F146">
        <f t="shared" si="25"/>
        <v>1.2230215827338129</v>
      </c>
      <c r="G146">
        <f t="shared" si="25"/>
        <v>0</v>
      </c>
      <c r="H146">
        <f t="shared" si="25"/>
        <v>0</v>
      </c>
      <c r="I146">
        <f t="shared" si="25"/>
        <v>0</v>
      </c>
      <c r="J146">
        <f t="shared" si="25"/>
        <v>0</v>
      </c>
      <c r="K146" s="8" t="s">
        <v>5</v>
      </c>
      <c r="L146" s="2">
        <v>60</v>
      </c>
      <c r="M146" s="2">
        <f>D146*100</f>
        <v>112.94964028776977</v>
      </c>
      <c r="N146" s="2">
        <f t="shared" ref="N146:N161" si="26">E146*100</f>
        <v>118.70503597122301</v>
      </c>
      <c r="O146" s="2">
        <f t="shared" ref="O146:O161" si="27">F146*100</f>
        <v>122.30215827338129</v>
      </c>
      <c r="P146" s="2">
        <f t="shared" ref="P146:P161" si="28">G146*100</f>
        <v>0</v>
      </c>
      <c r="Q146" s="2">
        <f t="shared" ref="Q146:Q161" si="29">H146*100</f>
        <v>0</v>
      </c>
      <c r="R146" s="2">
        <f t="shared" ref="R146:R161" si="30">I146*100</f>
        <v>0</v>
      </c>
      <c r="S146" s="9">
        <f t="shared" ref="S146:S161" si="31">J146*100</f>
        <v>0</v>
      </c>
    </row>
    <row r="147" spans="2:19" x14ac:dyDescent="0.25">
      <c r="B147" t="s">
        <v>7</v>
      </c>
      <c r="C147">
        <v>61</v>
      </c>
      <c r="D147">
        <f t="shared" si="25"/>
        <v>1.2160493827160495</v>
      </c>
      <c r="E147">
        <f t="shared" si="25"/>
        <v>1.228395061728395</v>
      </c>
      <c r="F147">
        <f t="shared" si="25"/>
        <v>1.2777777777777777</v>
      </c>
      <c r="G147">
        <f t="shared" si="25"/>
        <v>1.3580246913580247</v>
      </c>
      <c r="H147">
        <f t="shared" si="25"/>
        <v>1.3703703703703705</v>
      </c>
      <c r="I147">
        <f t="shared" si="25"/>
        <v>0</v>
      </c>
      <c r="J147">
        <f t="shared" si="25"/>
        <v>0</v>
      </c>
      <c r="K147" s="8" t="s">
        <v>7</v>
      </c>
      <c r="L147" s="2">
        <v>61</v>
      </c>
      <c r="M147" s="2">
        <f t="shared" ref="M147:M160" si="32">D147*100</f>
        <v>121.60493827160495</v>
      </c>
      <c r="N147" s="2">
        <f t="shared" si="26"/>
        <v>122.83950617283949</v>
      </c>
      <c r="O147" s="2">
        <f t="shared" si="27"/>
        <v>127.77777777777777</v>
      </c>
      <c r="P147" s="2">
        <f t="shared" si="28"/>
        <v>135.80246913580248</v>
      </c>
      <c r="Q147" s="2">
        <f t="shared" si="29"/>
        <v>137.03703703703704</v>
      </c>
      <c r="R147" s="2">
        <f t="shared" si="30"/>
        <v>0</v>
      </c>
      <c r="S147" s="9">
        <f t="shared" si="31"/>
        <v>0</v>
      </c>
    </row>
    <row r="148" spans="2:19" x14ac:dyDescent="0.25">
      <c r="B148" t="s">
        <v>7</v>
      </c>
      <c r="C148">
        <v>62</v>
      </c>
      <c r="D148">
        <f t="shared" si="25"/>
        <v>1.103448275862069</v>
      </c>
      <c r="E148">
        <f t="shared" si="25"/>
        <v>1.1310344827586205</v>
      </c>
      <c r="F148">
        <f t="shared" si="25"/>
        <v>1.1448275862068966</v>
      </c>
      <c r="G148">
        <f t="shared" si="25"/>
        <v>1.2482758620689656</v>
      </c>
      <c r="H148">
        <f t="shared" si="25"/>
        <v>1.2206896551724138</v>
      </c>
      <c r="I148">
        <f t="shared" si="25"/>
        <v>0</v>
      </c>
      <c r="J148">
        <f t="shared" si="25"/>
        <v>0</v>
      </c>
      <c r="K148" s="8" t="s">
        <v>7</v>
      </c>
      <c r="L148" s="2">
        <v>62</v>
      </c>
      <c r="M148" s="2">
        <f t="shared" si="32"/>
        <v>110.34482758620689</v>
      </c>
      <c r="N148" s="2">
        <f t="shared" si="26"/>
        <v>113.10344827586205</v>
      </c>
      <c r="O148" s="2">
        <f t="shared" si="27"/>
        <v>114.48275862068967</v>
      </c>
      <c r="P148" s="2">
        <f t="shared" si="28"/>
        <v>124.82758620689656</v>
      </c>
      <c r="Q148" s="2">
        <f t="shared" si="29"/>
        <v>122.06896551724138</v>
      </c>
      <c r="R148" s="2">
        <f t="shared" si="30"/>
        <v>0</v>
      </c>
      <c r="S148" s="9">
        <f t="shared" si="31"/>
        <v>0</v>
      </c>
    </row>
    <row r="149" spans="2:19" x14ac:dyDescent="0.25">
      <c r="B149" t="s">
        <v>7</v>
      </c>
      <c r="C149">
        <v>63</v>
      </c>
      <c r="D149">
        <f t="shared" si="25"/>
        <v>1.164179104477612</v>
      </c>
      <c r="E149">
        <f t="shared" si="25"/>
        <v>1.208955223880597</v>
      </c>
      <c r="F149">
        <f t="shared" si="25"/>
        <v>1.2686567164179103</v>
      </c>
      <c r="G149">
        <f t="shared" si="25"/>
        <v>1.2388059701492538</v>
      </c>
      <c r="H149">
        <f t="shared" si="25"/>
        <v>1.2985074626865669</v>
      </c>
      <c r="I149">
        <f t="shared" si="25"/>
        <v>0</v>
      </c>
      <c r="J149">
        <f t="shared" si="25"/>
        <v>0</v>
      </c>
      <c r="K149" s="8" t="s">
        <v>7</v>
      </c>
      <c r="L149" s="2">
        <v>63</v>
      </c>
      <c r="M149" s="2">
        <f t="shared" si="32"/>
        <v>116.4179104477612</v>
      </c>
      <c r="N149" s="2">
        <f t="shared" si="26"/>
        <v>120.89552238805969</v>
      </c>
      <c r="O149" s="2">
        <f t="shared" si="27"/>
        <v>126.86567164179104</v>
      </c>
      <c r="P149" s="2">
        <f t="shared" si="28"/>
        <v>123.88059701492537</v>
      </c>
      <c r="Q149" s="2">
        <f t="shared" si="29"/>
        <v>129.85074626865668</v>
      </c>
      <c r="R149" s="2">
        <f t="shared" si="30"/>
        <v>0</v>
      </c>
      <c r="S149" s="9">
        <f t="shared" si="31"/>
        <v>0</v>
      </c>
    </row>
    <row r="150" spans="2:19" x14ac:dyDescent="0.25">
      <c r="B150" t="s">
        <v>7</v>
      </c>
      <c r="C150">
        <v>64</v>
      </c>
      <c r="D150">
        <f t="shared" si="25"/>
        <v>1.1631205673758864</v>
      </c>
      <c r="E150">
        <f t="shared" si="25"/>
        <v>1.0709219858156029</v>
      </c>
      <c r="F150">
        <f t="shared" si="25"/>
        <v>1.0709219858156029</v>
      </c>
      <c r="G150">
        <f t="shared" si="25"/>
        <v>0.99290780141843971</v>
      </c>
      <c r="H150">
        <f t="shared" si="25"/>
        <v>0.95035460992907805</v>
      </c>
      <c r="I150">
        <f t="shared" si="25"/>
        <v>0</v>
      </c>
      <c r="J150">
        <f t="shared" si="25"/>
        <v>0</v>
      </c>
      <c r="K150" s="8" t="s">
        <v>7</v>
      </c>
      <c r="L150" s="2">
        <v>64</v>
      </c>
      <c r="M150" s="2">
        <f t="shared" si="32"/>
        <v>116.31205673758865</v>
      </c>
      <c r="N150" s="2">
        <f t="shared" si="26"/>
        <v>107.0921985815603</v>
      </c>
      <c r="O150" s="2">
        <f t="shared" si="27"/>
        <v>107.0921985815603</v>
      </c>
      <c r="P150" s="2">
        <f t="shared" si="28"/>
        <v>99.290780141843967</v>
      </c>
      <c r="Q150" s="2">
        <f t="shared" si="29"/>
        <v>95.035460992907801</v>
      </c>
      <c r="R150" s="2">
        <f t="shared" si="30"/>
        <v>0</v>
      </c>
      <c r="S150" s="9">
        <f t="shared" si="31"/>
        <v>0</v>
      </c>
    </row>
    <row r="151" spans="2:19" x14ac:dyDescent="0.25">
      <c r="B151" t="s">
        <v>7</v>
      </c>
      <c r="C151">
        <v>65</v>
      </c>
      <c r="D151">
        <f t="shared" si="25"/>
        <v>1.152542372881356</v>
      </c>
      <c r="E151">
        <f t="shared" si="25"/>
        <v>1.1807909604519773</v>
      </c>
      <c r="F151">
        <f t="shared" si="25"/>
        <v>1.1977401129943503</v>
      </c>
      <c r="G151">
        <f t="shared" si="25"/>
        <v>1.3276836158192091</v>
      </c>
      <c r="H151">
        <f t="shared" si="25"/>
        <v>1.361581920903955</v>
      </c>
      <c r="I151">
        <f t="shared" si="25"/>
        <v>0</v>
      </c>
      <c r="J151">
        <f t="shared" si="25"/>
        <v>0</v>
      </c>
      <c r="K151" s="8" t="s">
        <v>7</v>
      </c>
      <c r="L151" s="2">
        <v>65</v>
      </c>
      <c r="M151" s="2">
        <f t="shared" si="32"/>
        <v>115.2542372881356</v>
      </c>
      <c r="N151" s="2">
        <f t="shared" si="26"/>
        <v>118.07909604519773</v>
      </c>
      <c r="O151" s="2">
        <f t="shared" si="27"/>
        <v>119.77401129943503</v>
      </c>
      <c r="P151" s="2">
        <f t="shared" si="28"/>
        <v>132.76836158192091</v>
      </c>
      <c r="Q151" s="2">
        <f t="shared" si="29"/>
        <v>136.15819209039552</v>
      </c>
      <c r="R151" s="2">
        <f t="shared" si="30"/>
        <v>0</v>
      </c>
      <c r="S151" s="9">
        <f t="shared" si="31"/>
        <v>0</v>
      </c>
    </row>
    <row r="152" spans="2:19" x14ac:dyDescent="0.25">
      <c r="B152" t="s">
        <v>7</v>
      </c>
      <c r="C152">
        <v>66</v>
      </c>
      <c r="D152">
        <f t="shared" ref="D152:J161" si="33">D54/$C54</f>
        <v>1.0939597315436242</v>
      </c>
      <c r="E152">
        <f t="shared" si="33"/>
        <v>1.1006711409395973</v>
      </c>
      <c r="F152">
        <f t="shared" si="33"/>
        <v>1.1409395973154361</v>
      </c>
      <c r="G152">
        <f t="shared" si="33"/>
        <v>1.2416107382550334</v>
      </c>
      <c r="H152">
        <f t="shared" si="33"/>
        <v>1.268456375838926</v>
      </c>
      <c r="I152">
        <f t="shared" si="33"/>
        <v>0</v>
      </c>
      <c r="J152">
        <f t="shared" si="33"/>
        <v>0</v>
      </c>
      <c r="K152" s="8" t="s">
        <v>7</v>
      </c>
      <c r="L152" s="2">
        <v>66</v>
      </c>
      <c r="M152" s="2">
        <f t="shared" si="32"/>
        <v>109.39597315436242</v>
      </c>
      <c r="N152" s="2">
        <f t="shared" si="26"/>
        <v>110.06711409395973</v>
      </c>
      <c r="O152" s="2">
        <f t="shared" si="27"/>
        <v>114.09395973154362</v>
      </c>
      <c r="P152" s="2">
        <f t="shared" si="28"/>
        <v>124.16107382550334</v>
      </c>
      <c r="Q152" s="2">
        <f t="shared" si="29"/>
        <v>126.8456375838926</v>
      </c>
      <c r="R152" s="2">
        <f t="shared" si="30"/>
        <v>0</v>
      </c>
      <c r="S152" s="9">
        <f t="shared" si="31"/>
        <v>0</v>
      </c>
    </row>
    <row r="153" spans="2:19" x14ac:dyDescent="0.25">
      <c r="B153" t="s">
        <v>7</v>
      </c>
      <c r="C153">
        <v>67</v>
      </c>
      <c r="D153">
        <f t="shared" si="33"/>
        <v>1.1171875</v>
      </c>
      <c r="E153">
        <f t="shared" si="33"/>
        <v>1.15625</v>
      </c>
      <c r="F153">
        <f t="shared" si="33"/>
        <v>1.1953125</v>
      </c>
      <c r="G153">
        <f t="shared" si="33"/>
        <v>1.3359375</v>
      </c>
      <c r="H153">
        <f t="shared" si="33"/>
        <v>1.3359375</v>
      </c>
      <c r="I153">
        <f t="shared" si="33"/>
        <v>0</v>
      </c>
      <c r="J153">
        <f t="shared" si="33"/>
        <v>0</v>
      </c>
      <c r="K153" s="8" t="s">
        <v>7</v>
      </c>
      <c r="L153" s="2">
        <v>67</v>
      </c>
      <c r="M153" s="2">
        <f t="shared" si="32"/>
        <v>111.71875</v>
      </c>
      <c r="N153" s="2">
        <f t="shared" si="26"/>
        <v>115.625</v>
      </c>
      <c r="O153" s="2">
        <f t="shared" si="27"/>
        <v>119.53125</v>
      </c>
      <c r="P153" s="2">
        <f t="shared" si="28"/>
        <v>133.59375</v>
      </c>
      <c r="Q153" s="2">
        <f t="shared" si="29"/>
        <v>133.59375</v>
      </c>
      <c r="R153" s="2">
        <f t="shared" si="30"/>
        <v>0</v>
      </c>
      <c r="S153" s="9">
        <f t="shared" si="31"/>
        <v>0</v>
      </c>
    </row>
    <row r="154" spans="2:19" x14ac:dyDescent="0.25">
      <c r="B154" t="s">
        <v>7</v>
      </c>
      <c r="C154">
        <v>68</v>
      </c>
      <c r="D154">
        <f t="shared" si="33"/>
        <v>1.0833333333333333</v>
      </c>
      <c r="E154">
        <f t="shared" si="33"/>
        <v>1.0833333333333333</v>
      </c>
      <c r="F154">
        <f t="shared" si="33"/>
        <v>1.1217948717948718</v>
      </c>
      <c r="G154">
        <f t="shared" si="33"/>
        <v>1.2692307692307694</v>
      </c>
      <c r="H154">
        <f t="shared" si="33"/>
        <v>1.2820512820512822</v>
      </c>
      <c r="I154">
        <f t="shared" si="33"/>
        <v>0</v>
      </c>
      <c r="J154">
        <f t="shared" si="33"/>
        <v>0</v>
      </c>
      <c r="K154" s="8" t="s">
        <v>7</v>
      </c>
      <c r="L154" s="2">
        <v>68</v>
      </c>
      <c r="M154" s="2">
        <f t="shared" si="32"/>
        <v>108.33333333333333</v>
      </c>
      <c r="N154" s="2">
        <f t="shared" si="26"/>
        <v>108.33333333333333</v>
      </c>
      <c r="O154" s="2">
        <f t="shared" si="27"/>
        <v>112.17948717948718</v>
      </c>
      <c r="P154" s="2">
        <f t="shared" si="28"/>
        <v>126.92307692307693</v>
      </c>
      <c r="Q154" s="2">
        <f t="shared" si="29"/>
        <v>128.2051282051282</v>
      </c>
      <c r="R154" s="2">
        <f t="shared" si="30"/>
        <v>0</v>
      </c>
      <c r="S154" s="9">
        <f t="shared" si="31"/>
        <v>0</v>
      </c>
    </row>
    <row r="155" spans="2:19" x14ac:dyDescent="0.25">
      <c r="B155" t="s">
        <v>7</v>
      </c>
      <c r="C155">
        <v>69</v>
      </c>
      <c r="D155">
        <f t="shared" si="33"/>
        <v>1.2464788732394367</v>
      </c>
      <c r="E155">
        <f t="shared" si="33"/>
        <v>1.3098591549295777</v>
      </c>
      <c r="F155">
        <f t="shared" si="33"/>
        <v>1.3802816901408452</v>
      </c>
      <c r="G155">
        <f t="shared" si="33"/>
        <v>1.4577464788732395</v>
      </c>
      <c r="H155">
        <f t="shared" si="33"/>
        <v>1.443661971830986</v>
      </c>
      <c r="I155">
        <f t="shared" si="33"/>
        <v>0</v>
      </c>
      <c r="J155">
        <f t="shared" si="33"/>
        <v>0</v>
      </c>
      <c r="K155" s="8" t="s">
        <v>7</v>
      </c>
      <c r="L155" s="2">
        <v>69</v>
      </c>
      <c r="M155" s="2">
        <f t="shared" si="32"/>
        <v>124.64788732394368</v>
      </c>
      <c r="N155" s="2">
        <f t="shared" si="26"/>
        <v>130.98591549295776</v>
      </c>
      <c r="O155" s="2">
        <f t="shared" si="27"/>
        <v>138.02816901408451</v>
      </c>
      <c r="P155" s="2">
        <f t="shared" si="28"/>
        <v>145.77464788732394</v>
      </c>
      <c r="Q155" s="2">
        <f t="shared" si="29"/>
        <v>144.36619718309859</v>
      </c>
      <c r="R155" s="2">
        <f t="shared" si="30"/>
        <v>0</v>
      </c>
      <c r="S155" s="9">
        <f t="shared" si="31"/>
        <v>0</v>
      </c>
    </row>
    <row r="156" spans="2:19" x14ac:dyDescent="0.25">
      <c r="B156" t="s">
        <v>7</v>
      </c>
      <c r="C156">
        <v>70</v>
      </c>
      <c r="D156">
        <f t="shared" si="33"/>
        <v>1.1400000000000001</v>
      </c>
      <c r="E156">
        <f t="shared" si="33"/>
        <v>1.1466666666666667</v>
      </c>
      <c r="F156">
        <f t="shared" si="33"/>
        <v>1.1533333333333333</v>
      </c>
      <c r="G156">
        <f t="shared" si="33"/>
        <v>1.1400000000000001</v>
      </c>
      <c r="H156">
        <f t="shared" si="33"/>
        <v>1.1733333333333333</v>
      </c>
      <c r="I156">
        <f t="shared" si="33"/>
        <v>0</v>
      </c>
      <c r="J156">
        <f t="shared" si="33"/>
        <v>0</v>
      </c>
      <c r="K156" s="8" t="s">
        <v>7</v>
      </c>
      <c r="L156" s="2">
        <v>70</v>
      </c>
      <c r="M156" s="2">
        <f t="shared" si="32"/>
        <v>114.00000000000001</v>
      </c>
      <c r="N156" s="2">
        <f t="shared" si="26"/>
        <v>114.66666666666667</v>
      </c>
      <c r="O156" s="2">
        <f t="shared" si="27"/>
        <v>115.33333333333333</v>
      </c>
      <c r="P156" s="2">
        <f t="shared" si="28"/>
        <v>114.00000000000001</v>
      </c>
      <c r="Q156" s="2">
        <f t="shared" si="29"/>
        <v>117.33333333333333</v>
      </c>
      <c r="R156" s="2">
        <f t="shared" si="30"/>
        <v>0</v>
      </c>
      <c r="S156" s="9">
        <f t="shared" si="31"/>
        <v>0</v>
      </c>
    </row>
    <row r="157" spans="2:19" x14ac:dyDescent="0.25">
      <c r="B157" t="s">
        <v>7</v>
      </c>
      <c r="C157">
        <v>71</v>
      </c>
      <c r="D157">
        <f t="shared" si="33"/>
        <v>1.103448275862069</v>
      </c>
      <c r="E157">
        <f t="shared" si="33"/>
        <v>1.096551724137931</v>
      </c>
      <c r="F157">
        <f t="shared" si="33"/>
        <v>1.1586206896551725</v>
      </c>
      <c r="G157">
        <f t="shared" si="33"/>
        <v>1.193103448275862</v>
      </c>
      <c r="H157">
        <f t="shared" si="33"/>
        <v>1.1724137931034482</v>
      </c>
      <c r="I157">
        <f t="shared" si="33"/>
        <v>0</v>
      </c>
      <c r="J157">
        <f t="shared" si="33"/>
        <v>0</v>
      </c>
      <c r="K157" s="8" t="s">
        <v>7</v>
      </c>
      <c r="L157" s="2">
        <v>71</v>
      </c>
      <c r="M157" s="2">
        <f t="shared" si="32"/>
        <v>110.34482758620689</v>
      </c>
      <c r="N157" s="2">
        <f t="shared" si="26"/>
        <v>109.6551724137931</v>
      </c>
      <c r="O157" s="2">
        <f t="shared" si="27"/>
        <v>115.86206896551725</v>
      </c>
      <c r="P157" s="2">
        <f t="shared" si="28"/>
        <v>119.31034482758621</v>
      </c>
      <c r="Q157" s="2">
        <f t="shared" si="29"/>
        <v>117.24137931034481</v>
      </c>
      <c r="R157" s="2">
        <f t="shared" si="30"/>
        <v>0</v>
      </c>
      <c r="S157" s="9">
        <f t="shared" si="31"/>
        <v>0</v>
      </c>
    </row>
    <row r="158" spans="2:19" x14ac:dyDescent="0.25">
      <c r="B158" t="s">
        <v>7</v>
      </c>
      <c r="C158">
        <v>72</v>
      </c>
      <c r="D158">
        <f t="shared" si="33"/>
        <v>1.1348314606741572</v>
      </c>
      <c r="E158">
        <f t="shared" si="33"/>
        <v>1.1573033707865168</v>
      </c>
      <c r="F158">
        <f t="shared" si="33"/>
        <v>1.2078651685393258</v>
      </c>
      <c r="G158">
        <f t="shared" si="33"/>
        <v>1.2752808988764044</v>
      </c>
      <c r="H158">
        <f t="shared" si="33"/>
        <v>1.2921348314606742</v>
      </c>
      <c r="I158">
        <f t="shared" si="33"/>
        <v>0</v>
      </c>
      <c r="J158">
        <f t="shared" si="33"/>
        <v>0</v>
      </c>
      <c r="K158" s="8" t="s">
        <v>7</v>
      </c>
      <c r="L158" s="2">
        <v>72</v>
      </c>
      <c r="M158" s="2">
        <f t="shared" si="32"/>
        <v>113.48314606741572</v>
      </c>
      <c r="N158" s="2">
        <f t="shared" si="26"/>
        <v>115.73033707865167</v>
      </c>
      <c r="O158" s="2">
        <f t="shared" si="27"/>
        <v>120.78651685393258</v>
      </c>
      <c r="P158" s="2">
        <f t="shared" si="28"/>
        <v>127.52808988764043</v>
      </c>
      <c r="Q158" s="2">
        <f t="shared" si="29"/>
        <v>129.21348314606743</v>
      </c>
      <c r="R158" s="2">
        <f t="shared" si="30"/>
        <v>0</v>
      </c>
      <c r="S158" s="9">
        <f t="shared" si="31"/>
        <v>0</v>
      </c>
    </row>
    <row r="159" spans="2:19" x14ac:dyDescent="0.25">
      <c r="B159" t="s">
        <v>7</v>
      </c>
      <c r="C159">
        <v>73</v>
      </c>
      <c r="D159">
        <f t="shared" si="33"/>
        <v>1.1481481481481481</v>
      </c>
      <c r="E159">
        <f t="shared" si="33"/>
        <v>1.1777777777777778</v>
      </c>
      <c r="F159">
        <f t="shared" si="33"/>
        <v>1.2148148148148148</v>
      </c>
      <c r="G159">
        <f t="shared" si="33"/>
        <v>1.3333333333333333</v>
      </c>
      <c r="H159">
        <f t="shared" si="33"/>
        <v>1.3703703703703705</v>
      </c>
      <c r="I159">
        <f t="shared" si="33"/>
        <v>0</v>
      </c>
      <c r="J159">
        <f t="shared" si="33"/>
        <v>0</v>
      </c>
      <c r="K159" s="8" t="s">
        <v>7</v>
      </c>
      <c r="L159" s="2">
        <v>73</v>
      </c>
      <c r="M159" s="2">
        <f t="shared" si="32"/>
        <v>114.81481481481481</v>
      </c>
      <c r="N159" s="2">
        <f t="shared" si="26"/>
        <v>117.77777777777779</v>
      </c>
      <c r="O159" s="2">
        <f t="shared" si="27"/>
        <v>121.48148148148148</v>
      </c>
      <c r="P159" s="2">
        <f t="shared" si="28"/>
        <v>133.33333333333331</v>
      </c>
      <c r="Q159" s="2">
        <f t="shared" si="29"/>
        <v>137.03703703703704</v>
      </c>
      <c r="R159" s="2">
        <f t="shared" si="30"/>
        <v>0</v>
      </c>
      <c r="S159" s="9">
        <f t="shared" si="31"/>
        <v>0</v>
      </c>
    </row>
    <row r="160" spans="2:19" x14ac:dyDescent="0.25">
      <c r="B160" t="s">
        <v>7</v>
      </c>
      <c r="C160">
        <v>74</v>
      </c>
      <c r="D160">
        <f t="shared" si="33"/>
        <v>1.1972789115646261</v>
      </c>
      <c r="E160">
        <f t="shared" si="33"/>
        <v>1.2380952380952381</v>
      </c>
      <c r="F160">
        <f t="shared" si="33"/>
        <v>1.2857142857142856</v>
      </c>
      <c r="G160">
        <f t="shared" si="33"/>
        <v>1.217687074829932</v>
      </c>
      <c r="H160">
        <f t="shared" si="33"/>
        <v>1.2108843537414966</v>
      </c>
      <c r="I160">
        <f t="shared" si="33"/>
        <v>0</v>
      </c>
      <c r="J160">
        <f t="shared" si="33"/>
        <v>0</v>
      </c>
      <c r="K160" s="8" t="s">
        <v>7</v>
      </c>
      <c r="L160" s="2">
        <v>74</v>
      </c>
      <c r="M160" s="2">
        <f t="shared" si="32"/>
        <v>119.7278911564626</v>
      </c>
      <c r="N160" s="2">
        <f t="shared" si="26"/>
        <v>123.80952380952381</v>
      </c>
      <c r="O160" s="2">
        <f t="shared" si="27"/>
        <v>128.57142857142856</v>
      </c>
      <c r="P160" s="2">
        <f t="shared" si="28"/>
        <v>121.76870748299319</v>
      </c>
      <c r="Q160" s="2">
        <f t="shared" si="29"/>
        <v>121.08843537414967</v>
      </c>
      <c r="R160" s="2">
        <f t="shared" si="30"/>
        <v>0</v>
      </c>
      <c r="S160" s="9">
        <f t="shared" si="31"/>
        <v>0</v>
      </c>
    </row>
    <row r="161" spans="2:19" x14ac:dyDescent="0.25">
      <c r="B161" t="s">
        <v>7</v>
      </c>
      <c r="C161">
        <v>75</v>
      </c>
      <c r="D161">
        <f t="shared" si="33"/>
        <v>1.0542168674698795</v>
      </c>
      <c r="E161">
        <f t="shared" si="33"/>
        <v>1.0481927710843373</v>
      </c>
      <c r="F161">
        <f t="shared" si="33"/>
        <v>1.0963855421686746</v>
      </c>
      <c r="G161">
        <f t="shared" si="33"/>
        <v>1.0662650602409638</v>
      </c>
      <c r="H161">
        <f t="shared" si="33"/>
        <v>1.0963855421686746</v>
      </c>
      <c r="I161">
        <f t="shared" si="33"/>
        <v>0</v>
      </c>
      <c r="J161">
        <f t="shared" si="33"/>
        <v>0</v>
      </c>
      <c r="K161" s="8" t="s">
        <v>7</v>
      </c>
      <c r="L161" s="2">
        <v>75</v>
      </c>
      <c r="M161" s="2">
        <f>D161*100</f>
        <v>105.42168674698796</v>
      </c>
      <c r="N161" s="2">
        <f t="shared" si="26"/>
        <v>104.81927710843372</v>
      </c>
      <c r="O161" s="2">
        <f t="shared" si="27"/>
        <v>109.63855421686746</v>
      </c>
      <c r="P161" s="2">
        <f t="shared" si="28"/>
        <v>106.62650602409639</v>
      </c>
      <c r="Q161" s="2">
        <f t="shared" si="29"/>
        <v>109.63855421686746</v>
      </c>
      <c r="R161" s="2">
        <f t="shared" si="30"/>
        <v>0</v>
      </c>
      <c r="S161" s="9">
        <f t="shared" si="31"/>
        <v>0</v>
      </c>
    </row>
    <row r="162" spans="2:19" x14ac:dyDescent="0.25">
      <c r="B162" t="s">
        <v>9</v>
      </c>
      <c r="C162">
        <v>76</v>
      </c>
      <c r="D162">
        <f t="shared" ref="D162:J171" si="34">D64/$C64</f>
        <v>1.1608391608391608</v>
      </c>
      <c r="E162">
        <f t="shared" si="34"/>
        <v>1.1818181818181817</v>
      </c>
      <c r="F162">
        <f t="shared" si="34"/>
        <v>1.2517482517482517</v>
      </c>
      <c r="G162">
        <f t="shared" si="34"/>
        <v>1.3916083916083914</v>
      </c>
      <c r="H162">
        <f t="shared" si="34"/>
        <v>1.3846153846153846</v>
      </c>
      <c r="I162">
        <f t="shared" si="34"/>
        <v>1.4055944055944056</v>
      </c>
      <c r="J162">
        <f t="shared" si="34"/>
        <v>1.5104895104895104</v>
      </c>
      <c r="K162" s="8" t="s">
        <v>9</v>
      </c>
      <c r="L162" s="2">
        <v>76</v>
      </c>
      <c r="M162" s="2">
        <f>D162*100</f>
        <v>116.08391608391608</v>
      </c>
      <c r="N162" s="2">
        <f t="shared" ref="N162:S176" si="35">E162*100</f>
        <v>118.18181818181816</v>
      </c>
      <c r="O162" s="2">
        <f t="shared" si="35"/>
        <v>125.17482517482517</v>
      </c>
      <c r="P162" s="2">
        <f t="shared" si="35"/>
        <v>139.16083916083915</v>
      </c>
      <c r="Q162" s="2">
        <f t="shared" si="35"/>
        <v>138.46153846153845</v>
      </c>
      <c r="R162" s="2">
        <f t="shared" si="35"/>
        <v>140.55944055944056</v>
      </c>
      <c r="S162" s="9">
        <f t="shared" si="35"/>
        <v>151.04895104895104</v>
      </c>
    </row>
    <row r="163" spans="2:19" x14ac:dyDescent="0.25">
      <c r="B163" t="s">
        <v>9</v>
      </c>
      <c r="C163">
        <v>77</v>
      </c>
      <c r="D163">
        <f t="shared" si="34"/>
        <v>1.0397727272727273</v>
      </c>
      <c r="E163">
        <f t="shared" si="34"/>
        <v>1.0170454545454544</v>
      </c>
      <c r="F163">
        <f t="shared" si="34"/>
        <v>1.0340909090909089</v>
      </c>
      <c r="G163">
        <f t="shared" si="34"/>
        <v>1.0738636363636362</v>
      </c>
      <c r="H163">
        <f t="shared" si="34"/>
        <v>1.0340909090909089</v>
      </c>
      <c r="I163">
        <f t="shared" si="34"/>
        <v>1.0568181818181819</v>
      </c>
      <c r="J163">
        <f t="shared" si="34"/>
        <v>1.2386363636363635</v>
      </c>
      <c r="K163" s="8" t="s">
        <v>9</v>
      </c>
      <c r="L163" s="2">
        <v>77</v>
      </c>
      <c r="M163" s="2">
        <f t="shared" ref="M163:M176" si="36">D163*100</f>
        <v>103.97727272727273</v>
      </c>
      <c r="N163" s="2">
        <f t="shared" si="35"/>
        <v>101.70454545454544</v>
      </c>
      <c r="O163" s="2">
        <f t="shared" si="35"/>
        <v>103.40909090909089</v>
      </c>
      <c r="P163" s="2">
        <f t="shared" si="35"/>
        <v>107.38636363636363</v>
      </c>
      <c r="Q163" s="2">
        <f t="shared" si="35"/>
        <v>103.40909090909089</v>
      </c>
      <c r="R163" s="2">
        <f t="shared" si="35"/>
        <v>105.68181818181819</v>
      </c>
      <c r="S163" s="9">
        <f t="shared" si="35"/>
        <v>123.86363636363636</v>
      </c>
    </row>
    <row r="164" spans="2:19" x14ac:dyDescent="0.25">
      <c r="B164" t="s">
        <v>9</v>
      </c>
      <c r="C164">
        <v>78</v>
      </c>
      <c r="D164">
        <f t="shared" si="34"/>
        <v>1.1387283236994219</v>
      </c>
      <c r="E164">
        <f t="shared" si="34"/>
        <v>1.1791907514450866</v>
      </c>
      <c r="F164">
        <f t="shared" si="34"/>
        <v>1.2601156069364161</v>
      </c>
      <c r="G164">
        <f t="shared" si="34"/>
        <v>1.3179190751445087</v>
      </c>
      <c r="H164">
        <f t="shared" si="34"/>
        <v>1.3005780346820808</v>
      </c>
      <c r="I164">
        <f t="shared" si="34"/>
        <v>1.4104046242774566</v>
      </c>
      <c r="J164">
        <f t="shared" si="34"/>
        <v>1.8323699421965316</v>
      </c>
      <c r="K164" s="8" t="s">
        <v>9</v>
      </c>
      <c r="L164" s="2">
        <v>78</v>
      </c>
      <c r="M164" s="2">
        <f t="shared" si="36"/>
        <v>113.87283236994219</v>
      </c>
      <c r="N164" s="2">
        <f t="shared" si="35"/>
        <v>117.91907514450865</v>
      </c>
      <c r="O164" s="2">
        <f t="shared" si="35"/>
        <v>126.01156069364161</v>
      </c>
      <c r="P164" s="2">
        <f t="shared" si="35"/>
        <v>131.79190751445086</v>
      </c>
      <c r="Q164" s="2">
        <f t="shared" si="35"/>
        <v>130.05780346820808</v>
      </c>
      <c r="R164" s="2">
        <f t="shared" si="35"/>
        <v>141.04046242774567</v>
      </c>
      <c r="S164" s="9">
        <f t="shared" si="35"/>
        <v>183.23699421965316</v>
      </c>
    </row>
    <row r="165" spans="2:19" x14ac:dyDescent="0.25">
      <c r="B165" t="s">
        <v>9</v>
      </c>
      <c r="C165">
        <v>79</v>
      </c>
      <c r="D165">
        <f t="shared" si="34"/>
        <v>1.2945736434108526</v>
      </c>
      <c r="E165">
        <f t="shared" si="34"/>
        <v>1.387596899224806</v>
      </c>
      <c r="F165">
        <f t="shared" si="34"/>
        <v>1.4961240310077519</v>
      </c>
      <c r="G165">
        <f t="shared" si="34"/>
        <v>1.6434108527131781</v>
      </c>
      <c r="H165">
        <f t="shared" si="34"/>
        <v>1.6821705426356588</v>
      </c>
      <c r="I165">
        <f t="shared" si="34"/>
        <v>1.7364341085271315</v>
      </c>
      <c r="J165">
        <f t="shared" si="34"/>
        <v>1.9147286821705425</v>
      </c>
      <c r="K165" s="8" t="s">
        <v>9</v>
      </c>
      <c r="L165" s="2">
        <v>79</v>
      </c>
      <c r="M165" s="2">
        <f t="shared" si="36"/>
        <v>129.45736434108525</v>
      </c>
      <c r="N165" s="2">
        <f t="shared" si="35"/>
        <v>138.75968992248059</v>
      </c>
      <c r="O165" s="2">
        <f t="shared" si="35"/>
        <v>149.6124031007752</v>
      </c>
      <c r="P165" s="2">
        <f t="shared" si="35"/>
        <v>164.34108527131781</v>
      </c>
      <c r="Q165" s="2">
        <f t="shared" si="35"/>
        <v>168.21705426356587</v>
      </c>
      <c r="R165" s="2">
        <f t="shared" si="35"/>
        <v>173.64341085271315</v>
      </c>
      <c r="S165" s="9">
        <f t="shared" si="35"/>
        <v>191.47286821705424</v>
      </c>
    </row>
    <row r="166" spans="2:19" x14ac:dyDescent="0.25">
      <c r="B166" t="s">
        <v>9</v>
      </c>
      <c r="C166">
        <v>80</v>
      </c>
      <c r="D166">
        <f t="shared" si="34"/>
        <v>1.0810810810810809</v>
      </c>
      <c r="E166">
        <f t="shared" si="34"/>
        <v>1.1283783783783783</v>
      </c>
      <c r="F166">
        <f t="shared" si="34"/>
        <v>1.1283783783783783</v>
      </c>
      <c r="G166">
        <f t="shared" si="34"/>
        <v>1.1756756756756754</v>
      </c>
      <c r="H166">
        <f t="shared" si="34"/>
        <v>1.1283783783783783</v>
      </c>
      <c r="I166">
        <f t="shared" si="34"/>
        <v>1.1891891891891893</v>
      </c>
      <c r="J166">
        <f t="shared" si="34"/>
        <v>1.5202702702702702</v>
      </c>
      <c r="K166" s="8" t="s">
        <v>9</v>
      </c>
      <c r="L166" s="2">
        <v>80</v>
      </c>
      <c r="M166" s="2">
        <f t="shared" si="36"/>
        <v>108.1081081081081</v>
      </c>
      <c r="N166" s="2">
        <f t="shared" si="35"/>
        <v>112.83783783783782</v>
      </c>
      <c r="O166" s="2">
        <f t="shared" si="35"/>
        <v>112.83783783783782</v>
      </c>
      <c r="P166" s="2">
        <f t="shared" si="35"/>
        <v>117.56756756756755</v>
      </c>
      <c r="Q166" s="2">
        <f t="shared" si="35"/>
        <v>112.83783783783782</v>
      </c>
      <c r="R166" s="2">
        <f t="shared" si="35"/>
        <v>118.91891891891892</v>
      </c>
      <c r="S166" s="9">
        <f t="shared" si="35"/>
        <v>152.02702702702703</v>
      </c>
    </row>
    <row r="167" spans="2:19" x14ac:dyDescent="0.25">
      <c r="B167" t="s">
        <v>9</v>
      </c>
      <c r="C167">
        <v>81</v>
      </c>
      <c r="D167">
        <f t="shared" si="34"/>
        <v>1.1111111111111112</v>
      </c>
      <c r="E167">
        <f t="shared" si="34"/>
        <v>1.1604938271604939</v>
      </c>
      <c r="F167">
        <f t="shared" si="34"/>
        <v>1.1790123456790125</v>
      </c>
      <c r="G167">
        <f t="shared" si="34"/>
        <v>1.2345679012345681</v>
      </c>
      <c r="H167">
        <f t="shared" si="34"/>
        <v>1.2530864197530864</v>
      </c>
      <c r="I167">
        <f t="shared" si="34"/>
        <v>1.3148148148148149</v>
      </c>
      <c r="J167">
        <f t="shared" si="34"/>
        <v>1.3888888888888888</v>
      </c>
      <c r="K167" s="8" t="s">
        <v>9</v>
      </c>
      <c r="L167" s="2">
        <v>81</v>
      </c>
      <c r="M167" s="2">
        <f t="shared" si="36"/>
        <v>111.11111111111111</v>
      </c>
      <c r="N167" s="2">
        <f t="shared" si="35"/>
        <v>116.04938271604939</v>
      </c>
      <c r="O167" s="2">
        <f t="shared" si="35"/>
        <v>117.90123456790124</v>
      </c>
      <c r="P167" s="2">
        <f t="shared" si="35"/>
        <v>123.45679012345681</v>
      </c>
      <c r="Q167" s="2">
        <f t="shared" si="35"/>
        <v>125.30864197530865</v>
      </c>
      <c r="R167" s="2">
        <f t="shared" si="35"/>
        <v>131.4814814814815</v>
      </c>
      <c r="S167" s="9">
        <f t="shared" si="35"/>
        <v>138.88888888888889</v>
      </c>
    </row>
    <row r="168" spans="2:19" x14ac:dyDescent="0.25">
      <c r="B168" t="s">
        <v>9</v>
      </c>
      <c r="C168">
        <v>82</v>
      </c>
      <c r="D168">
        <f t="shared" si="34"/>
        <v>1.1094527363184079</v>
      </c>
      <c r="E168">
        <f t="shared" si="34"/>
        <v>1.1393034825870645</v>
      </c>
      <c r="F168">
        <f t="shared" si="34"/>
        <v>1.144278606965174</v>
      </c>
      <c r="G168">
        <f t="shared" si="34"/>
        <v>1.189054726368159</v>
      </c>
      <c r="H168">
        <f t="shared" si="34"/>
        <v>1.1840796019900497</v>
      </c>
      <c r="I168">
        <f t="shared" si="34"/>
        <v>1.2338308457711442</v>
      </c>
      <c r="J168">
        <f t="shared" si="34"/>
        <v>1.3930348258706466</v>
      </c>
      <c r="K168" s="8" t="s">
        <v>9</v>
      </c>
      <c r="L168" s="2">
        <v>82</v>
      </c>
      <c r="M168" s="2">
        <f t="shared" si="36"/>
        <v>110.94527363184079</v>
      </c>
      <c r="N168" s="2">
        <f t="shared" si="35"/>
        <v>113.93034825870645</v>
      </c>
      <c r="O168" s="2">
        <f t="shared" si="35"/>
        <v>114.4278606965174</v>
      </c>
      <c r="P168" s="2">
        <f t="shared" si="35"/>
        <v>118.9054726368159</v>
      </c>
      <c r="Q168" s="2">
        <f t="shared" si="35"/>
        <v>118.40796019900498</v>
      </c>
      <c r="R168" s="2">
        <f t="shared" si="35"/>
        <v>123.38308457711442</v>
      </c>
      <c r="S168" s="9">
        <f t="shared" si="35"/>
        <v>139.30348258706465</v>
      </c>
    </row>
    <row r="169" spans="2:19" x14ac:dyDescent="0.25">
      <c r="B169" t="s">
        <v>9</v>
      </c>
      <c r="C169">
        <v>83</v>
      </c>
      <c r="D169">
        <f t="shared" si="34"/>
        <v>1.1466666666666667</v>
      </c>
      <c r="E169">
        <f t="shared" si="34"/>
        <v>1.1400000000000001</v>
      </c>
      <c r="F169">
        <f t="shared" si="34"/>
        <v>1.1733333333333333</v>
      </c>
      <c r="G169">
        <f t="shared" si="34"/>
        <v>1.2933333333333332</v>
      </c>
      <c r="H169">
        <f t="shared" si="34"/>
        <v>1.2666666666666666</v>
      </c>
      <c r="I169">
        <f t="shared" si="34"/>
        <v>1.2866666666666666</v>
      </c>
      <c r="J169">
        <f t="shared" si="34"/>
        <v>1.3599999999999999</v>
      </c>
      <c r="K169" s="8" t="s">
        <v>9</v>
      </c>
      <c r="L169" s="2">
        <v>83</v>
      </c>
      <c r="M169" s="2">
        <f t="shared" si="36"/>
        <v>114.66666666666667</v>
      </c>
      <c r="N169" s="2">
        <f t="shared" si="35"/>
        <v>114.00000000000001</v>
      </c>
      <c r="O169" s="2">
        <f t="shared" si="35"/>
        <v>117.33333333333333</v>
      </c>
      <c r="P169" s="2">
        <f t="shared" si="35"/>
        <v>129.33333333333331</v>
      </c>
      <c r="Q169" s="2">
        <f t="shared" si="35"/>
        <v>126.66666666666666</v>
      </c>
      <c r="R169" s="2">
        <f t="shared" si="35"/>
        <v>128.66666666666666</v>
      </c>
      <c r="S169" s="9">
        <f t="shared" si="35"/>
        <v>136</v>
      </c>
    </row>
    <row r="170" spans="2:19" x14ac:dyDescent="0.25">
      <c r="B170" t="s">
        <v>9</v>
      </c>
      <c r="C170">
        <v>84</v>
      </c>
      <c r="D170">
        <f t="shared" si="34"/>
        <v>1.1417322834645669</v>
      </c>
      <c r="E170">
        <f t="shared" si="34"/>
        <v>1.094488188976378</v>
      </c>
      <c r="F170">
        <f t="shared" si="34"/>
        <v>1.1653543307086616</v>
      </c>
      <c r="G170">
        <f t="shared" si="34"/>
        <v>0.99212598425196852</v>
      </c>
      <c r="H170">
        <f t="shared" si="34"/>
        <v>1.0472440944881891</v>
      </c>
      <c r="I170">
        <f t="shared" si="34"/>
        <v>1.3149606299212599</v>
      </c>
      <c r="J170">
        <f t="shared" si="34"/>
        <v>1.5196850393700789</v>
      </c>
      <c r="K170" s="8" t="s">
        <v>9</v>
      </c>
      <c r="L170" s="2">
        <v>84</v>
      </c>
      <c r="M170" s="2">
        <f t="shared" si="36"/>
        <v>114.1732283464567</v>
      </c>
      <c r="N170" s="2">
        <f t="shared" si="35"/>
        <v>109.44881889763781</v>
      </c>
      <c r="O170" s="2">
        <f t="shared" si="35"/>
        <v>116.53543307086616</v>
      </c>
      <c r="P170" s="2">
        <f t="shared" si="35"/>
        <v>99.212598425196859</v>
      </c>
      <c r="Q170" s="2">
        <f t="shared" si="35"/>
        <v>104.72440944881892</v>
      </c>
      <c r="R170" s="2">
        <f t="shared" si="35"/>
        <v>131.49606299212599</v>
      </c>
      <c r="S170" s="9">
        <f t="shared" si="35"/>
        <v>151.96850393700788</v>
      </c>
    </row>
    <row r="171" spans="2:19" x14ac:dyDescent="0.25">
      <c r="B171" t="s">
        <v>9</v>
      </c>
      <c r="C171">
        <v>85</v>
      </c>
      <c r="D171">
        <f t="shared" si="34"/>
        <v>1.0891719745222932</v>
      </c>
      <c r="E171">
        <f t="shared" si="34"/>
        <v>1.1273885350318471</v>
      </c>
      <c r="F171">
        <f t="shared" si="34"/>
        <v>1.1464968152866242</v>
      </c>
      <c r="G171">
        <f t="shared" si="34"/>
        <v>1.1783439490445859</v>
      </c>
      <c r="H171">
        <f t="shared" si="34"/>
        <v>1.0955414012738853</v>
      </c>
      <c r="I171">
        <f t="shared" si="34"/>
        <v>1.1847133757961785</v>
      </c>
      <c r="J171">
        <f t="shared" si="34"/>
        <v>1.4522292993630574</v>
      </c>
      <c r="K171" s="8" t="s">
        <v>9</v>
      </c>
      <c r="L171" s="2">
        <v>85</v>
      </c>
      <c r="M171" s="2">
        <f t="shared" si="36"/>
        <v>108.91719745222932</v>
      </c>
      <c r="N171" s="2">
        <f t="shared" si="35"/>
        <v>112.73885350318471</v>
      </c>
      <c r="O171" s="2">
        <f t="shared" si="35"/>
        <v>114.64968152866241</v>
      </c>
      <c r="P171" s="2">
        <f t="shared" si="35"/>
        <v>117.83439490445859</v>
      </c>
      <c r="Q171" s="2">
        <f t="shared" si="35"/>
        <v>109.55414012738854</v>
      </c>
      <c r="R171" s="2">
        <f t="shared" si="35"/>
        <v>118.47133757961785</v>
      </c>
      <c r="S171" s="9">
        <f t="shared" si="35"/>
        <v>145.22292993630575</v>
      </c>
    </row>
    <row r="172" spans="2:19" x14ac:dyDescent="0.25">
      <c r="B172" t="s">
        <v>9</v>
      </c>
      <c r="C172">
        <v>86</v>
      </c>
      <c r="D172">
        <f t="shared" ref="D172:J176" si="37">D74/$C74</f>
        <v>1.2321428571428572</v>
      </c>
      <c r="E172">
        <f t="shared" si="37"/>
        <v>1.2946428571428572</v>
      </c>
      <c r="F172">
        <f t="shared" si="37"/>
        <v>1.3214285714285716</v>
      </c>
      <c r="G172">
        <f t="shared" si="37"/>
        <v>1.3750000000000002</v>
      </c>
      <c r="H172">
        <f t="shared" si="37"/>
        <v>1.4107142857142858</v>
      </c>
      <c r="I172">
        <f t="shared" si="37"/>
        <v>1.5000000000000002</v>
      </c>
      <c r="J172">
        <f t="shared" si="37"/>
        <v>1.7410714285714286</v>
      </c>
      <c r="K172" s="8" t="s">
        <v>9</v>
      </c>
      <c r="L172" s="2">
        <v>86</v>
      </c>
      <c r="M172" s="2">
        <f t="shared" si="36"/>
        <v>123.21428571428572</v>
      </c>
      <c r="N172" s="2">
        <f t="shared" si="35"/>
        <v>129.46428571428572</v>
      </c>
      <c r="O172" s="2">
        <f t="shared" si="35"/>
        <v>132.14285714285717</v>
      </c>
      <c r="P172" s="2">
        <f t="shared" si="35"/>
        <v>137.50000000000003</v>
      </c>
      <c r="Q172" s="2">
        <f t="shared" si="35"/>
        <v>141.07142857142858</v>
      </c>
      <c r="R172" s="2">
        <f t="shared" si="35"/>
        <v>150.00000000000003</v>
      </c>
      <c r="S172" s="9">
        <f t="shared" si="35"/>
        <v>174.10714285714286</v>
      </c>
    </row>
    <row r="173" spans="2:19" x14ac:dyDescent="0.25">
      <c r="B173" t="s">
        <v>9</v>
      </c>
      <c r="C173">
        <v>87</v>
      </c>
      <c r="D173">
        <f t="shared" si="37"/>
        <v>1.2524271844660193</v>
      </c>
      <c r="E173">
        <f t="shared" si="37"/>
        <v>1.378640776699029</v>
      </c>
      <c r="F173">
        <f t="shared" si="37"/>
        <v>1.4174757281553396</v>
      </c>
      <c r="G173">
        <f t="shared" si="37"/>
        <v>1.5048543689320388</v>
      </c>
      <c r="H173">
        <f t="shared" si="37"/>
        <v>1.5825242718446602</v>
      </c>
      <c r="I173">
        <f t="shared" si="37"/>
        <v>1.6310679611650485</v>
      </c>
      <c r="J173">
        <f t="shared" si="37"/>
        <v>1.6990291262135921</v>
      </c>
      <c r="K173" s="8" t="s">
        <v>9</v>
      </c>
      <c r="L173" s="2">
        <v>87</v>
      </c>
      <c r="M173" s="2">
        <f t="shared" si="36"/>
        <v>125.24271844660193</v>
      </c>
      <c r="N173" s="2">
        <f t="shared" si="35"/>
        <v>137.86407766990288</v>
      </c>
      <c r="O173" s="2">
        <f t="shared" si="35"/>
        <v>141.74757281553397</v>
      </c>
      <c r="P173" s="2">
        <f t="shared" si="35"/>
        <v>150.48543689320388</v>
      </c>
      <c r="Q173" s="2">
        <f t="shared" si="35"/>
        <v>158.25242718446603</v>
      </c>
      <c r="R173" s="2">
        <f t="shared" si="35"/>
        <v>163.10679611650485</v>
      </c>
      <c r="S173" s="9">
        <f t="shared" si="35"/>
        <v>169.90291262135921</v>
      </c>
    </row>
    <row r="174" spans="2:19" x14ac:dyDescent="0.25">
      <c r="B174" t="s">
        <v>9</v>
      </c>
      <c r="C174">
        <v>88</v>
      </c>
      <c r="D174">
        <f t="shared" si="37"/>
        <v>1.2232142857142858</v>
      </c>
      <c r="E174">
        <f t="shared" si="37"/>
        <v>1.25</v>
      </c>
      <c r="F174">
        <f t="shared" si="37"/>
        <v>1.2767857142857144</v>
      </c>
      <c r="G174">
        <f t="shared" si="37"/>
        <v>1.4464285714285714</v>
      </c>
      <c r="H174">
        <f t="shared" si="37"/>
        <v>1.4821428571428574</v>
      </c>
      <c r="I174">
        <f t="shared" si="37"/>
        <v>1.625</v>
      </c>
      <c r="J174">
        <f t="shared" si="37"/>
        <v>1.8214285714285714</v>
      </c>
      <c r="K174" s="8" t="s">
        <v>9</v>
      </c>
      <c r="L174" s="2">
        <v>88</v>
      </c>
      <c r="M174" s="2">
        <f t="shared" si="36"/>
        <v>122.32142857142858</v>
      </c>
      <c r="N174" s="2">
        <f t="shared" si="35"/>
        <v>125</v>
      </c>
      <c r="O174" s="2">
        <f t="shared" si="35"/>
        <v>127.67857142857144</v>
      </c>
      <c r="P174" s="2">
        <f t="shared" si="35"/>
        <v>144.64285714285714</v>
      </c>
      <c r="Q174" s="2">
        <f t="shared" si="35"/>
        <v>148.21428571428575</v>
      </c>
      <c r="R174" s="2">
        <f t="shared" si="35"/>
        <v>162.5</v>
      </c>
      <c r="S174" s="9">
        <f t="shared" si="35"/>
        <v>182.14285714285714</v>
      </c>
    </row>
    <row r="175" spans="2:19" x14ac:dyDescent="0.25">
      <c r="B175" t="s">
        <v>9</v>
      </c>
      <c r="C175">
        <v>89</v>
      </c>
      <c r="D175">
        <f t="shared" si="37"/>
        <v>1.248</v>
      </c>
      <c r="E175">
        <f t="shared" si="37"/>
        <v>1.304</v>
      </c>
      <c r="F175">
        <f t="shared" si="37"/>
        <v>1.304</v>
      </c>
      <c r="G175">
        <f t="shared" si="37"/>
        <v>1.3840000000000001</v>
      </c>
      <c r="H175">
        <f t="shared" si="37"/>
        <v>1.4240000000000002</v>
      </c>
      <c r="I175">
        <f t="shared" si="37"/>
        <v>1.48</v>
      </c>
      <c r="J175">
        <f t="shared" si="37"/>
        <v>1.7280000000000002</v>
      </c>
      <c r="K175" s="8" t="s">
        <v>9</v>
      </c>
      <c r="L175" s="2">
        <v>89</v>
      </c>
      <c r="M175" s="2">
        <f t="shared" si="36"/>
        <v>124.8</v>
      </c>
      <c r="N175" s="2">
        <f t="shared" si="35"/>
        <v>130.4</v>
      </c>
      <c r="O175" s="2">
        <f t="shared" si="35"/>
        <v>130.4</v>
      </c>
      <c r="P175" s="2">
        <f t="shared" si="35"/>
        <v>138.4</v>
      </c>
      <c r="Q175" s="2">
        <f t="shared" si="35"/>
        <v>142.4</v>
      </c>
      <c r="R175" s="2">
        <f t="shared" si="35"/>
        <v>148</v>
      </c>
      <c r="S175" s="9">
        <f t="shared" si="35"/>
        <v>172.8</v>
      </c>
    </row>
    <row r="176" spans="2:19" x14ac:dyDescent="0.25">
      <c r="B176" t="s">
        <v>9</v>
      </c>
      <c r="C176">
        <v>90</v>
      </c>
      <c r="D176">
        <f t="shared" si="37"/>
        <v>1.2058823529411764</v>
      </c>
      <c r="E176">
        <f t="shared" si="37"/>
        <v>1.2647058823529411</v>
      </c>
      <c r="F176">
        <f t="shared" si="37"/>
        <v>1.3529411764705881</v>
      </c>
      <c r="G176">
        <f t="shared" si="37"/>
        <v>1.4411764705882355</v>
      </c>
      <c r="H176">
        <f t="shared" si="37"/>
        <v>1.4558823529411766</v>
      </c>
      <c r="I176">
        <f t="shared" si="37"/>
        <v>1.5367647058823528</v>
      </c>
      <c r="J176">
        <f t="shared" si="37"/>
        <v>1.8235294117647061</v>
      </c>
      <c r="K176" s="8" t="s">
        <v>9</v>
      </c>
      <c r="L176" s="2">
        <v>90</v>
      </c>
      <c r="M176" s="2">
        <f t="shared" si="36"/>
        <v>120.58823529411764</v>
      </c>
      <c r="N176" s="2">
        <f t="shared" si="35"/>
        <v>126.47058823529412</v>
      </c>
      <c r="O176" s="2">
        <f t="shared" si="35"/>
        <v>135.29411764705881</v>
      </c>
      <c r="P176" s="2">
        <f t="shared" si="35"/>
        <v>144.11764705882354</v>
      </c>
      <c r="Q176" s="2">
        <f t="shared" si="35"/>
        <v>145.58823529411765</v>
      </c>
      <c r="R176" s="2">
        <f t="shared" si="35"/>
        <v>153.67647058823528</v>
      </c>
      <c r="S176" s="9">
        <f t="shared" si="35"/>
        <v>182.35294117647061</v>
      </c>
    </row>
    <row r="177" spans="2:27" x14ac:dyDescent="0.25">
      <c r="B177" t="s">
        <v>2</v>
      </c>
      <c r="C177">
        <v>1</v>
      </c>
      <c r="D177">
        <f t="shared" ref="D177:E191" si="38">D79/$C79</f>
        <v>1.4842105263157894</v>
      </c>
      <c r="E177">
        <f t="shared" si="38"/>
        <v>1.5368421052631578</v>
      </c>
      <c r="F177">
        <f t="shared" ref="F177:J177" si="39">F79/$C79</f>
        <v>1.5999999999999999</v>
      </c>
      <c r="G177">
        <f t="shared" si="39"/>
        <v>1.7157894736842105</v>
      </c>
      <c r="H177">
        <f t="shared" si="39"/>
        <v>0</v>
      </c>
      <c r="I177">
        <f t="shared" si="39"/>
        <v>0</v>
      </c>
      <c r="J177">
        <f t="shared" si="39"/>
        <v>0</v>
      </c>
      <c r="K177" s="8" t="s">
        <v>2</v>
      </c>
      <c r="L177" s="2">
        <v>1</v>
      </c>
      <c r="M177" s="2">
        <f>D177*100</f>
        <v>148.42105263157893</v>
      </c>
      <c r="N177" s="2">
        <f t="shared" ref="N177:N191" si="40">E177*100</f>
        <v>153.68421052631578</v>
      </c>
      <c r="O177" s="2">
        <f t="shared" ref="O177:O191" si="41">F177*100</f>
        <v>160</v>
      </c>
      <c r="P177" s="2">
        <f t="shared" ref="P177:P191" si="42">G177*100</f>
        <v>171.57894736842104</v>
      </c>
      <c r="Q177" s="2">
        <f t="shared" ref="Q177:Q191" si="43">H177*100</f>
        <v>0</v>
      </c>
      <c r="R177" s="2">
        <f t="shared" ref="R177:R191" si="44">I177*100</f>
        <v>0</v>
      </c>
      <c r="S177" s="9">
        <f t="shared" ref="S177:S191" si="45">J177*100</f>
        <v>0</v>
      </c>
    </row>
    <row r="178" spans="2:27" x14ac:dyDescent="0.25">
      <c r="B178" t="s">
        <v>2</v>
      </c>
      <c r="C178">
        <v>2</v>
      </c>
      <c r="D178">
        <f t="shared" si="38"/>
        <v>1.6509433962264151</v>
      </c>
      <c r="E178">
        <f t="shared" si="38"/>
        <v>1.7075471698113209</v>
      </c>
      <c r="F178">
        <f t="shared" ref="F178:J178" si="46">F80/$C80</f>
        <v>1.6981132075471699</v>
      </c>
      <c r="G178">
        <f t="shared" si="46"/>
        <v>1.7452830188679247</v>
      </c>
      <c r="H178">
        <f t="shared" si="46"/>
        <v>0</v>
      </c>
      <c r="I178">
        <f t="shared" si="46"/>
        <v>0</v>
      </c>
      <c r="J178">
        <f t="shared" si="46"/>
        <v>0</v>
      </c>
      <c r="K178" s="8" t="s">
        <v>2</v>
      </c>
      <c r="L178" s="2">
        <v>2</v>
      </c>
      <c r="M178" s="2">
        <f t="shared" ref="M178:M191" si="47">D178*100</f>
        <v>165.09433962264151</v>
      </c>
      <c r="N178" s="2">
        <f t="shared" si="40"/>
        <v>170.75471698113211</v>
      </c>
      <c r="O178" s="2">
        <f t="shared" si="41"/>
        <v>169.81132075471697</v>
      </c>
      <c r="P178" s="2">
        <f t="shared" si="42"/>
        <v>174.52830188679246</v>
      </c>
      <c r="Q178" s="2">
        <f t="shared" si="43"/>
        <v>0</v>
      </c>
      <c r="R178" s="2">
        <f t="shared" si="44"/>
        <v>0</v>
      </c>
      <c r="S178" s="9">
        <f t="shared" si="45"/>
        <v>0</v>
      </c>
    </row>
    <row r="179" spans="2:27" x14ac:dyDescent="0.25">
      <c r="B179" t="s">
        <v>2</v>
      </c>
      <c r="C179">
        <v>3</v>
      </c>
      <c r="D179">
        <f t="shared" si="38"/>
        <v>1.3008849557522122</v>
      </c>
      <c r="E179">
        <f t="shared" si="38"/>
        <v>1.3362831858407078</v>
      </c>
      <c r="F179">
        <f t="shared" ref="F179:J179" si="48">F81/$C81</f>
        <v>1.3451327433628317</v>
      </c>
      <c r="G179">
        <f t="shared" si="48"/>
        <v>1.4513274336283184</v>
      </c>
      <c r="H179">
        <f t="shared" si="48"/>
        <v>0</v>
      </c>
      <c r="I179">
        <f t="shared" si="48"/>
        <v>0</v>
      </c>
      <c r="J179">
        <f t="shared" si="48"/>
        <v>0</v>
      </c>
      <c r="K179" s="8" t="s">
        <v>2</v>
      </c>
      <c r="L179" s="2">
        <v>3</v>
      </c>
      <c r="M179" s="2">
        <f t="shared" si="47"/>
        <v>130.08849557522123</v>
      </c>
      <c r="N179" s="2">
        <f t="shared" si="40"/>
        <v>133.62831858407077</v>
      </c>
      <c r="O179" s="2">
        <f t="shared" si="41"/>
        <v>134.51327433628316</v>
      </c>
      <c r="P179" s="2">
        <f t="shared" si="42"/>
        <v>145.13274336283183</v>
      </c>
      <c r="Q179" s="2">
        <f t="shared" si="43"/>
        <v>0</v>
      </c>
      <c r="R179" s="2">
        <f t="shared" si="44"/>
        <v>0</v>
      </c>
      <c r="S179" s="9">
        <f t="shared" si="45"/>
        <v>0</v>
      </c>
    </row>
    <row r="180" spans="2:27" x14ac:dyDescent="0.25">
      <c r="B180" t="s">
        <v>2</v>
      </c>
      <c r="C180">
        <v>4</v>
      </c>
      <c r="D180">
        <f t="shared" si="38"/>
        <v>1.4380952380952381</v>
      </c>
      <c r="E180">
        <f t="shared" si="38"/>
        <v>1.4190476190476191</v>
      </c>
      <c r="F180">
        <f t="shared" ref="F180:J180" si="49">F82/$C82</f>
        <v>1.4952380952380953</v>
      </c>
      <c r="G180">
        <f t="shared" si="49"/>
        <v>1.6190476190476191</v>
      </c>
      <c r="H180">
        <f t="shared" si="49"/>
        <v>0</v>
      </c>
      <c r="I180">
        <f t="shared" si="49"/>
        <v>0</v>
      </c>
      <c r="J180">
        <f t="shared" si="49"/>
        <v>0</v>
      </c>
      <c r="K180" s="8" t="s">
        <v>2</v>
      </c>
      <c r="L180" s="2">
        <v>4</v>
      </c>
      <c r="M180" s="2">
        <f t="shared" si="47"/>
        <v>143.8095238095238</v>
      </c>
      <c r="N180" s="2">
        <f t="shared" si="40"/>
        <v>141.9047619047619</v>
      </c>
      <c r="O180" s="2">
        <f t="shared" si="41"/>
        <v>149.52380952380952</v>
      </c>
      <c r="P180" s="2">
        <f t="shared" si="42"/>
        <v>161.9047619047619</v>
      </c>
      <c r="Q180" s="2">
        <f t="shared" si="43"/>
        <v>0</v>
      </c>
      <c r="R180" s="2">
        <f t="shared" si="44"/>
        <v>0</v>
      </c>
      <c r="S180" s="9">
        <f t="shared" si="45"/>
        <v>0</v>
      </c>
    </row>
    <row r="181" spans="2:27" x14ac:dyDescent="0.25">
      <c r="B181" t="s">
        <v>2</v>
      </c>
      <c r="C181">
        <v>5</v>
      </c>
      <c r="D181" t="e">
        <f t="shared" si="38"/>
        <v>#DIV/0!</v>
      </c>
      <c r="E181" t="e">
        <f t="shared" si="38"/>
        <v>#DIV/0!</v>
      </c>
      <c r="F181" t="e">
        <f t="shared" ref="F181:J181" si="50">F83/$C83</f>
        <v>#DIV/0!</v>
      </c>
      <c r="G181" t="e">
        <f t="shared" si="50"/>
        <v>#DIV/0!</v>
      </c>
      <c r="H181" t="e">
        <f t="shared" si="50"/>
        <v>#DIV/0!</v>
      </c>
      <c r="I181" t="e">
        <f t="shared" si="50"/>
        <v>#DIV/0!</v>
      </c>
      <c r="J181" t="e">
        <f t="shared" si="50"/>
        <v>#DIV/0!</v>
      </c>
      <c r="K181" s="8" t="s">
        <v>2</v>
      </c>
      <c r="L181" s="2">
        <v>5</v>
      </c>
      <c r="M181" s="2" t="e">
        <f t="shared" si="47"/>
        <v>#DIV/0!</v>
      </c>
      <c r="N181" s="2" t="e">
        <f t="shared" si="40"/>
        <v>#DIV/0!</v>
      </c>
      <c r="O181" s="2" t="e">
        <f t="shared" si="41"/>
        <v>#DIV/0!</v>
      </c>
      <c r="P181" s="2" t="e">
        <f t="shared" si="42"/>
        <v>#DIV/0!</v>
      </c>
      <c r="Q181" s="2" t="e">
        <f t="shared" si="43"/>
        <v>#DIV/0!</v>
      </c>
      <c r="R181" s="2" t="e">
        <f t="shared" si="44"/>
        <v>#DIV/0!</v>
      </c>
      <c r="S181" s="9" t="e">
        <f t="shared" si="45"/>
        <v>#DIV/0!</v>
      </c>
      <c r="V181" s="4"/>
      <c r="W181" s="4"/>
      <c r="X181" s="4"/>
      <c r="Y181" s="4"/>
      <c r="Z181" s="4"/>
      <c r="AA181" s="4"/>
    </row>
    <row r="182" spans="2:27" x14ac:dyDescent="0.25">
      <c r="B182" t="s">
        <v>2</v>
      </c>
      <c r="C182">
        <v>6</v>
      </c>
      <c r="D182">
        <f t="shared" si="38"/>
        <v>1.075</v>
      </c>
      <c r="E182">
        <f t="shared" si="38"/>
        <v>1.16875</v>
      </c>
      <c r="F182">
        <f t="shared" ref="F182:J182" si="51">F84/$C84</f>
        <v>1.1187499999999999</v>
      </c>
      <c r="G182">
        <f t="shared" si="51"/>
        <v>1.125</v>
      </c>
      <c r="H182">
        <f t="shared" si="51"/>
        <v>0</v>
      </c>
      <c r="I182">
        <f t="shared" si="51"/>
        <v>0</v>
      </c>
      <c r="J182">
        <f t="shared" si="51"/>
        <v>0</v>
      </c>
      <c r="K182" s="8" t="s">
        <v>2</v>
      </c>
      <c r="L182" s="2">
        <v>6</v>
      </c>
      <c r="M182" s="2">
        <f t="shared" si="47"/>
        <v>107.5</v>
      </c>
      <c r="N182" s="2">
        <f t="shared" si="40"/>
        <v>116.875</v>
      </c>
      <c r="O182" s="2">
        <f t="shared" si="41"/>
        <v>111.87499999999999</v>
      </c>
      <c r="P182" s="2">
        <f t="shared" si="42"/>
        <v>112.5</v>
      </c>
      <c r="Q182" s="2">
        <f t="shared" si="43"/>
        <v>0</v>
      </c>
      <c r="R182" s="2">
        <f t="shared" si="44"/>
        <v>0</v>
      </c>
      <c r="S182" s="9">
        <f t="shared" si="45"/>
        <v>0</v>
      </c>
      <c r="V182" s="4"/>
      <c r="W182" s="4"/>
      <c r="X182" s="4"/>
      <c r="Y182" s="4"/>
      <c r="Z182" s="4"/>
      <c r="AA182" s="4"/>
    </row>
    <row r="183" spans="2:27" x14ac:dyDescent="0.25">
      <c r="B183" t="s">
        <v>2</v>
      </c>
      <c r="C183">
        <v>7</v>
      </c>
      <c r="D183">
        <f t="shared" si="38"/>
        <v>1.1290322580645162</v>
      </c>
      <c r="E183">
        <f t="shared" si="38"/>
        <v>1.167741935483871</v>
      </c>
      <c r="F183">
        <f t="shared" ref="F183:J183" si="52">F85/$C85</f>
        <v>1.2322580645161292</v>
      </c>
      <c r="G183">
        <f t="shared" si="52"/>
        <v>1.3290322580645162</v>
      </c>
      <c r="H183">
        <f t="shared" si="52"/>
        <v>0</v>
      </c>
      <c r="I183">
        <f t="shared" si="52"/>
        <v>0</v>
      </c>
      <c r="J183">
        <f t="shared" si="52"/>
        <v>0</v>
      </c>
      <c r="K183" s="8" t="s">
        <v>2</v>
      </c>
      <c r="L183" s="2">
        <v>7</v>
      </c>
      <c r="M183" s="2">
        <f t="shared" si="47"/>
        <v>112.90322580645163</v>
      </c>
      <c r="N183" s="2">
        <f t="shared" si="40"/>
        <v>116.77419354838709</v>
      </c>
      <c r="O183" s="2">
        <f t="shared" si="41"/>
        <v>123.22580645161293</v>
      </c>
      <c r="P183" s="2">
        <f t="shared" si="42"/>
        <v>132.90322580645162</v>
      </c>
      <c r="Q183" s="2">
        <f t="shared" si="43"/>
        <v>0</v>
      </c>
      <c r="R183" s="2">
        <f t="shared" si="44"/>
        <v>0</v>
      </c>
      <c r="S183" s="9">
        <f t="shared" si="45"/>
        <v>0</v>
      </c>
      <c r="V183" s="4"/>
      <c r="W183" s="4"/>
      <c r="X183" s="4"/>
      <c r="Y183" s="4"/>
      <c r="Z183" s="4"/>
      <c r="AA183" s="4"/>
    </row>
    <row r="184" spans="2:27" x14ac:dyDescent="0.25">
      <c r="B184" t="s">
        <v>2</v>
      </c>
      <c r="C184">
        <v>8</v>
      </c>
      <c r="D184">
        <f t="shared" si="38"/>
        <v>1.1448275862068966</v>
      </c>
      <c r="E184">
        <f t="shared" si="38"/>
        <v>1.1793103448275863</v>
      </c>
      <c r="F184">
        <f t="shared" ref="F184:J184" si="53">F86/$C86</f>
        <v>1.2137931034482761</v>
      </c>
      <c r="G184">
        <f t="shared" si="53"/>
        <v>1.3034482758620689</v>
      </c>
      <c r="H184">
        <f t="shared" si="53"/>
        <v>0</v>
      </c>
      <c r="I184">
        <f t="shared" si="53"/>
        <v>0</v>
      </c>
      <c r="J184">
        <f t="shared" si="53"/>
        <v>0</v>
      </c>
      <c r="K184" s="8" t="s">
        <v>2</v>
      </c>
      <c r="L184" s="2">
        <v>8</v>
      </c>
      <c r="M184" s="2">
        <f t="shared" si="47"/>
        <v>114.48275862068967</v>
      </c>
      <c r="N184" s="2">
        <f t="shared" si="40"/>
        <v>117.93103448275863</v>
      </c>
      <c r="O184" s="2">
        <f t="shared" si="41"/>
        <v>121.3793103448276</v>
      </c>
      <c r="P184" s="2">
        <f t="shared" si="42"/>
        <v>130.34482758620689</v>
      </c>
      <c r="Q184" s="2">
        <f t="shared" si="43"/>
        <v>0</v>
      </c>
      <c r="R184" s="2">
        <f t="shared" si="44"/>
        <v>0</v>
      </c>
      <c r="S184" s="9">
        <f t="shared" si="45"/>
        <v>0</v>
      </c>
      <c r="V184" s="4"/>
      <c r="W184" s="4"/>
      <c r="X184" s="4"/>
      <c r="Y184" s="4"/>
      <c r="Z184" s="4"/>
      <c r="AA184" s="4"/>
    </row>
    <row r="185" spans="2:27" x14ac:dyDescent="0.25">
      <c r="B185" t="s">
        <v>2</v>
      </c>
      <c r="C185">
        <v>9</v>
      </c>
      <c r="D185">
        <f t="shared" ref="D185:J185" si="54">D87/$C87</f>
        <v>1.143939393939394</v>
      </c>
      <c r="E185">
        <f t="shared" si="54"/>
        <v>1.1818181818181819</v>
      </c>
      <c r="F185">
        <f t="shared" si="54"/>
        <v>1.2121212121212122</v>
      </c>
      <c r="G185">
        <f t="shared" si="54"/>
        <v>1.2803030303030303</v>
      </c>
      <c r="H185">
        <f t="shared" si="54"/>
        <v>0</v>
      </c>
      <c r="I185">
        <f t="shared" si="54"/>
        <v>0</v>
      </c>
      <c r="J185">
        <f t="shared" si="54"/>
        <v>0</v>
      </c>
      <c r="K185" s="8" t="s">
        <v>2</v>
      </c>
      <c r="L185" s="2">
        <v>9</v>
      </c>
      <c r="M185" s="2">
        <f t="shared" si="47"/>
        <v>114.39393939393941</v>
      </c>
      <c r="N185" s="2">
        <f t="shared" si="40"/>
        <v>118.18181818181819</v>
      </c>
      <c r="O185" s="2">
        <f t="shared" si="41"/>
        <v>121.21212121212122</v>
      </c>
      <c r="P185" s="2">
        <f t="shared" si="42"/>
        <v>128.03030303030303</v>
      </c>
      <c r="Q185" s="2">
        <f t="shared" si="43"/>
        <v>0</v>
      </c>
      <c r="R185" s="2">
        <f t="shared" si="44"/>
        <v>0</v>
      </c>
      <c r="S185" s="9">
        <f t="shared" si="45"/>
        <v>0</v>
      </c>
      <c r="V185" s="4"/>
      <c r="W185" s="4"/>
      <c r="X185" s="4"/>
      <c r="Y185" s="4"/>
      <c r="Z185" s="4"/>
      <c r="AA185" s="4"/>
    </row>
    <row r="186" spans="2:27" x14ac:dyDescent="0.25">
      <c r="B186" t="s">
        <v>2</v>
      </c>
      <c r="C186">
        <v>10</v>
      </c>
      <c r="D186">
        <f t="shared" si="38"/>
        <v>1.083969465648855</v>
      </c>
      <c r="E186">
        <f t="shared" si="38"/>
        <v>1.1068702290076335</v>
      </c>
      <c r="F186">
        <f t="shared" ref="F186:J186" si="55">F88/$C88</f>
        <v>1.1374045801526718</v>
      </c>
      <c r="G186">
        <f t="shared" si="55"/>
        <v>1.2290076335877864</v>
      </c>
      <c r="H186">
        <f t="shared" si="55"/>
        <v>0</v>
      </c>
      <c r="I186">
        <f t="shared" si="55"/>
        <v>0</v>
      </c>
      <c r="J186">
        <f t="shared" si="55"/>
        <v>0</v>
      </c>
      <c r="K186" s="8" t="s">
        <v>2</v>
      </c>
      <c r="L186" s="2">
        <v>10</v>
      </c>
      <c r="M186" s="2">
        <f t="shared" si="47"/>
        <v>108.3969465648855</v>
      </c>
      <c r="N186" s="2">
        <f t="shared" si="40"/>
        <v>110.68702290076335</v>
      </c>
      <c r="O186" s="2">
        <f t="shared" si="41"/>
        <v>113.74045801526718</v>
      </c>
      <c r="P186" s="2">
        <f t="shared" si="42"/>
        <v>122.90076335877865</v>
      </c>
      <c r="Q186" s="2">
        <f t="shared" si="43"/>
        <v>0</v>
      </c>
      <c r="R186" s="2">
        <f t="shared" si="44"/>
        <v>0</v>
      </c>
      <c r="S186" s="9">
        <f t="shared" si="45"/>
        <v>0</v>
      </c>
      <c r="V186" s="4"/>
      <c r="W186" s="4"/>
      <c r="X186" s="4"/>
      <c r="Y186" s="4"/>
      <c r="Z186" s="4"/>
      <c r="AA186" s="4"/>
    </row>
    <row r="187" spans="2:27" x14ac:dyDescent="0.25">
      <c r="B187" t="s">
        <v>2</v>
      </c>
      <c r="C187">
        <v>11</v>
      </c>
      <c r="D187">
        <f t="shared" si="38"/>
        <v>1.1569767441860466</v>
      </c>
      <c r="E187">
        <f t="shared" si="38"/>
        <v>1.1976744186046513</v>
      </c>
      <c r="F187">
        <f t="shared" ref="F187:J187" si="56">F89/$C89</f>
        <v>1.2209302325581395</v>
      </c>
      <c r="G187">
        <f t="shared" si="56"/>
        <v>1.25</v>
      </c>
      <c r="H187">
        <f t="shared" si="56"/>
        <v>0</v>
      </c>
      <c r="I187">
        <f t="shared" si="56"/>
        <v>0</v>
      </c>
      <c r="J187">
        <f t="shared" si="56"/>
        <v>0</v>
      </c>
      <c r="K187" s="8" t="s">
        <v>2</v>
      </c>
      <c r="L187" s="2">
        <v>11</v>
      </c>
      <c r="M187" s="2">
        <f t="shared" si="47"/>
        <v>115.69767441860466</v>
      </c>
      <c r="N187" s="2">
        <f t="shared" si="40"/>
        <v>119.76744186046513</v>
      </c>
      <c r="O187" s="2">
        <f t="shared" si="41"/>
        <v>122.09302325581395</v>
      </c>
      <c r="P187" s="2">
        <f t="shared" si="42"/>
        <v>125</v>
      </c>
      <c r="Q187" s="2">
        <f t="shared" si="43"/>
        <v>0</v>
      </c>
      <c r="R187" s="2">
        <f t="shared" si="44"/>
        <v>0</v>
      </c>
      <c r="S187" s="9">
        <f t="shared" si="45"/>
        <v>0</v>
      </c>
      <c r="V187" s="4"/>
      <c r="W187" s="4"/>
      <c r="X187" s="4"/>
      <c r="Y187" s="4"/>
      <c r="Z187" s="4"/>
      <c r="AA187" s="4"/>
    </row>
    <row r="188" spans="2:27" x14ac:dyDescent="0.25">
      <c r="B188" t="s">
        <v>2</v>
      </c>
      <c r="C188">
        <v>12</v>
      </c>
      <c r="D188">
        <f t="shared" si="38"/>
        <v>1.1294964028776977</v>
      </c>
      <c r="E188">
        <f t="shared" si="38"/>
        <v>1.1726618705035972</v>
      </c>
      <c r="F188">
        <f t="shared" ref="F188:J188" si="57">F90/$C90</f>
        <v>1.1870503597122302</v>
      </c>
      <c r="G188">
        <f t="shared" si="57"/>
        <v>1.2446043165467626</v>
      </c>
      <c r="H188">
        <f t="shared" si="57"/>
        <v>0</v>
      </c>
      <c r="I188">
        <f t="shared" si="57"/>
        <v>0</v>
      </c>
      <c r="J188">
        <f t="shared" si="57"/>
        <v>0</v>
      </c>
      <c r="K188" s="8" t="s">
        <v>2</v>
      </c>
      <c r="L188" s="2">
        <v>12</v>
      </c>
      <c r="M188" s="2">
        <f t="shared" si="47"/>
        <v>112.94964028776977</v>
      </c>
      <c r="N188" s="2">
        <f t="shared" si="40"/>
        <v>117.26618705035972</v>
      </c>
      <c r="O188" s="2">
        <f t="shared" si="41"/>
        <v>118.70503597122301</v>
      </c>
      <c r="P188" s="2">
        <f t="shared" si="42"/>
        <v>124.46043165467626</v>
      </c>
      <c r="Q188" s="2">
        <f t="shared" si="43"/>
        <v>0</v>
      </c>
      <c r="R188" s="2">
        <f t="shared" si="44"/>
        <v>0</v>
      </c>
      <c r="S188" s="9">
        <f t="shared" si="45"/>
        <v>0</v>
      </c>
      <c r="V188" s="4"/>
      <c r="W188" s="4"/>
      <c r="X188" s="4"/>
      <c r="Y188" s="4"/>
      <c r="Z188" s="4"/>
      <c r="AA188" s="4"/>
    </row>
    <row r="189" spans="2:27" x14ac:dyDescent="0.25">
      <c r="B189" t="s">
        <v>2</v>
      </c>
      <c r="C189">
        <v>13</v>
      </c>
      <c r="D189">
        <f t="shared" si="38"/>
        <v>1.1153846153846154</v>
      </c>
      <c r="E189">
        <f t="shared" si="38"/>
        <v>1.1373626373626373</v>
      </c>
      <c r="F189">
        <f t="shared" ref="F189:J189" si="58">F91/$C91</f>
        <v>1.1648351648351649</v>
      </c>
      <c r="G189">
        <f t="shared" si="58"/>
        <v>1.2142857142857144</v>
      </c>
      <c r="H189">
        <f t="shared" si="58"/>
        <v>0</v>
      </c>
      <c r="I189">
        <f t="shared" si="58"/>
        <v>0</v>
      </c>
      <c r="J189">
        <f t="shared" si="58"/>
        <v>0</v>
      </c>
      <c r="K189" s="8" t="s">
        <v>2</v>
      </c>
      <c r="L189" s="2">
        <v>13</v>
      </c>
      <c r="M189" s="2">
        <f t="shared" si="47"/>
        <v>111.53846153846155</v>
      </c>
      <c r="N189" s="2">
        <f t="shared" si="40"/>
        <v>113.73626373626374</v>
      </c>
      <c r="O189" s="2">
        <f t="shared" si="41"/>
        <v>116.4835164835165</v>
      </c>
      <c r="P189" s="2">
        <f t="shared" si="42"/>
        <v>121.42857142857144</v>
      </c>
      <c r="Q189" s="2">
        <f t="shared" si="43"/>
        <v>0</v>
      </c>
      <c r="R189" s="2">
        <f t="shared" si="44"/>
        <v>0</v>
      </c>
      <c r="S189" s="9">
        <f t="shared" si="45"/>
        <v>0</v>
      </c>
    </row>
    <row r="190" spans="2:27" x14ac:dyDescent="0.25">
      <c r="B190" t="s">
        <v>2</v>
      </c>
      <c r="C190">
        <v>14</v>
      </c>
      <c r="D190">
        <f t="shared" si="38"/>
        <v>1.1554404145077719</v>
      </c>
      <c r="E190">
        <f t="shared" si="38"/>
        <v>1.1658031088082901</v>
      </c>
      <c r="F190">
        <f t="shared" ref="F190:J190" si="59">F92/$C92</f>
        <v>1.1917098445595855</v>
      </c>
      <c r="G190">
        <f t="shared" si="59"/>
        <v>1.1968911917098446</v>
      </c>
      <c r="H190">
        <f t="shared" si="59"/>
        <v>0</v>
      </c>
      <c r="I190">
        <f t="shared" si="59"/>
        <v>0</v>
      </c>
      <c r="J190">
        <f t="shared" si="59"/>
        <v>0</v>
      </c>
      <c r="K190" s="8" t="s">
        <v>2</v>
      </c>
      <c r="L190" s="2">
        <v>14</v>
      </c>
      <c r="M190" s="2">
        <f t="shared" si="47"/>
        <v>115.54404145077719</v>
      </c>
      <c r="N190" s="2">
        <f t="shared" si="40"/>
        <v>116.580310880829</v>
      </c>
      <c r="O190" s="2">
        <f t="shared" si="41"/>
        <v>119.17098445595855</v>
      </c>
      <c r="P190" s="2">
        <f t="shared" si="42"/>
        <v>119.68911917098445</v>
      </c>
      <c r="Q190" s="2">
        <f t="shared" si="43"/>
        <v>0</v>
      </c>
      <c r="R190" s="2">
        <f t="shared" si="44"/>
        <v>0</v>
      </c>
      <c r="S190" s="9">
        <f t="shared" si="45"/>
        <v>0</v>
      </c>
    </row>
    <row r="191" spans="2:27" ht="15.75" thickBot="1" x14ac:dyDescent="0.3">
      <c r="B191" t="s">
        <v>2</v>
      </c>
      <c r="C191">
        <v>15</v>
      </c>
      <c r="D191">
        <f t="shared" si="38"/>
        <v>1.0466666666666666</v>
      </c>
      <c r="E191">
        <f t="shared" si="38"/>
        <v>1.0799999999999998</v>
      </c>
      <c r="F191">
        <f t="shared" ref="F191:J191" si="60">F93/$C93</f>
        <v>1.1000000000000001</v>
      </c>
      <c r="G191">
        <f t="shared" si="60"/>
        <v>1.1533333333333333</v>
      </c>
      <c r="H191">
        <f t="shared" si="60"/>
        <v>0</v>
      </c>
      <c r="I191">
        <f t="shared" si="60"/>
        <v>0</v>
      </c>
      <c r="J191">
        <f t="shared" si="60"/>
        <v>0</v>
      </c>
      <c r="K191" s="10" t="s">
        <v>2</v>
      </c>
      <c r="L191" s="11">
        <v>15</v>
      </c>
      <c r="M191" s="11">
        <f t="shared" si="47"/>
        <v>104.66666666666666</v>
      </c>
      <c r="N191" s="11">
        <f t="shared" si="40"/>
        <v>107.99999999999999</v>
      </c>
      <c r="O191" s="11">
        <f t="shared" si="41"/>
        <v>110.00000000000001</v>
      </c>
      <c r="P191" s="11">
        <f t="shared" si="42"/>
        <v>115.33333333333333</v>
      </c>
      <c r="Q191" s="11">
        <f t="shared" si="43"/>
        <v>0</v>
      </c>
      <c r="R191" s="11">
        <f t="shared" si="44"/>
        <v>0</v>
      </c>
      <c r="S191" s="12">
        <f t="shared" si="4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5931-239D-7048-8120-9ECCFF17A3CB}">
  <dimension ref="A1:AA97"/>
  <sheetViews>
    <sheetView workbookViewId="0">
      <selection activeCell="AB26" sqref="AB26"/>
    </sheetView>
  </sheetViews>
  <sheetFormatPr defaultColWidth="8.85546875" defaultRowHeight="15" x14ac:dyDescent="0.25"/>
  <cols>
    <col min="21" max="21" width="17.5703125" bestFit="1" customWidth="1"/>
    <col min="26" max="27" width="8.85546875" style="2"/>
  </cols>
  <sheetData>
    <row r="1" spans="1:27" x14ac:dyDescent="0.25">
      <c r="A1" t="s">
        <v>13</v>
      </c>
    </row>
    <row r="3" spans="1:27" x14ac:dyDescent="0.25">
      <c r="A3" t="s">
        <v>14</v>
      </c>
      <c r="P3" t="s">
        <v>15</v>
      </c>
      <c r="Q3" t="s">
        <v>1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Z3" s="2" t="s">
        <v>1</v>
      </c>
      <c r="AA3" s="2" t="s">
        <v>19</v>
      </c>
    </row>
    <row r="4" spans="1:27" x14ac:dyDescent="0.25">
      <c r="A4" t="s">
        <v>22</v>
      </c>
      <c r="B4" t="s">
        <v>22</v>
      </c>
      <c r="C4">
        <v>1</v>
      </c>
      <c r="D4">
        <v>1</v>
      </c>
      <c r="E4">
        <v>10</v>
      </c>
      <c r="F4">
        <v>10</v>
      </c>
      <c r="G4">
        <v>18</v>
      </c>
      <c r="H4">
        <v>18</v>
      </c>
      <c r="I4">
        <v>26</v>
      </c>
      <c r="J4">
        <v>26</v>
      </c>
      <c r="K4">
        <v>34</v>
      </c>
      <c r="L4">
        <v>34</v>
      </c>
      <c r="M4" t="s">
        <v>23</v>
      </c>
      <c r="Q4">
        <v>0</v>
      </c>
      <c r="R4">
        <v>7.8E-2</v>
      </c>
      <c r="S4">
        <v>7.5999999999999998E-2</v>
      </c>
      <c r="T4">
        <f t="shared" ref="T4:T67" si="0">AVERAGE(R4:S4)</f>
        <v>7.6999999999999999E-2</v>
      </c>
      <c r="U4">
        <f t="shared" ref="U4:U67" si="1">(T4-0.182)/0.0012</f>
        <v>-87.5</v>
      </c>
      <c r="Z4" s="2">
        <v>1</v>
      </c>
      <c r="AA4" s="2">
        <v>377.50000000000006</v>
      </c>
    </row>
    <row r="5" spans="1:27" x14ac:dyDescent="0.25">
      <c r="A5">
        <v>125</v>
      </c>
      <c r="B5">
        <v>125</v>
      </c>
      <c r="C5">
        <v>2</v>
      </c>
      <c r="D5">
        <v>2</v>
      </c>
      <c r="E5">
        <v>11</v>
      </c>
      <c r="F5">
        <v>11</v>
      </c>
      <c r="G5">
        <v>19</v>
      </c>
      <c r="H5">
        <v>19</v>
      </c>
      <c r="I5">
        <v>27</v>
      </c>
      <c r="J5">
        <v>27</v>
      </c>
      <c r="K5">
        <v>35</v>
      </c>
      <c r="L5">
        <v>35</v>
      </c>
      <c r="M5" t="s">
        <v>24</v>
      </c>
      <c r="Q5">
        <v>125</v>
      </c>
      <c r="R5">
        <v>0.29499999999999998</v>
      </c>
      <c r="S5">
        <v>0.28899999999999998</v>
      </c>
      <c r="T5">
        <f t="shared" si="0"/>
        <v>0.29199999999999998</v>
      </c>
      <c r="U5">
        <f t="shared" si="1"/>
        <v>91.666666666666657</v>
      </c>
      <c r="Z5" s="2">
        <v>2</v>
      </c>
      <c r="AA5" s="2">
        <v>222.50000000000003</v>
      </c>
    </row>
    <row r="6" spans="1:27" x14ac:dyDescent="0.25">
      <c r="A6">
        <v>250</v>
      </c>
      <c r="B6">
        <v>250</v>
      </c>
      <c r="C6">
        <v>3</v>
      </c>
      <c r="D6">
        <v>3</v>
      </c>
      <c r="E6">
        <v>12</v>
      </c>
      <c r="F6">
        <v>12</v>
      </c>
      <c r="G6">
        <v>20</v>
      </c>
      <c r="H6">
        <v>20</v>
      </c>
      <c r="I6">
        <v>28</v>
      </c>
      <c r="J6">
        <v>28</v>
      </c>
      <c r="K6">
        <v>36</v>
      </c>
      <c r="L6">
        <v>36</v>
      </c>
      <c r="M6" t="s">
        <v>25</v>
      </c>
      <c r="Q6">
        <v>250</v>
      </c>
      <c r="R6">
        <v>0.49399999999999999</v>
      </c>
      <c r="S6">
        <v>0.48399999999999999</v>
      </c>
      <c r="T6">
        <f t="shared" si="0"/>
        <v>0.48899999999999999</v>
      </c>
      <c r="U6">
        <f t="shared" si="1"/>
        <v>255.83333333333334</v>
      </c>
      <c r="Z6" s="2">
        <v>3</v>
      </c>
      <c r="AA6" s="2">
        <v>163.75000000000003</v>
      </c>
    </row>
    <row r="7" spans="1:27" x14ac:dyDescent="0.25">
      <c r="A7">
        <v>500</v>
      </c>
      <c r="B7">
        <v>500</v>
      </c>
      <c r="C7">
        <v>4</v>
      </c>
      <c r="D7">
        <v>4</v>
      </c>
      <c r="E7">
        <v>13</v>
      </c>
      <c r="F7">
        <v>13</v>
      </c>
      <c r="G7">
        <v>21</v>
      </c>
      <c r="H7">
        <v>21</v>
      </c>
      <c r="I7">
        <v>29</v>
      </c>
      <c r="J7">
        <v>29</v>
      </c>
      <c r="K7">
        <v>37</v>
      </c>
      <c r="L7">
        <v>37</v>
      </c>
      <c r="M7" t="s">
        <v>26</v>
      </c>
      <c r="Q7">
        <v>500</v>
      </c>
      <c r="R7">
        <v>0.84799999999999998</v>
      </c>
      <c r="S7">
        <v>0.81699999999999995</v>
      </c>
      <c r="T7">
        <f t="shared" si="0"/>
        <v>0.83250000000000002</v>
      </c>
      <c r="U7">
        <f t="shared" si="1"/>
        <v>542.08333333333348</v>
      </c>
      <c r="Z7" s="2">
        <v>4</v>
      </c>
      <c r="AA7" s="2">
        <v>137.91666666666666</v>
      </c>
    </row>
    <row r="8" spans="1:27" x14ac:dyDescent="0.25">
      <c r="A8">
        <v>750</v>
      </c>
      <c r="B8">
        <v>750</v>
      </c>
      <c r="C8">
        <v>6</v>
      </c>
      <c r="D8">
        <v>6</v>
      </c>
      <c r="E8">
        <v>14</v>
      </c>
      <c r="F8">
        <v>14</v>
      </c>
      <c r="G8">
        <v>22</v>
      </c>
      <c r="H8">
        <v>22</v>
      </c>
      <c r="I8">
        <v>30</v>
      </c>
      <c r="J8">
        <v>30</v>
      </c>
      <c r="K8">
        <v>38</v>
      </c>
      <c r="L8">
        <v>38</v>
      </c>
      <c r="M8" t="s">
        <v>27</v>
      </c>
      <c r="Q8">
        <v>750</v>
      </c>
      <c r="R8">
        <v>1.145</v>
      </c>
      <c r="S8">
        <v>1.1299999999999999</v>
      </c>
      <c r="T8">
        <f t="shared" si="0"/>
        <v>1.1375</v>
      </c>
      <c r="U8">
        <f t="shared" si="1"/>
        <v>796.25000000000011</v>
      </c>
      <c r="Z8" s="2">
        <v>6</v>
      </c>
      <c r="AA8" s="2">
        <v>186.25000000000006</v>
      </c>
    </row>
    <row r="9" spans="1:27" x14ac:dyDescent="0.25">
      <c r="A9">
        <v>1000</v>
      </c>
      <c r="B9">
        <v>1000</v>
      </c>
      <c r="C9">
        <v>7</v>
      </c>
      <c r="D9">
        <v>7</v>
      </c>
      <c r="E9">
        <v>15</v>
      </c>
      <c r="F9">
        <v>15</v>
      </c>
      <c r="G9">
        <v>23</v>
      </c>
      <c r="H9">
        <v>23</v>
      </c>
      <c r="I9">
        <v>31</v>
      </c>
      <c r="J9">
        <v>31</v>
      </c>
      <c r="K9">
        <v>39</v>
      </c>
      <c r="L9">
        <v>39</v>
      </c>
      <c r="M9" t="s">
        <v>28</v>
      </c>
      <c r="Q9">
        <v>1000</v>
      </c>
      <c r="R9">
        <v>1.4470000000000001</v>
      </c>
      <c r="S9">
        <v>1.385</v>
      </c>
      <c r="T9">
        <f t="shared" si="0"/>
        <v>1.4159999999999999</v>
      </c>
      <c r="U9">
        <f t="shared" si="1"/>
        <v>1028.3333333333335</v>
      </c>
      <c r="Z9" s="2">
        <v>7</v>
      </c>
      <c r="AA9" s="2">
        <v>175.00000000000003</v>
      </c>
    </row>
    <row r="10" spans="1:27" x14ac:dyDescent="0.25">
      <c r="A10">
        <v>1500</v>
      </c>
      <c r="B10">
        <v>1500</v>
      </c>
      <c r="C10">
        <v>8</v>
      </c>
      <c r="D10">
        <v>8</v>
      </c>
      <c r="E10">
        <v>16</v>
      </c>
      <c r="F10">
        <v>16</v>
      </c>
      <c r="G10">
        <v>24</v>
      </c>
      <c r="H10">
        <v>24</v>
      </c>
      <c r="I10">
        <v>32</v>
      </c>
      <c r="J10">
        <v>32</v>
      </c>
      <c r="K10">
        <v>40</v>
      </c>
      <c r="L10">
        <v>40</v>
      </c>
      <c r="M10" t="s">
        <v>29</v>
      </c>
      <c r="Q10">
        <v>1500</v>
      </c>
      <c r="R10">
        <v>1.8580000000000001</v>
      </c>
      <c r="S10">
        <v>1.8859999999999999</v>
      </c>
      <c r="T10">
        <f t="shared" si="0"/>
        <v>1.8719999999999999</v>
      </c>
      <c r="U10">
        <f t="shared" si="1"/>
        <v>1408.3333333333335</v>
      </c>
      <c r="Z10" s="2">
        <v>8</v>
      </c>
      <c r="AA10" s="2">
        <v>122.50000000000003</v>
      </c>
    </row>
    <row r="11" spans="1:27" x14ac:dyDescent="0.25">
      <c r="A11">
        <v>2000</v>
      </c>
      <c r="B11">
        <v>2000</v>
      </c>
      <c r="C11">
        <v>9</v>
      </c>
      <c r="D11">
        <v>9</v>
      </c>
      <c r="E11">
        <v>17</v>
      </c>
      <c r="F11">
        <v>17</v>
      </c>
      <c r="G11">
        <v>25</v>
      </c>
      <c r="H11">
        <v>25</v>
      </c>
      <c r="I11">
        <v>33</v>
      </c>
      <c r="J11">
        <v>33</v>
      </c>
      <c r="M11" t="s">
        <v>30</v>
      </c>
      <c r="Q11">
        <v>2000</v>
      </c>
      <c r="R11">
        <v>2.4350000000000001</v>
      </c>
      <c r="S11">
        <v>2.5019999999999998</v>
      </c>
      <c r="T11">
        <f t="shared" si="0"/>
        <v>2.4684999999999997</v>
      </c>
      <c r="U11">
        <f t="shared" si="1"/>
        <v>1905.4166666666667</v>
      </c>
      <c r="Z11" s="2">
        <v>9</v>
      </c>
      <c r="AA11" s="2">
        <v>177.50000000000003</v>
      </c>
    </row>
    <row r="12" spans="1:27" x14ac:dyDescent="0.25">
      <c r="P12">
        <v>0</v>
      </c>
      <c r="Q12">
        <v>1</v>
      </c>
      <c r="R12">
        <v>0.65300000000000002</v>
      </c>
      <c r="S12">
        <v>0.61699999999999999</v>
      </c>
      <c r="T12">
        <f t="shared" si="0"/>
        <v>0.63500000000000001</v>
      </c>
      <c r="U12">
        <f t="shared" si="1"/>
        <v>377.50000000000006</v>
      </c>
      <c r="Z12" s="2">
        <v>10</v>
      </c>
      <c r="AA12" s="2">
        <v>350</v>
      </c>
    </row>
    <row r="13" spans="1:27" x14ac:dyDescent="0.25">
      <c r="A13" t="s">
        <v>31</v>
      </c>
      <c r="P13">
        <v>0</v>
      </c>
      <c r="Q13">
        <v>2</v>
      </c>
      <c r="R13">
        <v>0.44700000000000001</v>
      </c>
      <c r="S13">
        <v>0.45100000000000001</v>
      </c>
      <c r="T13">
        <f t="shared" si="0"/>
        <v>0.44900000000000001</v>
      </c>
      <c r="U13">
        <f t="shared" si="1"/>
        <v>222.50000000000003</v>
      </c>
      <c r="Z13" s="2">
        <v>11</v>
      </c>
      <c r="AA13" s="2">
        <v>100.41666666666667</v>
      </c>
    </row>
    <row r="14" spans="1:27" x14ac:dyDescent="0.25">
      <c r="A14">
        <v>41</v>
      </c>
      <c r="B14">
        <v>41</v>
      </c>
      <c r="C14">
        <v>50</v>
      </c>
      <c r="D14">
        <v>50</v>
      </c>
      <c r="E14">
        <v>58</v>
      </c>
      <c r="F14">
        <v>58</v>
      </c>
      <c r="G14">
        <v>67</v>
      </c>
      <c r="H14">
        <v>67</v>
      </c>
      <c r="I14">
        <v>75</v>
      </c>
      <c r="J14">
        <v>75</v>
      </c>
      <c r="K14">
        <v>84</v>
      </c>
      <c r="L14">
        <v>84</v>
      </c>
      <c r="M14" t="s">
        <v>23</v>
      </c>
      <c r="P14">
        <v>0</v>
      </c>
      <c r="Q14">
        <v>3</v>
      </c>
      <c r="R14">
        <v>0.377</v>
      </c>
      <c r="S14">
        <v>0.38</v>
      </c>
      <c r="T14">
        <f t="shared" si="0"/>
        <v>0.3785</v>
      </c>
      <c r="U14">
        <f t="shared" si="1"/>
        <v>163.75000000000003</v>
      </c>
      <c r="Z14" s="2">
        <v>12</v>
      </c>
      <c r="AA14" s="2">
        <v>334.58333333333331</v>
      </c>
    </row>
    <row r="15" spans="1:27" x14ac:dyDescent="0.25">
      <c r="A15">
        <v>42</v>
      </c>
      <c r="B15">
        <v>42</v>
      </c>
      <c r="C15">
        <v>51</v>
      </c>
      <c r="D15">
        <v>51</v>
      </c>
      <c r="E15">
        <v>59</v>
      </c>
      <c r="F15">
        <v>59</v>
      </c>
      <c r="G15">
        <v>68</v>
      </c>
      <c r="H15">
        <v>68</v>
      </c>
      <c r="I15">
        <v>76</v>
      </c>
      <c r="J15">
        <v>76</v>
      </c>
      <c r="K15">
        <v>85</v>
      </c>
      <c r="L15">
        <v>85</v>
      </c>
      <c r="M15" t="s">
        <v>24</v>
      </c>
      <c r="P15">
        <v>0</v>
      </c>
      <c r="Q15">
        <v>4</v>
      </c>
      <c r="R15">
        <v>0.35</v>
      </c>
      <c r="S15">
        <v>0.34499999999999997</v>
      </c>
      <c r="T15">
        <f t="shared" si="0"/>
        <v>0.34749999999999998</v>
      </c>
      <c r="U15">
        <f t="shared" si="1"/>
        <v>137.91666666666666</v>
      </c>
      <c r="Z15" s="2">
        <v>13</v>
      </c>
      <c r="AA15" s="2">
        <v>124.58333333333336</v>
      </c>
    </row>
    <row r="16" spans="1:27" x14ac:dyDescent="0.25">
      <c r="A16">
        <v>43</v>
      </c>
      <c r="B16">
        <v>43</v>
      </c>
      <c r="C16">
        <v>52</v>
      </c>
      <c r="D16">
        <v>52</v>
      </c>
      <c r="E16">
        <v>60</v>
      </c>
      <c r="F16">
        <v>60</v>
      </c>
      <c r="G16">
        <v>69</v>
      </c>
      <c r="H16">
        <v>69</v>
      </c>
      <c r="I16">
        <v>77</v>
      </c>
      <c r="J16">
        <v>77</v>
      </c>
      <c r="K16">
        <v>86</v>
      </c>
      <c r="L16">
        <v>86</v>
      </c>
      <c r="M16" t="s">
        <v>25</v>
      </c>
      <c r="P16">
        <v>0</v>
      </c>
      <c r="Q16">
        <v>6</v>
      </c>
      <c r="R16">
        <v>0.40600000000000003</v>
      </c>
      <c r="S16">
        <v>0.40500000000000003</v>
      </c>
      <c r="T16">
        <f t="shared" si="0"/>
        <v>0.40550000000000003</v>
      </c>
      <c r="U16">
        <f t="shared" si="1"/>
        <v>186.25000000000006</v>
      </c>
      <c r="Z16" s="2">
        <v>14</v>
      </c>
      <c r="AA16" s="2">
        <v>114.16666666666669</v>
      </c>
    </row>
    <row r="17" spans="1:27" x14ac:dyDescent="0.25">
      <c r="A17">
        <v>45</v>
      </c>
      <c r="B17">
        <v>45</v>
      </c>
      <c r="C17">
        <v>53</v>
      </c>
      <c r="D17">
        <v>53</v>
      </c>
      <c r="E17">
        <v>61</v>
      </c>
      <c r="F17">
        <v>61</v>
      </c>
      <c r="G17">
        <v>70</v>
      </c>
      <c r="H17">
        <v>70</v>
      </c>
      <c r="I17">
        <v>79</v>
      </c>
      <c r="J17">
        <v>79</v>
      </c>
      <c r="K17">
        <v>87</v>
      </c>
      <c r="L17">
        <v>87</v>
      </c>
      <c r="M17" t="s">
        <v>26</v>
      </c>
      <c r="P17">
        <v>0</v>
      </c>
      <c r="Q17">
        <v>7</v>
      </c>
      <c r="R17">
        <v>0.39300000000000002</v>
      </c>
      <c r="S17">
        <v>0.39100000000000001</v>
      </c>
      <c r="T17">
        <f t="shared" si="0"/>
        <v>0.39200000000000002</v>
      </c>
      <c r="U17">
        <f t="shared" si="1"/>
        <v>175.00000000000003</v>
      </c>
      <c r="Z17" s="2">
        <v>15</v>
      </c>
      <c r="AA17" s="2">
        <v>270.83333333333337</v>
      </c>
    </row>
    <row r="18" spans="1:27" x14ac:dyDescent="0.25">
      <c r="A18">
        <v>46</v>
      </c>
      <c r="B18">
        <v>46</v>
      </c>
      <c r="C18">
        <v>54</v>
      </c>
      <c r="D18">
        <v>54</v>
      </c>
      <c r="E18">
        <v>62</v>
      </c>
      <c r="F18">
        <v>62</v>
      </c>
      <c r="G18">
        <v>71</v>
      </c>
      <c r="H18">
        <v>71</v>
      </c>
      <c r="I18">
        <v>80</v>
      </c>
      <c r="J18">
        <v>80</v>
      </c>
      <c r="K18">
        <v>88</v>
      </c>
      <c r="L18">
        <v>88</v>
      </c>
      <c r="M18" t="s">
        <v>27</v>
      </c>
      <c r="P18">
        <v>0</v>
      </c>
      <c r="Q18">
        <v>8</v>
      </c>
      <c r="R18">
        <v>0.33900000000000002</v>
      </c>
      <c r="S18">
        <v>0.31900000000000001</v>
      </c>
      <c r="T18">
        <f t="shared" si="0"/>
        <v>0.32900000000000001</v>
      </c>
      <c r="U18">
        <f t="shared" si="1"/>
        <v>122.50000000000003</v>
      </c>
      <c r="Z18" s="2">
        <v>16</v>
      </c>
      <c r="AA18" s="2">
        <v>198.33333333333334</v>
      </c>
    </row>
    <row r="19" spans="1:27" x14ac:dyDescent="0.25">
      <c r="A19">
        <v>47</v>
      </c>
      <c r="B19">
        <v>47</v>
      </c>
      <c r="C19">
        <v>55</v>
      </c>
      <c r="D19">
        <v>55</v>
      </c>
      <c r="E19">
        <v>63</v>
      </c>
      <c r="F19">
        <v>63</v>
      </c>
      <c r="G19">
        <v>72</v>
      </c>
      <c r="H19">
        <v>72</v>
      </c>
      <c r="I19">
        <v>81</v>
      </c>
      <c r="J19">
        <v>81</v>
      </c>
      <c r="K19">
        <v>89</v>
      </c>
      <c r="L19">
        <v>89</v>
      </c>
      <c r="M19" t="s">
        <v>28</v>
      </c>
      <c r="P19">
        <v>0</v>
      </c>
      <c r="Q19">
        <v>9</v>
      </c>
      <c r="R19">
        <v>0.39700000000000002</v>
      </c>
      <c r="S19">
        <v>0.39300000000000002</v>
      </c>
      <c r="T19">
        <f t="shared" si="0"/>
        <v>0.39500000000000002</v>
      </c>
      <c r="U19">
        <f t="shared" si="1"/>
        <v>177.50000000000003</v>
      </c>
      <c r="Z19" s="2">
        <v>17</v>
      </c>
      <c r="AA19" s="2">
        <v>121.25000000000003</v>
      </c>
    </row>
    <row r="20" spans="1:27" x14ac:dyDescent="0.25">
      <c r="A20">
        <v>48</v>
      </c>
      <c r="B20">
        <v>48</v>
      </c>
      <c r="C20">
        <v>56</v>
      </c>
      <c r="D20">
        <v>56</v>
      </c>
      <c r="E20">
        <v>64</v>
      </c>
      <c r="F20">
        <v>64</v>
      </c>
      <c r="G20">
        <v>73</v>
      </c>
      <c r="H20">
        <v>73</v>
      </c>
      <c r="I20">
        <v>82</v>
      </c>
      <c r="J20">
        <v>82</v>
      </c>
      <c r="K20">
        <v>90</v>
      </c>
      <c r="L20">
        <v>90</v>
      </c>
      <c r="M20" t="s">
        <v>29</v>
      </c>
      <c r="P20">
        <v>0</v>
      </c>
      <c r="Q20">
        <v>10</v>
      </c>
      <c r="R20">
        <v>0.59699999999999998</v>
      </c>
      <c r="S20">
        <v>0.60699999999999998</v>
      </c>
      <c r="T20">
        <f t="shared" si="0"/>
        <v>0.60199999999999998</v>
      </c>
      <c r="U20">
        <f t="shared" si="1"/>
        <v>350</v>
      </c>
      <c r="Z20" s="2">
        <v>18</v>
      </c>
      <c r="AA20" s="2">
        <v>360.41666666666674</v>
      </c>
    </row>
    <row r="21" spans="1:27" x14ac:dyDescent="0.25">
      <c r="A21">
        <v>49</v>
      </c>
      <c r="B21">
        <v>49</v>
      </c>
      <c r="C21">
        <v>57</v>
      </c>
      <c r="D21">
        <v>57</v>
      </c>
      <c r="E21">
        <v>65</v>
      </c>
      <c r="F21">
        <v>65</v>
      </c>
      <c r="G21">
        <v>74</v>
      </c>
      <c r="H21">
        <v>74</v>
      </c>
      <c r="I21">
        <v>83</v>
      </c>
      <c r="J21">
        <v>83</v>
      </c>
      <c r="M21" t="s">
        <v>30</v>
      </c>
      <c r="P21">
        <v>0</v>
      </c>
      <c r="Q21">
        <v>11</v>
      </c>
      <c r="R21">
        <v>0.30499999999999999</v>
      </c>
      <c r="S21">
        <v>0.3</v>
      </c>
      <c r="T21">
        <f t="shared" si="0"/>
        <v>0.30249999999999999</v>
      </c>
      <c r="U21">
        <f t="shared" si="1"/>
        <v>100.41666666666667</v>
      </c>
      <c r="Z21" s="2">
        <v>19</v>
      </c>
      <c r="AA21" s="2">
        <v>371.25</v>
      </c>
    </row>
    <row r="22" spans="1:27" x14ac:dyDescent="0.25">
      <c r="P22">
        <v>0</v>
      </c>
      <c r="Q22">
        <v>12</v>
      </c>
      <c r="R22">
        <v>0.57599999999999996</v>
      </c>
      <c r="S22">
        <v>0.59099999999999997</v>
      </c>
      <c r="T22">
        <f t="shared" si="0"/>
        <v>0.58349999999999991</v>
      </c>
      <c r="U22">
        <f t="shared" si="1"/>
        <v>334.58333333333331</v>
      </c>
      <c r="Z22" s="2">
        <v>20</v>
      </c>
      <c r="AA22" s="2">
        <v>186.66666666666671</v>
      </c>
    </row>
    <row r="23" spans="1:27" x14ac:dyDescent="0.25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G23">
        <v>7</v>
      </c>
      <c r="H23">
        <v>8</v>
      </c>
      <c r="I23">
        <v>9</v>
      </c>
      <c r="J23">
        <v>10</v>
      </c>
      <c r="K23">
        <v>11</v>
      </c>
      <c r="L23">
        <v>12</v>
      </c>
      <c r="P23">
        <v>0</v>
      </c>
      <c r="Q23">
        <v>13</v>
      </c>
      <c r="R23">
        <v>0.34200000000000003</v>
      </c>
      <c r="S23">
        <v>0.32100000000000001</v>
      </c>
      <c r="T23">
        <f t="shared" si="0"/>
        <v>0.33150000000000002</v>
      </c>
      <c r="U23">
        <f t="shared" si="1"/>
        <v>124.58333333333336</v>
      </c>
      <c r="Z23" s="2">
        <v>21</v>
      </c>
      <c r="AA23" s="2">
        <v>177.08333333333337</v>
      </c>
    </row>
    <row r="24" spans="1:27" x14ac:dyDescent="0.25">
      <c r="P24">
        <v>0</v>
      </c>
      <c r="Q24">
        <v>14</v>
      </c>
      <c r="R24">
        <v>0.32200000000000001</v>
      </c>
      <c r="S24">
        <v>0.316</v>
      </c>
      <c r="T24">
        <f t="shared" si="0"/>
        <v>0.31900000000000001</v>
      </c>
      <c r="U24">
        <f t="shared" si="1"/>
        <v>114.16666666666669</v>
      </c>
      <c r="Z24" s="2">
        <v>22</v>
      </c>
      <c r="AA24" s="2">
        <v>216.66666666666669</v>
      </c>
    </row>
    <row r="25" spans="1:27" x14ac:dyDescent="0.25">
      <c r="P25">
        <v>0</v>
      </c>
      <c r="Q25">
        <v>15</v>
      </c>
      <c r="R25">
        <v>0.496</v>
      </c>
      <c r="S25">
        <v>0.51800000000000002</v>
      </c>
      <c r="T25">
        <f t="shared" si="0"/>
        <v>0.50700000000000001</v>
      </c>
      <c r="U25">
        <f t="shared" si="1"/>
        <v>270.83333333333337</v>
      </c>
      <c r="V25">
        <f>AVERAGE(U12:U25)</f>
        <v>204.10714285714289</v>
      </c>
      <c r="Z25" s="2">
        <v>23</v>
      </c>
      <c r="AA25" s="2">
        <v>319.16666666666663</v>
      </c>
    </row>
    <row r="26" spans="1:27" x14ac:dyDescent="0.25">
      <c r="P26">
        <v>3</v>
      </c>
      <c r="Q26">
        <v>16</v>
      </c>
      <c r="R26">
        <v>0.42499999999999999</v>
      </c>
      <c r="S26">
        <v>0.41499999999999998</v>
      </c>
      <c r="T26">
        <f t="shared" si="0"/>
        <v>0.42</v>
      </c>
      <c r="U26">
        <f t="shared" si="1"/>
        <v>198.33333333333334</v>
      </c>
      <c r="Z26" s="2">
        <v>24</v>
      </c>
      <c r="AA26" s="2">
        <v>344.16666666666669</v>
      </c>
    </row>
    <row r="27" spans="1:27" x14ac:dyDescent="0.25"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  <c r="M27">
        <v>12</v>
      </c>
      <c r="P27">
        <v>3</v>
      </c>
      <c r="Q27">
        <v>17</v>
      </c>
      <c r="R27">
        <v>0.32700000000000001</v>
      </c>
      <c r="S27">
        <v>0.32800000000000001</v>
      </c>
      <c r="T27">
        <f t="shared" si="0"/>
        <v>0.32750000000000001</v>
      </c>
      <c r="U27">
        <f t="shared" si="1"/>
        <v>121.25000000000003</v>
      </c>
      <c r="Z27" s="2">
        <v>25</v>
      </c>
      <c r="AA27" s="2">
        <v>343.33333333333337</v>
      </c>
    </row>
    <row r="28" spans="1:27" x14ac:dyDescent="0.25">
      <c r="A28" t="s">
        <v>32</v>
      </c>
      <c r="B28">
        <v>0.40200000000000002</v>
      </c>
      <c r="C28">
        <v>0.40400000000000003</v>
      </c>
      <c r="D28">
        <v>0.35399999999999998</v>
      </c>
      <c r="E28">
        <v>0.36</v>
      </c>
      <c r="F28">
        <v>0.374</v>
      </c>
      <c r="G28">
        <v>0.374</v>
      </c>
      <c r="H28">
        <v>0.48</v>
      </c>
      <c r="I28">
        <v>0.47599999999999998</v>
      </c>
      <c r="J28">
        <v>2.13</v>
      </c>
      <c r="K28">
        <v>2.0459999999999998</v>
      </c>
      <c r="L28">
        <v>0.54400000000000004</v>
      </c>
      <c r="M28">
        <v>0.55600000000000005</v>
      </c>
      <c r="P28">
        <v>3</v>
      </c>
      <c r="Q28">
        <v>18</v>
      </c>
      <c r="R28">
        <v>0.60799999999999998</v>
      </c>
      <c r="S28">
        <v>0.621</v>
      </c>
      <c r="T28">
        <f t="shared" si="0"/>
        <v>0.61450000000000005</v>
      </c>
      <c r="U28">
        <f t="shared" si="1"/>
        <v>360.41666666666674</v>
      </c>
      <c r="Z28" s="2">
        <v>26</v>
      </c>
      <c r="AA28" s="2">
        <v>240.83333333333334</v>
      </c>
    </row>
    <row r="29" spans="1:27" x14ac:dyDescent="0.25">
      <c r="A29" t="s">
        <v>33</v>
      </c>
      <c r="B29">
        <v>0.626</v>
      </c>
      <c r="C29">
        <v>0.625</v>
      </c>
      <c r="D29">
        <v>0.36799999999999999</v>
      </c>
      <c r="E29">
        <v>0.44600000000000001</v>
      </c>
      <c r="F29">
        <v>0.28899999999999998</v>
      </c>
      <c r="G29">
        <v>0.28999999999999998</v>
      </c>
      <c r="H29">
        <v>0.59899999999999998</v>
      </c>
      <c r="I29">
        <v>0.58499999999999996</v>
      </c>
      <c r="J29">
        <v>0.32600000000000001</v>
      </c>
      <c r="K29">
        <v>0.32900000000000001</v>
      </c>
      <c r="L29">
        <v>0.69199999999999995</v>
      </c>
      <c r="M29">
        <v>0.69199999999999995</v>
      </c>
      <c r="P29">
        <v>3</v>
      </c>
      <c r="Q29">
        <v>19</v>
      </c>
      <c r="R29">
        <v>0.623</v>
      </c>
      <c r="S29">
        <v>0.63200000000000001</v>
      </c>
      <c r="T29">
        <f t="shared" si="0"/>
        <v>0.62749999999999995</v>
      </c>
      <c r="U29">
        <f t="shared" si="1"/>
        <v>371.25</v>
      </c>
      <c r="Z29" s="2">
        <v>27</v>
      </c>
      <c r="AA29" s="2">
        <v>417.91666666666674</v>
      </c>
    </row>
    <row r="30" spans="1:27" x14ac:dyDescent="0.25">
      <c r="A30" t="s">
        <v>34</v>
      </c>
      <c r="B30">
        <v>0.57799999999999996</v>
      </c>
      <c r="C30">
        <v>0.57899999999999996</v>
      </c>
      <c r="D30">
        <v>0.41299999999999998</v>
      </c>
      <c r="E30">
        <v>0.442</v>
      </c>
      <c r="F30">
        <v>0.437</v>
      </c>
      <c r="G30">
        <v>0.46700000000000003</v>
      </c>
      <c r="H30">
        <v>0.63900000000000001</v>
      </c>
      <c r="I30">
        <v>0.64100000000000001</v>
      </c>
      <c r="J30">
        <v>0.32400000000000001</v>
      </c>
      <c r="K30">
        <v>0.30399999999999999</v>
      </c>
      <c r="L30">
        <v>0.45400000000000001</v>
      </c>
      <c r="M30">
        <v>0.47599999999999998</v>
      </c>
      <c r="P30">
        <v>3</v>
      </c>
      <c r="Q30">
        <v>20</v>
      </c>
      <c r="R30">
        <v>0.40200000000000002</v>
      </c>
      <c r="S30">
        <v>0.41</v>
      </c>
      <c r="T30">
        <f t="shared" si="0"/>
        <v>0.40600000000000003</v>
      </c>
      <c r="U30">
        <f t="shared" si="1"/>
        <v>186.66666666666671</v>
      </c>
      <c r="Z30" s="2">
        <v>28</v>
      </c>
      <c r="AA30" s="2">
        <v>206.66666666666669</v>
      </c>
    </row>
    <row r="31" spans="1:27" x14ac:dyDescent="0.25">
      <c r="A31" t="s">
        <v>35</v>
      </c>
      <c r="B31">
        <v>0.51400000000000001</v>
      </c>
      <c r="C31">
        <v>0.50900000000000001</v>
      </c>
      <c r="D31">
        <v>0.53700000000000003</v>
      </c>
      <c r="E31">
        <v>0.53400000000000003</v>
      </c>
      <c r="F31">
        <v>0.81799999999999995</v>
      </c>
      <c r="G31">
        <v>0.82299999999999995</v>
      </c>
      <c r="H31">
        <v>1.248</v>
      </c>
      <c r="I31">
        <v>1.2709999999999999</v>
      </c>
      <c r="J31">
        <v>0.34499999999999997</v>
      </c>
      <c r="K31">
        <v>0.34</v>
      </c>
      <c r="L31">
        <v>0.32300000000000001</v>
      </c>
      <c r="M31">
        <v>0.33100000000000002</v>
      </c>
      <c r="P31">
        <v>3</v>
      </c>
      <c r="Q31">
        <v>21</v>
      </c>
      <c r="R31">
        <v>0.38600000000000001</v>
      </c>
      <c r="S31">
        <v>0.40300000000000002</v>
      </c>
      <c r="T31">
        <f t="shared" si="0"/>
        <v>0.39450000000000002</v>
      </c>
      <c r="U31">
        <f t="shared" si="1"/>
        <v>177.08333333333337</v>
      </c>
      <c r="Z31" s="2">
        <v>29</v>
      </c>
      <c r="AA31" s="2">
        <v>732.91666666666686</v>
      </c>
    </row>
    <row r="32" spans="1:27" x14ac:dyDescent="0.25">
      <c r="A32" t="s">
        <v>36</v>
      </c>
      <c r="B32">
        <v>0.77800000000000002</v>
      </c>
      <c r="C32">
        <v>0.77200000000000002</v>
      </c>
      <c r="D32">
        <v>0.317</v>
      </c>
      <c r="E32">
        <v>0.33400000000000002</v>
      </c>
      <c r="F32">
        <v>1.2310000000000001</v>
      </c>
      <c r="G32">
        <v>1.238</v>
      </c>
      <c r="H32">
        <v>1.228</v>
      </c>
      <c r="I32">
        <v>1.234</v>
      </c>
      <c r="J32">
        <v>0.70099999999999996</v>
      </c>
      <c r="K32">
        <v>0.68300000000000005</v>
      </c>
      <c r="L32">
        <v>0.372</v>
      </c>
      <c r="M32">
        <v>0.372</v>
      </c>
      <c r="P32">
        <v>3</v>
      </c>
      <c r="Q32">
        <v>22</v>
      </c>
      <c r="R32">
        <v>0.434</v>
      </c>
      <c r="S32">
        <v>0.45</v>
      </c>
      <c r="T32">
        <f t="shared" si="0"/>
        <v>0.442</v>
      </c>
      <c r="U32">
        <f t="shared" si="1"/>
        <v>216.66666666666669</v>
      </c>
      <c r="Z32" s="2">
        <v>30</v>
      </c>
      <c r="AA32" s="2">
        <v>178.33333333333337</v>
      </c>
    </row>
    <row r="33" spans="1:27" x14ac:dyDescent="0.25">
      <c r="A33" t="s">
        <v>37</v>
      </c>
      <c r="B33">
        <v>0.4</v>
      </c>
      <c r="C33">
        <v>0.38700000000000001</v>
      </c>
      <c r="D33">
        <v>0.439</v>
      </c>
      <c r="E33">
        <v>0.42699999999999999</v>
      </c>
      <c r="F33">
        <v>2.665</v>
      </c>
      <c r="G33">
        <v>2.706</v>
      </c>
      <c r="H33">
        <v>0.47799999999999998</v>
      </c>
      <c r="I33">
        <v>0.502</v>
      </c>
      <c r="J33">
        <v>0.27900000000000003</v>
      </c>
      <c r="K33">
        <v>0.27800000000000002</v>
      </c>
      <c r="L33">
        <v>0.34</v>
      </c>
      <c r="M33">
        <v>0.35299999999999998</v>
      </c>
      <c r="P33">
        <v>3</v>
      </c>
      <c r="Q33">
        <v>23</v>
      </c>
      <c r="R33">
        <v>0.56000000000000005</v>
      </c>
      <c r="S33">
        <v>0.56999999999999995</v>
      </c>
      <c r="T33">
        <f t="shared" si="0"/>
        <v>0.56499999999999995</v>
      </c>
      <c r="U33">
        <f t="shared" si="1"/>
        <v>319.16666666666663</v>
      </c>
      <c r="Z33" s="2">
        <v>31</v>
      </c>
      <c r="AA33" s="2">
        <v>166.25000000000003</v>
      </c>
    </row>
    <row r="34" spans="1:27" x14ac:dyDescent="0.25">
      <c r="A34" t="s">
        <v>38</v>
      </c>
      <c r="B34">
        <v>0.31900000000000001</v>
      </c>
      <c r="C34">
        <v>0.31900000000000001</v>
      </c>
      <c r="D34">
        <v>0.55100000000000005</v>
      </c>
      <c r="E34">
        <v>0.55500000000000005</v>
      </c>
      <c r="F34">
        <v>2.2810000000000001</v>
      </c>
      <c r="G34">
        <v>2.2719999999999998</v>
      </c>
      <c r="H34">
        <v>0.32900000000000001</v>
      </c>
      <c r="I34">
        <v>0.32700000000000001</v>
      </c>
      <c r="J34">
        <v>0.27300000000000002</v>
      </c>
      <c r="K34">
        <v>0.27300000000000002</v>
      </c>
      <c r="L34">
        <v>0.47899999999999998</v>
      </c>
      <c r="M34">
        <v>0.45200000000000001</v>
      </c>
      <c r="P34">
        <v>3</v>
      </c>
      <c r="Q34">
        <v>24</v>
      </c>
      <c r="R34">
        <v>0.59199999999999997</v>
      </c>
      <c r="S34">
        <v>0.59799999999999998</v>
      </c>
      <c r="T34">
        <f t="shared" si="0"/>
        <v>0.59499999999999997</v>
      </c>
      <c r="U34">
        <f t="shared" si="1"/>
        <v>344.16666666666669</v>
      </c>
      <c r="Z34" s="2">
        <v>32</v>
      </c>
      <c r="AA34" s="2">
        <v>76.250000000000028</v>
      </c>
    </row>
    <row r="35" spans="1:27" x14ac:dyDescent="0.25">
      <c r="A35" t="s">
        <v>39</v>
      </c>
      <c r="B35">
        <v>0.48699999999999999</v>
      </c>
      <c r="C35">
        <v>0.49199999999999999</v>
      </c>
      <c r="D35">
        <v>0.745</v>
      </c>
      <c r="E35">
        <v>0.73899999999999999</v>
      </c>
      <c r="F35">
        <v>0.33</v>
      </c>
      <c r="G35">
        <v>0.32400000000000001</v>
      </c>
      <c r="H35">
        <v>2.2919999999999998</v>
      </c>
      <c r="I35">
        <v>2.3690000000000002</v>
      </c>
      <c r="J35">
        <v>0.53900000000000003</v>
      </c>
      <c r="K35">
        <v>0.53200000000000003</v>
      </c>
      <c r="L35">
        <v>3.7999999999999999E-2</v>
      </c>
      <c r="M35">
        <v>4.5999999999999999E-2</v>
      </c>
      <c r="P35">
        <v>3</v>
      </c>
      <c r="Q35">
        <v>25</v>
      </c>
      <c r="R35">
        <v>0.58899999999999997</v>
      </c>
      <c r="S35">
        <v>0.59899999999999998</v>
      </c>
      <c r="T35">
        <f t="shared" si="0"/>
        <v>0.59399999999999997</v>
      </c>
      <c r="U35">
        <f t="shared" si="1"/>
        <v>343.33333333333337</v>
      </c>
      <c r="Z35" s="2">
        <v>33</v>
      </c>
      <c r="AA35" s="2">
        <v>189.58333333333334</v>
      </c>
    </row>
    <row r="36" spans="1:27" x14ac:dyDescent="0.25">
      <c r="B36" t="s">
        <v>40</v>
      </c>
      <c r="P36">
        <v>3</v>
      </c>
      <c r="Q36">
        <v>26</v>
      </c>
      <c r="R36">
        <v>0.46500000000000002</v>
      </c>
      <c r="S36">
        <v>0.47699999999999998</v>
      </c>
      <c r="T36">
        <f t="shared" si="0"/>
        <v>0.47099999999999997</v>
      </c>
      <c r="U36">
        <f t="shared" si="1"/>
        <v>240.83333333333334</v>
      </c>
      <c r="Z36" s="2">
        <v>34</v>
      </c>
      <c r="AA36" s="2">
        <v>599.16666666666674</v>
      </c>
    </row>
    <row r="37" spans="1:27" x14ac:dyDescent="0.25">
      <c r="P37">
        <v>3</v>
      </c>
      <c r="Q37">
        <v>27</v>
      </c>
      <c r="R37">
        <v>0.69199999999999995</v>
      </c>
      <c r="S37">
        <v>0.67500000000000004</v>
      </c>
      <c r="T37">
        <f t="shared" si="0"/>
        <v>0.6835</v>
      </c>
      <c r="U37">
        <f t="shared" si="1"/>
        <v>417.91666666666674</v>
      </c>
      <c r="Z37" s="2">
        <v>35</v>
      </c>
      <c r="AA37" s="2">
        <v>486.6666666666668</v>
      </c>
    </row>
    <row r="38" spans="1:27" x14ac:dyDescent="0.25">
      <c r="P38">
        <v>3</v>
      </c>
      <c r="Q38">
        <v>28</v>
      </c>
      <c r="R38">
        <v>0.42499999999999999</v>
      </c>
      <c r="S38">
        <v>0.435</v>
      </c>
      <c r="T38">
        <f t="shared" si="0"/>
        <v>0.43</v>
      </c>
      <c r="U38">
        <f t="shared" si="1"/>
        <v>206.66666666666669</v>
      </c>
      <c r="Z38" s="2">
        <v>36</v>
      </c>
      <c r="AA38" s="2">
        <v>392.50000000000006</v>
      </c>
    </row>
    <row r="39" spans="1:27" x14ac:dyDescent="0.25">
      <c r="P39">
        <v>3</v>
      </c>
      <c r="Q39">
        <v>29</v>
      </c>
      <c r="R39">
        <v>1.0780000000000001</v>
      </c>
      <c r="S39">
        <v>1.0449999999999999</v>
      </c>
      <c r="T39">
        <f t="shared" si="0"/>
        <v>1.0615000000000001</v>
      </c>
      <c r="U39">
        <f t="shared" si="1"/>
        <v>732.91666666666686</v>
      </c>
      <c r="Z39" s="2">
        <v>37</v>
      </c>
      <c r="AA39" s="2">
        <v>390.83333333333337</v>
      </c>
    </row>
    <row r="40" spans="1:27" x14ac:dyDescent="0.25">
      <c r="P40">
        <v>3</v>
      </c>
      <c r="Q40">
        <v>30</v>
      </c>
      <c r="R40">
        <v>0.39700000000000002</v>
      </c>
      <c r="S40">
        <v>0.39500000000000002</v>
      </c>
      <c r="T40">
        <f t="shared" si="0"/>
        <v>0.39600000000000002</v>
      </c>
      <c r="U40">
        <f t="shared" si="1"/>
        <v>178.33333333333337</v>
      </c>
      <c r="V40">
        <f>AVERAGE(U26:U40)</f>
        <v>294.33333333333331</v>
      </c>
      <c r="W40">
        <f>TTEST(U26:U40,U12:U25,2,2)</f>
        <v>6.520809137433492E-2</v>
      </c>
      <c r="Z40" s="2">
        <v>38</v>
      </c>
      <c r="AA40" s="2">
        <v>259.58333333333337</v>
      </c>
    </row>
    <row r="41" spans="1:27" x14ac:dyDescent="0.25">
      <c r="P41">
        <v>4</v>
      </c>
      <c r="Q41">
        <v>31</v>
      </c>
      <c r="R41">
        <v>0.38100000000000001</v>
      </c>
      <c r="S41">
        <v>0.38200000000000001</v>
      </c>
      <c r="T41">
        <f t="shared" si="0"/>
        <v>0.38150000000000001</v>
      </c>
      <c r="U41">
        <f t="shared" si="1"/>
        <v>166.25000000000003</v>
      </c>
      <c r="Z41" s="2">
        <v>39</v>
      </c>
      <c r="AA41" s="2">
        <v>227.91666666666671</v>
      </c>
    </row>
    <row r="42" spans="1:27" x14ac:dyDescent="0.25">
      <c r="P42">
        <v>4</v>
      </c>
      <c r="Q42">
        <v>32</v>
      </c>
      <c r="R42">
        <v>0.27200000000000002</v>
      </c>
      <c r="S42">
        <v>0.27500000000000002</v>
      </c>
      <c r="T42">
        <f t="shared" si="0"/>
        <v>0.27350000000000002</v>
      </c>
      <c r="U42">
        <f t="shared" si="1"/>
        <v>76.250000000000028</v>
      </c>
      <c r="Z42" s="2">
        <v>40</v>
      </c>
      <c r="AA42" s="2">
        <v>364.16666666666669</v>
      </c>
    </row>
    <row r="43" spans="1:27" x14ac:dyDescent="0.25">
      <c r="P43">
        <v>4</v>
      </c>
      <c r="Q43">
        <v>33</v>
      </c>
      <c r="R43">
        <v>0.42</v>
      </c>
      <c r="S43">
        <v>0.39900000000000002</v>
      </c>
      <c r="T43">
        <f t="shared" si="0"/>
        <v>0.40949999999999998</v>
      </c>
      <c r="U43">
        <f t="shared" si="1"/>
        <v>189.58333333333334</v>
      </c>
      <c r="Z43" s="2">
        <v>41</v>
      </c>
      <c r="AA43" s="2">
        <v>184.16666666666671</v>
      </c>
    </row>
    <row r="44" spans="1:27" x14ac:dyDescent="0.25">
      <c r="P44">
        <v>4</v>
      </c>
      <c r="Q44">
        <v>34</v>
      </c>
      <c r="R44">
        <v>0.89400000000000002</v>
      </c>
      <c r="S44">
        <v>0.90800000000000003</v>
      </c>
      <c r="T44">
        <f t="shared" si="0"/>
        <v>0.90100000000000002</v>
      </c>
      <c r="U44">
        <f t="shared" si="1"/>
        <v>599.16666666666674</v>
      </c>
      <c r="Z44" s="2">
        <v>42</v>
      </c>
      <c r="AA44" s="2">
        <v>369.58333333333331</v>
      </c>
    </row>
    <row r="45" spans="1:27" x14ac:dyDescent="0.25">
      <c r="P45">
        <v>4</v>
      </c>
      <c r="Q45">
        <v>35</v>
      </c>
      <c r="R45">
        <v>0.755</v>
      </c>
      <c r="S45">
        <v>0.77700000000000002</v>
      </c>
      <c r="T45">
        <f t="shared" si="0"/>
        <v>0.76600000000000001</v>
      </c>
      <c r="U45">
        <f t="shared" si="1"/>
        <v>486.6666666666668</v>
      </c>
      <c r="Z45" s="2">
        <v>43</v>
      </c>
      <c r="AA45" s="2">
        <v>330.41666666666669</v>
      </c>
    </row>
    <row r="46" spans="1:27" x14ac:dyDescent="0.25">
      <c r="P46">
        <v>4</v>
      </c>
      <c r="Q46">
        <v>36</v>
      </c>
      <c r="R46">
        <v>0.63500000000000001</v>
      </c>
      <c r="S46">
        <v>0.67100000000000004</v>
      </c>
      <c r="T46">
        <f t="shared" si="0"/>
        <v>0.65300000000000002</v>
      </c>
      <c r="U46">
        <f t="shared" si="1"/>
        <v>392.50000000000006</v>
      </c>
      <c r="Z46" s="2">
        <v>45</v>
      </c>
      <c r="AA46" s="2">
        <v>274.58333333333343</v>
      </c>
    </row>
    <row r="47" spans="1:27" x14ac:dyDescent="0.25">
      <c r="P47">
        <v>4</v>
      </c>
      <c r="Q47">
        <v>37</v>
      </c>
      <c r="R47">
        <v>0.65</v>
      </c>
      <c r="S47">
        <v>0.65200000000000002</v>
      </c>
      <c r="T47">
        <f t="shared" si="0"/>
        <v>0.65100000000000002</v>
      </c>
      <c r="U47">
        <f t="shared" si="1"/>
        <v>390.83333333333337</v>
      </c>
      <c r="Z47" s="2">
        <v>46</v>
      </c>
      <c r="AA47" s="2">
        <v>494.16666666666669</v>
      </c>
    </row>
    <row r="48" spans="1:27" x14ac:dyDescent="0.25"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P48">
        <v>4</v>
      </c>
      <c r="Q48">
        <v>38</v>
      </c>
      <c r="R48">
        <v>0.495</v>
      </c>
      <c r="S48">
        <v>0.49199999999999999</v>
      </c>
      <c r="T48">
        <f t="shared" si="0"/>
        <v>0.49349999999999999</v>
      </c>
      <c r="U48">
        <f t="shared" si="1"/>
        <v>259.58333333333337</v>
      </c>
      <c r="Z48" s="2">
        <v>47</v>
      </c>
      <c r="AA48" s="2">
        <v>176.25000000000003</v>
      </c>
    </row>
    <row r="49" spans="1:27" x14ac:dyDescent="0.25">
      <c r="A49" t="s">
        <v>32</v>
      </c>
      <c r="B49">
        <v>7.8E-2</v>
      </c>
      <c r="C49">
        <v>7.5999999999999998E-2</v>
      </c>
      <c r="D49">
        <v>0.65300000000000002</v>
      </c>
      <c r="E49">
        <v>0.61699999999999999</v>
      </c>
      <c r="F49">
        <v>0.59699999999999998</v>
      </c>
      <c r="G49">
        <v>0.60699999999999998</v>
      </c>
      <c r="H49">
        <v>0.60799999999999998</v>
      </c>
      <c r="I49">
        <v>0.621</v>
      </c>
      <c r="J49">
        <v>0.46500000000000002</v>
      </c>
      <c r="K49">
        <v>0.47699999999999998</v>
      </c>
      <c r="L49">
        <v>0.89400000000000002</v>
      </c>
      <c r="M49">
        <v>0.90800000000000003</v>
      </c>
      <c r="P49">
        <v>4</v>
      </c>
      <c r="Q49">
        <v>39</v>
      </c>
      <c r="R49">
        <v>0.45100000000000001</v>
      </c>
      <c r="S49">
        <v>0.46</v>
      </c>
      <c r="T49">
        <f t="shared" si="0"/>
        <v>0.45550000000000002</v>
      </c>
      <c r="U49">
        <f t="shared" si="1"/>
        <v>227.91666666666671</v>
      </c>
      <c r="Z49" s="2">
        <v>48</v>
      </c>
      <c r="AA49" s="2">
        <v>114.16666666666669</v>
      </c>
    </row>
    <row r="50" spans="1:27" x14ac:dyDescent="0.25">
      <c r="A50" t="s">
        <v>33</v>
      </c>
      <c r="B50">
        <v>0.29499999999999998</v>
      </c>
      <c r="C50">
        <v>0.28899999999999998</v>
      </c>
      <c r="D50">
        <v>0.44700000000000001</v>
      </c>
      <c r="E50">
        <v>0.45100000000000001</v>
      </c>
      <c r="F50">
        <v>0.30499999999999999</v>
      </c>
      <c r="G50">
        <v>0.3</v>
      </c>
      <c r="H50">
        <v>0.623</v>
      </c>
      <c r="I50">
        <v>0.63200000000000001</v>
      </c>
      <c r="J50">
        <v>0.69199999999999995</v>
      </c>
      <c r="K50">
        <v>0.67500000000000004</v>
      </c>
      <c r="L50">
        <v>0.755</v>
      </c>
      <c r="M50">
        <v>0.77700000000000002</v>
      </c>
      <c r="P50">
        <v>4</v>
      </c>
      <c r="Q50">
        <v>40</v>
      </c>
      <c r="R50">
        <v>0.61799999999999999</v>
      </c>
      <c r="S50">
        <v>0.62</v>
      </c>
      <c r="T50">
        <f t="shared" si="0"/>
        <v>0.61899999999999999</v>
      </c>
      <c r="U50">
        <f t="shared" si="1"/>
        <v>364.16666666666669</v>
      </c>
      <c r="Z50" s="2">
        <v>49</v>
      </c>
      <c r="AA50" s="2">
        <v>256.25</v>
      </c>
    </row>
    <row r="51" spans="1:27" x14ac:dyDescent="0.25">
      <c r="A51" t="s">
        <v>34</v>
      </c>
      <c r="B51">
        <v>0.49399999999999999</v>
      </c>
      <c r="C51">
        <v>0.48399999999999999</v>
      </c>
      <c r="D51">
        <v>0.377</v>
      </c>
      <c r="E51">
        <v>0.38</v>
      </c>
      <c r="F51">
        <v>0.57599999999999996</v>
      </c>
      <c r="G51">
        <v>0.59099999999999997</v>
      </c>
      <c r="H51">
        <v>0.40200000000000002</v>
      </c>
      <c r="I51">
        <v>0.41</v>
      </c>
      <c r="J51">
        <v>0.42499999999999999</v>
      </c>
      <c r="K51">
        <v>0.435</v>
      </c>
      <c r="L51">
        <v>0.63500000000000001</v>
      </c>
      <c r="M51">
        <v>0.67100000000000004</v>
      </c>
      <c r="P51">
        <v>4</v>
      </c>
      <c r="Q51">
        <v>41</v>
      </c>
      <c r="R51">
        <v>0.40200000000000002</v>
      </c>
      <c r="S51">
        <v>0.40400000000000003</v>
      </c>
      <c r="T51">
        <f t="shared" si="0"/>
        <v>0.40300000000000002</v>
      </c>
      <c r="U51">
        <f t="shared" si="1"/>
        <v>184.16666666666671</v>
      </c>
      <c r="Z51" s="2">
        <v>50</v>
      </c>
      <c r="AA51" s="2">
        <v>145.83333333333334</v>
      </c>
    </row>
    <row r="52" spans="1:27" x14ac:dyDescent="0.25">
      <c r="A52" t="s">
        <v>35</v>
      </c>
      <c r="B52">
        <v>0.84799999999999998</v>
      </c>
      <c r="C52">
        <v>0.81699999999999995</v>
      </c>
      <c r="D52">
        <v>0.35</v>
      </c>
      <c r="E52">
        <v>0.34499999999999997</v>
      </c>
      <c r="F52">
        <v>0.34200000000000003</v>
      </c>
      <c r="G52">
        <v>0.32100000000000001</v>
      </c>
      <c r="H52">
        <v>0.38600000000000001</v>
      </c>
      <c r="I52">
        <v>0.40300000000000002</v>
      </c>
      <c r="J52">
        <v>1.0780000000000001</v>
      </c>
      <c r="K52">
        <v>1.0449999999999999</v>
      </c>
      <c r="L52">
        <v>0.65</v>
      </c>
      <c r="M52">
        <v>0.65200000000000002</v>
      </c>
      <c r="P52">
        <v>4</v>
      </c>
      <c r="Q52">
        <v>42</v>
      </c>
      <c r="R52">
        <v>0.626</v>
      </c>
      <c r="S52">
        <v>0.625</v>
      </c>
      <c r="T52">
        <f t="shared" si="0"/>
        <v>0.62549999999999994</v>
      </c>
      <c r="U52">
        <f t="shared" si="1"/>
        <v>369.58333333333331</v>
      </c>
      <c r="Z52" s="2">
        <v>51</v>
      </c>
      <c r="AA52" s="2">
        <v>187.50000000000006</v>
      </c>
    </row>
    <row r="53" spans="1:27" x14ac:dyDescent="0.25">
      <c r="A53" t="s">
        <v>36</v>
      </c>
      <c r="B53">
        <v>1.145</v>
      </c>
      <c r="C53">
        <v>1.1299999999999999</v>
      </c>
      <c r="D53">
        <v>0.40600000000000003</v>
      </c>
      <c r="E53">
        <v>0.40500000000000003</v>
      </c>
      <c r="F53">
        <v>0.32200000000000001</v>
      </c>
      <c r="G53">
        <v>0.316</v>
      </c>
      <c r="H53">
        <v>0.434</v>
      </c>
      <c r="I53">
        <v>0.45</v>
      </c>
      <c r="J53">
        <v>0.39700000000000002</v>
      </c>
      <c r="K53">
        <v>0.39500000000000002</v>
      </c>
      <c r="L53">
        <v>0.495</v>
      </c>
      <c r="M53">
        <v>0.49199999999999999</v>
      </c>
      <c r="P53">
        <v>4</v>
      </c>
      <c r="Q53">
        <v>43</v>
      </c>
      <c r="R53">
        <v>0.57799999999999996</v>
      </c>
      <c r="S53">
        <v>0.57899999999999996</v>
      </c>
      <c r="T53">
        <f t="shared" si="0"/>
        <v>0.57850000000000001</v>
      </c>
      <c r="U53">
        <f t="shared" si="1"/>
        <v>330.41666666666669</v>
      </c>
      <c r="Z53" s="2">
        <v>52</v>
      </c>
      <c r="AA53" s="2">
        <v>204.58333333333334</v>
      </c>
    </row>
    <row r="54" spans="1:27" x14ac:dyDescent="0.25">
      <c r="A54" t="s">
        <v>37</v>
      </c>
      <c r="B54">
        <v>1.4470000000000001</v>
      </c>
      <c r="C54">
        <v>1.385</v>
      </c>
      <c r="D54">
        <v>0.39300000000000002</v>
      </c>
      <c r="E54">
        <v>0.39100000000000001</v>
      </c>
      <c r="F54">
        <v>0.496</v>
      </c>
      <c r="G54">
        <v>0.51800000000000002</v>
      </c>
      <c r="H54">
        <v>0.56000000000000005</v>
      </c>
      <c r="I54">
        <v>0.56999999999999995</v>
      </c>
      <c r="J54">
        <v>0.38100000000000001</v>
      </c>
      <c r="K54">
        <v>0.38200000000000001</v>
      </c>
      <c r="L54">
        <v>0.45100000000000001</v>
      </c>
      <c r="M54">
        <v>0.46</v>
      </c>
      <c r="P54">
        <v>4</v>
      </c>
      <c r="Q54">
        <v>45</v>
      </c>
      <c r="R54">
        <v>0.51400000000000001</v>
      </c>
      <c r="S54">
        <v>0.50900000000000001</v>
      </c>
      <c r="T54">
        <f t="shared" si="0"/>
        <v>0.51150000000000007</v>
      </c>
      <c r="U54">
        <f t="shared" si="1"/>
        <v>274.58333333333343</v>
      </c>
      <c r="V54">
        <f>AVERAGE(U41:U54)</f>
        <v>307.97619047619042</v>
      </c>
      <c r="W54">
        <f>TTEST(U41:U54,U12:U25,2,2)</f>
        <v>2.8306533278508125E-2</v>
      </c>
      <c r="Z54" s="2">
        <v>53</v>
      </c>
      <c r="AA54" s="2">
        <v>294.58333333333343</v>
      </c>
    </row>
    <row r="55" spans="1:27" x14ac:dyDescent="0.25">
      <c r="A55" t="s">
        <v>38</v>
      </c>
      <c r="B55">
        <v>1.8580000000000001</v>
      </c>
      <c r="C55">
        <v>1.8859999999999999</v>
      </c>
      <c r="D55">
        <v>0.33900000000000002</v>
      </c>
      <c r="E55">
        <v>0.31900000000000001</v>
      </c>
      <c r="F55">
        <v>0.42499999999999999</v>
      </c>
      <c r="G55">
        <v>0.41499999999999998</v>
      </c>
      <c r="H55">
        <v>0.59199999999999997</v>
      </c>
      <c r="I55">
        <v>0.59799999999999998</v>
      </c>
      <c r="J55">
        <v>0.27200000000000002</v>
      </c>
      <c r="K55">
        <v>0.27500000000000002</v>
      </c>
      <c r="L55">
        <v>0.61799999999999999</v>
      </c>
      <c r="M55">
        <v>0.62</v>
      </c>
      <c r="P55">
        <v>5</v>
      </c>
      <c r="Q55">
        <v>46</v>
      </c>
      <c r="R55">
        <v>0.77800000000000002</v>
      </c>
      <c r="S55">
        <v>0.77200000000000002</v>
      </c>
      <c r="T55">
        <f t="shared" si="0"/>
        <v>0.77500000000000002</v>
      </c>
      <c r="U55">
        <f t="shared" si="1"/>
        <v>494.16666666666669</v>
      </c>
      <c r="Z55" s="2">
        <v>54</v>
      </c>
      <c r="AA55" s="2">
        <v>119.58333333333336</v>
      </c>
    </row>
    <row r="56" spans="1:27" x14ac:dyDescent="0.25">
      <c r="A56" t="s">
        <v>39</v>
      </c>
      <c r="B56">
        <v>2.4350000000000001</v>
      </c>
      <c r="C56">
        <v>2.5019999999999998</v>
      </c>
      <c r="D56">
        <v>0.39700000000000002</v>
      </c>
      <c r="E56">
        <v>0.39300000000000002</v>
      </c>
      <c r="F56">
        <v>0.32700000000000001</v>
      </c>
      <c r="G56">
        <v>0.32800000000000001</v>
      </c>
      <c r="H56">
        <v>0.58899999999999997</v>
      </c>
      <c r="I56">
        <v>0.59899999999999998</v>
      </c>
      <c r="J56">
        <v>0.42</v>
      </c>
      <c r="K56">
        <v>0.39900000000000002</v>
      </c>
      <c r="L56">
        <v>8.1000000000000003E-2</v>
      </c>
      <c r="M56">
        <v>8.3000000000000004E-2</v>
      </c>
      <c r="P56">
        <v>5</v>
      </c>
      <c r="Q56">
        <v>47</v>
      </c>
      <c r="R56">
        <v>0.4</v>
      </c>
      <c r="S56">
        <v>0.38700000000000001</v>
      </c>
      <c r="T56">
        <f t="shared" si="0"/>
        <v>0.39350000000000002</v>
      </c>
      <c r="U56">
        <f t="shared" si="1"/>
        <v>176.25000000000003</v>
      </c>
      <c r="Z56" s="2">
        <v>55</v>
      </c>
      <c r="AA56" s="2">
        <v>209.16666666666669</v>
      </c>
    </row>
    <row r="57" spans="1:27" x14ac:dyDescent="0.25">
      <c r="P57">
        <v>5</v>
      </c>
      <c r="Q57">
        <v>48</v>
      </c>
      <c r="R57">
        <v>0.31900000000000001</v>
      </c>
      <c r="S57">
        <v>0.31900000000000001</v>
      </c>
      <c r="T57">
        <f t="shared" si="0"/>
        <v>0.31900000000000001</v>
      </c>
      <c r="U57">
        <f t="shared" si="1"/>
        <v>114.16666666666669</v>
      </c>
      <c r="Z57" s="2">
        <v>56</v>
      </c>
      <c r="AA57" s="2">
        <v>309.16666666666674</v>
      </c>
    </row>
    <row r="58" spans="1:27" x14ac:dyDescent="0.25">
      <c r="P58">
        <v>5</v>
      </c>
      <c r="Q58">
        <v>49</v>
      </c>
      <c r="R58">
        <v>0.48699999999999999</v>
      </c>
      <c r="S58">
        <v>0.49199999999999999</v>
      </c>
      <c r="T58">
        <f t="shared" si="0"/>
        <v>0.48949999999999999</v>
      </c>
      <c r="U58">
        <f t="shared" si="1"/>
        <v>256.25</v>
      </c>
      <c r="Z58" s="2">
        <v>57</v>
      </c>
      <c r="AA58" s="2">
        <v>466.66666666666674</v>
      </c>
    </row>
    <row r="59" spans="1:27" x14ac:dyDescent="0.25">
      <c r="P59">
        <v>5</v>
      </c>
      <c r="Q59">
        <v>50</v>
      </c>
      <c r="R59">
        <v>0.35399999999999998</v>
      </c>
      <c r="S59">
        <v>0.36</v>
      </c>
      <c r="T59">
        <f t="shared" si="0"/>
        <v>0.35699999999999998</v>
      </c>
      <c r="U59">
        <f t="shared" si="1"/>
        <v>145.83333333333334</v>
      </c>
      <c r="Z59" s="2">
        <v>58</v>
      </c>
      <c r="AA59" s="2">
        <v>160.00000000000003</v>
      </c>
    </row>
    <row r="60" spans="1:27" x14ac:dyDescent="0.25">
      <c r="P60">
        <v>5</v>
      </c>
      <c r="Q60">
        <v>51</v>
      </c>
      <c r="R60">
        <v>0.36799999999999999</v>
      </c>
      <c r="S60">
        <v>0.44600000000000001</v>
      </c>
      <c r="T60">
        <f t="shared" si="0"/>
        <v>0.40700000000000003</v>
      </c>
      <c r="U60">
        <f t="shared" si="1"/>
        <v>187.50000000000006</v>
      </c>
      <c r="Z60" s="2">
        <v>59</v>
      </c>
      <c r="AA60" s="2">
        <v>89.583333333333329</v>
      </c>
    </row>
    <row r="61" spans="1:27" x14ac:dyDescent="0.25">
      <c r="P61">
        <v>5</v>
      </c>
      <c r="Q61">
        <v>52</v>
      </c>
      <c r="R61">
        <v>0.41299999999999998</v>
      </c>
      <c r="S61">
        <v>0.442</v>
      </c>
      <c r="T61">
        <f t="shared" si="0"/>
        <v>0.42749999999999999</v>
      </c>
      <c r="U61">
        <f t="shared" si="1"/>
        <v>204.58333333333334</v>
      </c>
      <c r="Z61" s="2">
        <v>60</v>
      </c>
      <c r="AA61" s="2">
        <v>225.00000000000003</v>
      </c>
    </row>
    <row r="62" spans="1:27" x14ac:dyDescent="0.25">
      <c r="A62" t="s">
        <v>41</v>
      </c>
      <c r="P62">
        <v>5</v>
      </c>
      <c r="Q62">
        <v>53</v>
      </c>
      <c r="R62">
        <v>0.53700000000000003</v>
      </c>
      <c r="S62">
        <v>0.53400000000000003</v>
      </c>
      <c r="T62">
        <f t="shared" si="0"/>
        <v>0.53550000000000009</v>
      </c>
      <c r="U62">
        <f t="shared" si="1"/>
        <v>294.58333333333343</v>
      </c>
      <c r="Z62" s="2">
        <v>61</v>
      </c>
      <c r="AA62" s="2">
        <v>532.08333333333348</v>
      </c>
    </row>
    <row r="63" spans="1:27" x14ac:dyDescent="0.25">
      <c r="P63">
        <v>5</v>
      </c>
      <c r="Q63">
        <v>54</v>
      </c>
      <c r="R63">
        <v>0.317</v>
      </c>
      <c r="S63">
        <v>0.33400000000000002</v>
      </c>
      <c r="T63">
        <f t="shared" si="0"/>
        <v>0.32550000000000001</v>
      </c>
      <c r="U63">
        <f t="shared" si="1"/>
        <v>119.58333333333336</v>
      </c>
      <c r="Z63" s="2">
        <v>62</v>
      </c>
      <c r="AA63" s="2">
        <v>877.0833333333336</v>
      </c>
    </row>
    <row r="64" spans="1:27" x14ac:dyDescent="0.25">
      <c r="P64">
        <v>5</v>
      </c>
      <c r="Q64">
        <v>55</v>
      </c>
      <c r="R64">
        <v>0.439</v>
      </c>
      <c r="S64">
        <v>0.42699999999999999</v>
      </c>
      <c r="T64">
        <f t="shared" si="0"/>
        <v>0.433</v>
      </c>
      <c r="U64">
        <f t="shared" si="1"/>
        <v>209.16666666666669</v>
      </c>
      <c r="Z64" s="2">
        <v>63</v>
      </c>
      <c r="AA64" s="2">
        <v>2086.2500000000005</v>
      </c>
    </row>
    <row r="65" spans="16:27" x14ac:dyDescent="0.25">
      <c r="P65">
        <v>5</v>
      </c>
      <c r="Q65">
        <v>56</v>
      </c>
      <c r="R65">
        <v>0.55100000000000005</v>
      </c>
      <c r="S65">
        <v>0.55500000000000005</v>
      </c>
      <c r="T65">
        <f t="shared" si="0"/>
        <v>0.55300000000000005</v>
      </c>
      <c r="U65">
        <f t="shared" si="1"/>
        <v>309.16666666666674</v>
      </c>
      <c r="Z65" s="2">
        <v>64</v>
      </c>
      <c r="AA65" s="2">
        <v>1745.4166666666667</v>
      </c>
    </row>
    <row r="66" spans="16:27" x14ac:dyDescent="0.25">
      <c r="P66">
        <v>5</v>
      </c>
      <c r="Q66">
        <v>57</v>
      </c>
      <c r="R66">
        <v>0.745</v>
      </c>
      <c r="S66">
        <v>0.73899999999999999</v>
      </c>
      <c r="T66">
        <f t="shared" si="0"/>
        <v>0.74199999999999999</v>
      </c>
      <c r="U66">
        <f t="shared" si="1"/>
        <v>466.66666666666674</v>
      </c>
      <c r="Z66" s="2">
        <v>65</v>
      </c>
      <c r="AA66" s="2">
        <v>120.83333333333336</v>
      </c>
    </row>
    <row r="67" spans="16:27" x14ac:dyDescent="0.25">
      <c r="P67">
        <v>5</v>
      </c>
      <c r="Q67">
        <v>58</v>
      </c>
      <c r="R67">
        <v>0.374</v>
      </c>
      <c r="S67">
        <v>0.374</v>
      </c>
      <c r="T67">
        <f t="shared" si="0"/>
        <v>0.374</v>
      </c>
      <c r="U67">
        <f t="shared" si="1"/>
        <v>160.00000000000003</v>
      </c>
      <c r="Z67" s="2">
        <v>67</v>
      </c>
      <c r="AA67" s="2">
        <v>246.66666666666669</v>
      </c>
    </row>
    <row r="68" spans="16:27" x14ac:dyDescent="0.25">
      <c r="P68">
        <v>5</v>
      </c>
      <c r="Q68">
        <v>59</v>
      </c>
      <c r="R68">
        <v>0.28899999999999998</v>
      </c>
      <c r="S68">
        <v>0.28999999999999998</v>
      </c>
      <c r="T68">
        <f t="shared" ref="T68:T97" si="2">AVERAGE(R68:S68)</f>
        <v>0.28949999999999998</v>
      </c>
      <c r="U68">
        <f t="shared" ref="U68:U97" si="3">(T68-0.182)/0.0012</f>
        <v>89.583333333333329</v>
      </c>
      <c r="Z68" s="2">
        <v>68</v>
      </c>
      <c r="AA68" s="2">
        <v>341.66666666666669</v>
      </c>
    </row>
    <row r="69" spans="16:27" x14ac:dyDescent="0.25">
      <c r="P69">
        <v>5</v>
      </c>
      <c r="Q69">
        <v>60</v>
      </c>
      <c r="R69">
        <v>0.437</v>
      </c>
      <c r="S69">
        <v>0.46700000000000003</v>
      </c>
      <c r="T69">
        <f t="shared" si="2"/>
        <v>0.45200000000000001</v>
      </c>
      <c r="U69">
        <f t="shared" si="3"/>
        <v>225.00000000000003</v>
      </c>
      <c r="V69">
        <f>AVERAGE(U56:U69)</f>
        <v>211.30952380952385</v>
      </c>
      <c r="W69">
        <f>TTEST(U55:U69,U12:U25,2,2)</f>
        <v>0.52029042180336516</v>
      </c>
      <c r="Z69" s="2">
        <v>69</v>
      </c>
      <c r="AA69" s="2">
        <v>381.66666666666674</v>
      </c>
    </row>
    <row r="70" spans="16:27" x14ac:dyDescent="0.25">
      <c r="P70">
        <v>8</v>
      </c>
      <c r="Q70">
        <v>61</v>
      </c>
      <c r="R70">
        <v>0.81799999999999995</v>
      </c>
      <c r="S70">
        <v>0.82299999999999995</v>
      </c>
      <c r="T70">
        <f t="shared" si="2"/>
        <v>0.82050000000000001</v>
      </c>
      <c r="U70">
        <f t="shared" si="3"/>
        <v>532.08333333333348</v>
      </c>
      <c r="Z70" s="2">
        <v>70</v>
      </c>
      <c r="AA70" s="2">
        <v>897.91666666666686</v>
      </c>
    </row>
    <row r="71" spans="16:27" x14ac:dyDescent="0.25">
      <c r="P71">
        <v>8</v>
      </c>
      <c r="Q71">
        <v>62</v>
      </c>
      <c r="R71">
        <v>1.2310000000000001</v>
      </c>
      <c r="S71">
        <v>1.238</v>
      </c>
      <c r="T71">
        <f t="shared" si="2"/>
        <v>1.2345000000000002</v>
      </c>
      <c r="U71">
        <f t="shared" si="3"/>
        <v>877.0833333333336</v>
      </c>
      <c r="Z71" s="2">
        <v>71</v>
      </c>
      <c r="AA71" s="2">
        <v>874.16666666666674</v>
      </c>
    </row>
    <row r="72" spans="16:27" x14ac:dyDescent="0.25">
      <c r="P72">
        <v>8</v>
      </c>
      <c r="Q72">
        <v>63</v>
      </c>
      <c r="R72">
        <v>2.665</v>
      </c>
      <c r="S72">
        <v>2.706</v>
      </c>
      <c r="T72">
        <f t="shared" si="2"/>
        <v>2.6855000000000002</v>
      </c>
      <c r="U72">
        <f t="shared" si="3"/>
        <v>2086.2500000000005</v>
      </c>
      <c r="Z72" s="2">
        <v>72</v>
      </c>
      <c r="AA72" s="2">
        <v>256.66666666666669</v>
      </c>
    </row>
    <row r="73" spans="16:27" x14ac:dyDescent="0.25">
      <c r="P73">
        <v>8</v>
      </c>
      <c r="Q73">
        <v>64</v>
      </c>
      <c r="R73">
        <v>2.2810000000000001</v>
      </c>
      <c r="S73">
        <v>2.2719999999999998</v>
      </c>
      <c r="T73">
        <f t="shared" si="2"/>
        <v>2.2765</v>
      </c>
      <c r="U73">
        <f t="shared" si="3"/>
        <v>1745.4166666666667</v>
      </c>
      <c r="Z73" s="2">
        <v>73</v>
      </c>
      <c r="AA73" s="2">
        <v>121.6666666666667</v>
      </c>
    </row>
    <row r="74" spans="16:27" x14ac:dyDescent="0.25">
      <c r="P74">
        <v>8</v>
      </c>
      <c r="Q74">
        <v>65</v>
      </c>
      <c r="R74">
        <v>0.33</v>
      </c>
      <c r="S74">
        <v>0.32400000000000001</v>
      </c>
      <c r="T74">
        <f t="shared" si="2"/>
        <v>0.32700000000000001</v>
      </c>
      <c r="U74">
        <f t="shared" si="3"/>
        <v>120.83333333333336</v>
      </c>
      <c r="Z74" s="2">
        <v>74</v>
      </c>
      <c r="AA74" s="2">
        <v>1790.4166666666667</v>
      </c>
    </row>
    <row r="75" spans="16:27" x14ac:dyDescent="0.25">
      <c r="P75">
        <v>8</v>
      </c>
      <c r="Q75">
        <v>67</v>
      </c>
      <c r="R75">
        <v>0.48</v>
      </c>
      <c r="S75">
        <v>0.47599999999999998</v>
      </c>
      <c r="T75">
        <f t="shared" si="2"/>
        <v>0.47799999999999998</v>
      </c>
      <c r="U75">
        <f t="shared" si="3"/>
        <v>246.66666666666669</v>
      </c>
      <c r="Z75" s="2">
        <v>75</v>
      </c>
      <c r="AA75" s="2">
        <v>1588.3333333333335</v>
      </c>
    </row>
    <row r="76" spans="16:27" x14ac:dyDescent="0.25">
      <c r="P76">
        <v>8</v>
      </c>
      <c r="Q76">
        <v>68</v>
      </c>
      <c r="R76">
        <v>0.59899999999999998</v>
      </c>
      <c r="S76">
        <v>0.58499999999999996</v>
      </c>
      <c r="T76">
        <f t="shared" si="2"/>
        <v>0.59199999999999997</v>
      </c>
      <c r="U76">
        <f t="shared" si="3"/>
        <v>341.66666666666669</v>
      </c>
      <c r="Z76" s="2">
        <v>76</v>
      </c>
      <c r="AA76" s="2">
        <v>121.25000000000003</v>
      </c>
    </row>
    <row r="77" spans="16:27" x14ac:dyDescent="0.25">
      <c r="P77">
        <v>8</v>
      </c>
      <c r="Q77">
        <v>69</v>
      </c>
      <c r="R77">
        <v>0.63900000000000001</v>
      </c>
      <c r="S77">
        <v>0.64100000000000001</v>
      </c>
      <c r="T77">
        <f t="shared" si="2"/>
        <v>0.64</v>
      </c>
      <c r="U77">
        <f t="shared" si="3"/>
        <v>381.66666666666674</v>
      </c>
      <c r="Z77" s="2">
        <v>77</v>
      </c>
      <c r="AA77" s="2">
        <v>110.00000000000001</v>
      </c>
    </row>
    <row r="78" spans="16:27" x14ac:dyDescent="0.25">
      <c r="P78">
        <v>8</v>
      </c>
      <c r="Q78">
        <v>70</v>
      </c>
      <c r="R78">
        <v>1.248</v>
      </c>
      <c r="S78">
        <v>1.2709999999999999</v>
      </c>
      <c r="T78">
        <f t="shared" si="2"/>
        <v>1.2595000000000001</v>
      </c>
      <c r="U78">
        <f t="shared" si="3"/>
        <v>897.91666666666686</v>
      </c>
      <c r="Z78" s="2">
        <v>79</v>
      </c>
      <c r="AA78" s="2">
        <v>133.75000000000003</v>
      </c>
    </row>
    <row r="79" spans="16:27" x14ac:dyDescent="0.25">
      <c r="P79">
        <v>8</v>
      </c>
      <c r="Q79">
        <v>71</v>
      </c>
      <c r="R79">
        <v>1.228</v>
      </c>
      <c r="S79">
        <v>1.234</v>
      </c>
      <c r="T79">
        <f t="shared" si="2"/>
        <v>1.2309999999999999</v>
      </c>
      <c r="U79">
        <f t="shared" si="3"/>
        <v>874.16666666666674</v>
      </c>
      <c r="Z79" s="2">
        <v>80</v>
      </c>
      <c r="AA79" s="2">
        <v>425.00000000000006</v>
      </c>
    </row>
    <row r="80" spans="16:27" x14ac:dyDescent="0.25">
      <c r="P80">
        <v>8</v>
      </c>
      <c r="Q80">
        <v>72</v>
      </c>
      <c r="R80">
        <v>0.47799999999999998</v>
      </c>
      <c r="S80">
        <v>0.502</v>
      </c>
      <c r="T80">
        <f t="shared" si="2"/>
        <v>0.49</v>
      </c>
      <c r="U80">
        <f t="shared" si="3"/>
        <v>256.66666666666669</v>
      </c>
      <c r="Z80" s="2">
        <v>81</v>
      </c>
      <c r="AA80" s="2">
        <v>80.4166666666667</v>
      </c>
    </row>
    <row r="81" spans="16:27" x14ac:dyDescent="0.25">
      <c r="P81">
        <v>8</v>
      </c>
      <c r="Q81">
        <v>73</v>
      </c>
      <c r="R81">
        <v>0.32900000000000001</v>
      </c>
      <c r="S81">
        <v>0.32700000000000001</v>
      </c>
      <c r="T81">
        <f t="shared" si="2"/>
        <v>0.32800000000000001</v>
      </c>
      <c r="U81">
        <f t="shared" si="3"/>
        <v>121.6666666666667</v>
      </c>
      <c r="Z81" s="2">
        <v>82</v>
      </c>
      <c r="AA81" s="2">
        <v>75.833333333333357</v>
      </c>
    </row>
    <row r="82" spans="16:27" x14ac:dyDescent="0.25">
      <c r="P82">
        <v>8</v>
      </c>
      <c r="Q82">
        <v>74</v>
      </c>
      <c r="R82">
        <v>2.2919999999999998</v>
      </c>
      <c r="S82">
        <v>2.3690000000000002</v>
      </c>
      <c r="T82">
        <f t="shared" si="2"/>
        <v>2.3304999999999998</v>
      </c>
      <c r="U82">
        <f t="shared" si="3"/>
        <v>1790.4166666666667</v>
      </c>
      <c r="Z82" s="2">
        <v>83</v>
      </c>
      <c r="AA82" s="2">
        <v>294.58333333333343</v>
      </c>
    </row>
    <row r="83" spans="16:27" x14ac:dyDescent="0.25">
      <c r="P83">
        <v>8</v>
      </c>
      <c r="Q83">
        <v>75</v>
      </c>
      <c r="R83">
        <v>2.13</v>
      </c>
      <c r="S83">
        <v>2.0459999999999998</v>
      </c>
      <c r="T83">
        <f t="shared" si="2"/>
        <v>2.0880000000000001</v>
      </c>
      <c r="U83">
        <f t="shared" si="3"/>
        <v>1588.3333333333335</v>
      </c>
      <c r="V83">
        <f>AVERAGE(U70:U83)</f>
        <v>847.20238095238096</v>
      </c>
      <c r="W83">
        <f>TTEST(U70:U83,U12:U25,2,2)</f>
        <v>1.807053242164704E-3</v>
      </c>
      <c r="Z83" s="2">
        <v>84</v>
      </c>
      <c r="AA83" s="2">
        <v>306.66666666666674</v>
      </c>
    </row>
    <row r="84" spans="16:27" x14ac:dyDescent="0.25">
      <c r="P84">
        <v>21</v>
      </c>
      <c r="Q84">
        <v>76</v>
      </c>
      <c r="R84">
        <v>0.32600000000000001</v>
      </c>
      <c r="S84">
        <v>0.32900000000000001</v>
      </c>
      <c r="T84">
        <f t="shared" si="2"/>
        <v>0.32750000000000001</v>
      </c>
      <c r="U84">
        <f t="shared" si="3"/>
        <v>121.25000000000003</v>
      </c>
      <c r="Z84" s="2">
        <v>85</v>
      </c>
      <c r="AA84" s="2">
        <v>425.00000000000006</v>
      </c>
    </row>
    <row r="85" spans="16:27" x14ac:dyDescent="0.25">
      <c r="P85">
        <v>21</v>
      </c>
      <c r="Q85">
        <v>77</v>
      </c>
      <c r="R85">
        <v>0.32400000000000001</v>
      </c>
      <c r="S85">
        <v>0.30399999999999999</v>
      </c>
      <c r="T85">
        <f t="shared" si="2"/>
        <v>0.314</v>
      </c>
      <c r="U85">
        <f t="shared" si="3"/>
        <v>110.00000000000001</v>
      </c>
      <c r="Z85" s="2">
        <v>86</v>
      </c>
      <c r="AA85" s="2">
        <v>235.83333333333334</v>
      </c>
    </row>
    <row r="86" spans="16:27" x14ac:dyDescent="0.25">
      <c r="P86">
        <v>21</v>
      </c>
      <c r="Q86">
        <v>79</v>
      </c>
      <c r="R86">
        <v>0.34499999999999997</v>
      </c>
      <c r="S86">
        <v>0.34</v>
      </c>
      <c r="T86">
        <f t="shared" si="2"/>
        <v>0.34250000000000003</v>
      </c>
      <c r="U86">
        <f t="shared" si="3"/>
        <v>133.75000000000003</v>
      </c>
      <c r="Z86" s="2">
        <v>87</v>
      </c>
      <c r="AA86" s="2">
        <v>120.83333333333336</v>
      </c>
    </row>
    <row r="87" spans="16:27" x14ac:dyDescent="0.25">
      <c r="P87">
        <v>21</v>
      </c>
      <c r="Q87">
        <v>80</v>
      </c>
      <c r="R87">
        <v>0.70099999999999996</v>
      </c>
      <c r="S87">
        <v>0.68300000000000005</v>
      </c>
      <c r="T87">
        <f t="shared" si="2"/>
        <v>0.69199999999999995</v>
      </c>
      <c r="U87">
        <f t="shared" si="3"/>
        <v>425.00000000000006</v>
      </c>
      <c r="Z87" s="2">
        <v>88</v>
      </c>
      <c r="AA87" s="2">
        <v>158.33333333333334</v>
      </c>
    </row>
    <row r="88" spans="16:27" x14ac:dyDescent="0.25">
      <c r="P88">
        <v>21</v>
      </c>
      <c r="Q88">
        <v>81</v>
      </c>
      <c r="R88">
        <v>0.27900000000000003</v>
      </c>
      <c r="S88">
        <v>0.27800000000000002</v>
      </c>
      <c r="T88">
        <f t="shared" si="2"/>
        <v>0.27850000000000003</v>
      </c>
      <c r="U88">
        <f t="shared" si="3"/>
        <v>80.4166666666667</v>
      </c>
      <c r="Z88" s="2">
        <v>89</v>
      </c>
      <c r="AA88" s="2">
        <v>137.08333333333337</v>
      </c>
    </row>
    <row r="89" spans="16:27" x14ac:dyDescent="0.25">
      <c r="P89">
        <v>21</v>
      </c>
      <c r="Q89">
        <v>82</v>
      </c>
      <c r="R89">
        <v>0.27300000000000002</v>
      </c>
      <c r="S89">
        <v>0.27300000000000002</v>
      </c>
      <c r="T89">
        <f t="shared" si="2"/>
        <v>0.27300000000000002</v>
      </c>
      <c r="U89">
        <f t="shared" si="3"/>
        <v>75.833333333333357</v>
      </c>
      <c r="Z89" s="2">
        <v>90</v>
      </c>
      <c r="AA89" s="2">
        <v>236.25000000000006</v>
      </c>
    </row>
    <row r="90" spans="16:27" x14ac:dyDescent="0.25">
      <c r="P90">
        <v>21</v>
      </c>
      <c r="Q90">
        <v>83</v>
      </c>
      <c r="R90">
        <v>0.53900000000000003</v>
      </c>
      <c r="S90">
        <v>0.53200000000000003</v>
      </c>
      <c r="T90">
        <f t="shared" si="2"/>
        <v>0.53550000000000009</v>
      </c>
      <c r="U90">
        <f t="shared" si="3"/>
        <v>294.58333333333343</v>
      </c>
    </row>
    <row r="91" spans="16:27" x14ac:dyDescent="0.25">
      <c r="P91">
        <v>21</v>
      </c>
      <c r="Q91">
        <v>84</v>
      </c>
      <c r="R91">
        <v>0.54400000000000004</v>
      </c>
      <c r="S91">
        <v>0.55600000000000005</v>
      </c>
      <c r="T91">
        <f t="shared" si="2"/>
        <v>0.55000000000000004</v>
      </c>
      <c r="U91">
        <f t="shared" si="3"/>
        <v>306.66666666666674</v>
      </c>
    </row>
    <row r="92" spans="16:27" x14ac:dyDescent="0.25">
      <c r="P92">
        <v>21</v>
      </c>
      <c r="Q92">
        <v>85</v>
      </c>
      <c r="R92">
        <v>0.69199999999999995</v>
      </c>
      <c r="S92">
        <v>0.69199999999999995</v>
      </c>
      <c r="T92">
        <f t="shared" si="2"/>
        <v>0.69199999999999995</v>
      </c>
      <c r="U92">
        <f t="shared" si="3"/>
        <v>425.00000000000006</v>
      </c>
    </row>
    <row r="93" spans="16:27" x14ac:dyDescent="0.25">
      <c r="P93">
        <v>21</v>
      </c>
      <c r="Q93">
        <v>86</v>
      </c>
      <c r="R93">
        <v>0.45400000000000001</v>
      </c>
      <c r="S93">
        <v>0.47599999999999998</v>
      </c>
      <c r="T93">
        <f t="shared" si="2"/>
        <v>0.46499999999999997</v>
      </c>
      <c r="U93">
        <f t="shared" si="3"/>
        <v>235.83333333333334</v>
      </c>
    </row>
    <row r="94" spans="16:27" x14ac:dyDescent="0.25">
      <c r="P94">
        <v>21</v>
      </c>
      <c r="Q94">
        <v>87</v>
      </c>
      <c r="R94">
        <v>0.32300000000000001</v>
      </c>
      <c r="S94">
        <v>0.33100000000000002</v>
      </c>
      <c r="T94">
        <f t="shared" si="2"/>
        <v>0.32700000000000001</v>
      </c>
      <c r="U94">
        <f t="shared" si="3"/>
        <v>120.83333333333336</v>
      </c>
    </row>
    <row r="95" spans="16:27" x14ac:dyDescent="0.25">
      <c r="P95">
        <v>21</v>
      </c>
      <c r="Q95">
        <v>88</v>
      </c>
      <c r="R95">
        <v>0.372</v>
      </c>
      <c r="S95">
        <v>0.372</v>
      </c>
      <c r="T95">
        <f t="shared" si="2"/>
        <v>0.372</v>
      </c>
      <c r="U95">
        <f t="shared" si="3"/>
        <v>158.33333333333334</v>
      </c>
    </row>
    <row r="96" spans="16:27" x14ac:dyDescent="0.25">
      <c r="P96">
        <v>21</v>
      </c>
      <c r="Q96">
        <v>89</v>
      </c>
      <c r="R96">
        <v>0.34</v>
      </c>
      <c r="S96">
        <v>0.35299999999999998</v>
      </c>
      <c r="T96">
        <f t="shared" si="2"/>
        <v>0.34650000000000003</v>
      </c>
      <c r="U96">
        <f t="shared" si="3"/>
        <v>137.08333333333337</v>
      </c>
    </row>
    <row r="97" spans="16:23" x14ac:dyDescent="0.25">
      <c r="P97">
        <v>21</v>
      </c>
      <c r="Q97">
        <v>90</v>
      </c>
      <c r="R97">
        <v>0.47899999999999998</v>
      </c>
      <c r="S97">
        <v>0.45200000000000001</v>
      </c>
      <c r="T97">
        <f t="shared" si="2"/>
        <v>0.46550000000000002</v>
      </c>
      <c r="U97">
        <f t="shared" si="3"/>
        <v>236.25000000000006</v>
      </c>
      <c r="V97">
        <f>AVERAGE(U84:U97)</f>
        <v>204.34523809523816</v>
      </c>
      <c r="W97">
        <f>TTEST(U84:U97,U12:U25,2,2)</f>
        <v>0.99534349091391017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B092-5B6B-41F2-8C4A-1CBE18FBF426}">
  <dimension ref="A1:G75"/>
  <sheetViews>
    <sheetView tabSelected="1" workbookViewId="0">
      <selection activeCell="J65" sqref="J65"/>
    </sheetView>
  </sheetViews>
  <sheetFormatPr defaultRowHeight="15" x14ac:dyDescent="0.25"/>
  <sheetData>
    <row r="1" spans="1:7" x14ac:dyDescent="0.25">
      <c r="A1" t="s">
        <v>42</v>
      </c>
      <c r="B1" t="s">
        <v>43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2</v>
      </c>
      <c r="B2">
        <v>1</v>
      </c>
      <c r="C2">
        <v>148.42105263157893</v>
      </c>
      <c r="D2">
        <v>153.68421052631578</v>
      </c>
      <c r="E2">
        <v>160</v>
      </c>
      <c r="F2">
        <v>171.57894736842104</v>
      </c>
      <c r="G2">
        <v>0</v>
      </c>
    </row>
    <row r="3" spans="1:7" x14ac:dyDescent="0.25">
      <c r="A3" t="s">
        <v>2</v>
      </c>
      <c r="B3">
        <v>2</v>
      </c>
      <c r="C3">
        <v>165.09433962264151</v>
      </c>
      <c r="D3">
        <v>170.75471698113211</v>
      </c>
      <c r="E3">
        <v>169.81132075471697</v>
      </c>
      <c r="F3">
        <v>174.52830188679246</v>
      </c>
      <c r="G3">
        <v>0</v>
      </c>
    </row>
    <row r="4" spans="1:7" x14ac:dyDescent="0.25">
      <c r="A4" t="s">
        <v>2</v>
      </c>
      <c r="B4">
        <v>3</v>
      </c>
      <c r="C4">
        <v>130.08849557522123</v>
      </c>
      <c r="D4">
        <v>133.62831858407077</v>
      </c>
      <c r="E4">
        <v>134.51327433628316</v>
      </c>
      <c r="F4">
        <v>145.13274336283183</v>
      </c>
      <c r="G4">
        <v>0</v>
      </c>
    </row>
    <row r="5" spans="1:7" x14ac:dyDescent="0.25">
      <c r="A5" t="s">
        <v>2</v>
      </c>
      <c r="B5">
        <v>4</v>
      </c>
      <c r="C5">
        <v>143.8095238095238</v>
      </c>
      <c r="D5">
        <v>141.9047619047619</v>
      </c>
      <c r="E5">
        <v>149.52380952380952</v>
      </c>
      <c r="F5">
        <v>161.9047619047619</v>
      </c>
      <c r="G5">
        <v>0</v>
      </c>
    </row>
    <row r="6" spans="1:7" x14ac:dyDescent="0.25">
      <c r="A6" t="s">
        <v>2</v>
      </c>
      <c r="B6">
        <v>6</v>
      </c>
      <c r="C6">
        <v>107.5</v>
      </c>
      <c r="D6">
        <v>116.875</v>
      </c>
      <c r="E6">
        <v>111.87499999999999</v>
      </c>
      <c r="F6">
        <v>112.5</v>
      </c>
      <c r="G6">
        <v>0</v>
      </c>
    </row>
    <row r="7" spans="1:7" x14ac:dyDescent="0.25">
      <c r="A7" t="s">
        <v>2</v>
      </c>
      <c r="B7">
        <v>7</v>
      </c>
      <c r="C7">
        <v>112.90322580645163</v>
      </c>
      <c r="D7">
        <v>116.77419354838709</v>
      </c>
      <c r="E7">
        <v>123.22580645161293</v>
      </c>
      <c r="F7">
        <v>132.90322580645162</v>
      </c>
      <c r="G7">
        <v>0</v>
      </c>
    </row>
    <row r="8" spans="1:7" x14ac:dyDescent="0.25">
      <c r="A8" t="s">
        <v>2</v>
      </c>
      <c r="B8">
        <v>8</v>
      </c>
      <c r="C8">
        <v>114.48275862068967</v>
      </c>
      <c r="D8">
        <v>117.93103448275863</v>
      </c>
      <c r="E8">
        <v>121.3793103448276</v>
      </c>
      <c r="F8">
        <v>130.34482758620689</v>
      </c>
      <c r="G8">
        <v>0</v>
      </c>
    </row>
    <row r="9" spans="1:7" x14ac:dyDescent="0.25">
      <c r="A9" t="s">
        <v>2</v>
      </c>
      <c r="B9">
        <v>9</v>
      </c>
      <c r="C9">
        <v>114.39393939393941</v>
      </c>
      <c r="D9">
        <v>118.18181818181819</v>
      </c>
      <c r="E9">
        <v>121.21212121212122</v>
      </c>
      <c r="F9">
        <v>128.03030303030303</v>
      </c>
      <c r="G9">
        <v>0</v>
      </c>
    </row>
    <row r="10" spans="1:7" x14ac:dyDescent="0.25">
      <c r="A10" t="s">
        <v>2</v>
      </c>
      <c r="B10">
        <v>10</v>
      </c>
      <c r="C10">
        <v>108.3969465648855</v>
      </c>
      <c r="D10">
        <v>110.68702290076335</v>
      </c>
      <c r="E10">
        <v>113.74045801526718</v>
      </c>
      <c r="F10">
        <v>122.90076335877865</v>
      </c>
      <c r="G10">
        <v>0</v>
      </c>
    </row>
    <row r="11" spans="1:7" x14ac:dyDescent="0.25">
      <c r="A11" t="s">
        <v>2</v>
      </c>
      <c r="B11">
        <v>11</v>
      </c>
      <c r="C11">
        <v>115.69767441860466</v>
      </c>
      <c r="D11">
        <v>119.76744186046513</v>
      </c>
      <c r="E11">
        <v>122.09302325581395</v>
      </c>
      <c r="F11">
        <v>125</v>
      </c>
      <c r="G11">
        <v>0</v>
      </c>
    </row>
    <row r="12" spans="1:7" x14ac:dyDescent="0.25">
      <c r="A12" t="s">
        <v>2</v>
      </c>
      <c r="B12">
        <v>12</v>
      </c>
      <c r="C12">
        <v>112.94964028776977</v>
      </c>
      <c r="D12">
        <v>117.26618705035972</v>
      </c>
      <c r="E12">
        <v>118.70503597122301</v>
      </c>
      <c r="F12">
        <v>124.46043165467626</v>
      </c>
      <c r="G12">
        <v>0</v>
      </c>
    </row>
    <row r="13" spans="1:7" x14ac:dyDescent="0.25">
      <c r="A13" t="s">
        <v>2</v>
      </c>
      <c r="B13">
        <v>13</v>
      </c>
      <c r="C13">
        <v>111.53846153846155</v>
      </c>
      <c r="D13">
        <v>113.73626373626374</v>
      </c>
      <c r="E13">
        <v>116.4835164835165</v>
      </c>
      <c r="F13">
        <v>121.42857142857144</v>
      </c>
      <c r="G13">
        <v>0</v>
      </c>
    </row>
    <row r="14" spans="1:7" x14ac:dyDescent="0.25">
      <c r="A14" t="s">
        <v>2</v>
      </c>
      <c r="B14">
        <v>14</v>
      </c>
      <c r="C14">
        <v>115.54404145077719</v>
      </c>
      <c r="D14">
        <v>116.580310880829</v>
      </c>
      <c r="E14">
        <v>119.17098445595855</v>
      </c>
      <c r="F14">
        <v>119.68911917098445</v>
      </c>
      <c r="G14">
        <v>0</v>
      </c>
    </row>
    <row r="15" spans="1:7" x14ac:dyDescent="0.25">
      <c r="A15" t="s">
        <v>2</v>
      </c>
      <c r="B15">
        <v>15</v>
      </c>
      <c r="C15">
        <v>104.66666666666666</v>
      </c>
      <c r="D15">
        <v>107.99999999999999</v>
      </c>
      <c r="E15">
        <v>110.00000000000001</v>
      </c>
      <c r="F15">
        <v>115.33333333333333</v>
      </c>
      <c r="G15">
        <v>0</v>
      </c>
    </row>
    <row r="16" spans="1:7" x14ac:dyDescent="0.25">
      <c r="A16" t="s">
        <v>3</v>
      </c>
      <c r="B16">
        <v>16</v>
      </c>
      <c r="C16">
        <v>116.92307692307691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3</v>
      </c>
      <c r="B17">
        <v>17</v>
      </c>
      <c r="C17">
        <v>114.55696202531647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3</v>
      </c>
      <c r="B18">
        <v>18</v>
      </c>
      <c r="C18">
        <v>105.22875816993465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</v>
      </c>
      <c r="B19">
        <v>19</v>
      </c>
      <c r="C19">
        <v>121.84873949579831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</v>
      </c>
      <c r="B20">
        <v>20</v>
      </c>
      <c r="C20">
        <v>120.12987012987013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3</v>
      </c>
      <c r="B21">
        <v>21</v>
      </c>
      <c r="C21">
        <v>114.03508771929825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3</v>
      </c>
      <c r="B22">
        <v>22</v>
      </c>
      <c r="C22">
        <v>112.79069767441861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3</v>
      </c>
      <c r="B23">
        <v>23</v>
      </c>
      <c r="C23">
        <v>112.5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3</v>
      </c>
      <c r="B24">
        <v>24</v>
      </c>
      <c r="C24">
        <v>110.14492753623186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3</v>
      </c>
      <c r="B25">
        <v>25</v>
      </c>
      <c r="C25">
        <v>116.99346405228756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3</v>
      </c>
      <c r="B26">
        <v>26</v>
      </c>
      <c r="C26">
        <v>119.6969696969697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3</v>
      </c>
      <c r="B27">
        <v>27</v>
      </c>
      <c r="C27">
        <v>109.45945945945945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3</v>
      </c>
      <c r="B28">
        <v>28</v>
      </c>
      <c r="C28">
        <v>114.64968152866241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3</v>
      </c>
      <c r="B29">
        <v>29</v>
      </c>
      <c r="C29">
        <v>110.41666666666667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3</v>
      </c>
      <c r="B30">
        <v>30</v>
      </c>
      <c r="C30">
        <v>120.27972027972027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4</v>
      </c>
      <c r="B31">
        <v>31</v>
      </c>
      <c r="C31">
        <v>136.66666666666666</v>
      </c>
      <c r="D31">
        <v>140.83333333333331</v>
      </c>
      <c r="E31">
        <v>0</v>
      </c>
      <c r="F31">
        <v>0</v>
      </c>
      <c r="G31">
        <v>0</v>
      </c>
    </row>
    <row r="32" spans="1:7" x14ac:dyDescent="0.25">
      <c r="A32" t="s">
        <v>4</v>
      </c>
      <c r="B32">
        <v>32</v>
      </c>
      <c r="C32">
        <v>139.13043478260869</v>
      </c>
      <c r="D32">
        <v>137.68115942028984</v>
      </c>
      <c r="E32">
        <v>0</v>
      </c>
      <c r="F32">
        <v>0</v>
      </c>
      <c r="G32">
        <v>0</v>
      </c>
    </row>
    <row r="33" spans="1:7" x14ac:dyDescent="0.25">
      <c r="A33" t="s">
        <v>4</v>
      </c>
      <c r="B33">
        <v>33</v>
      </c>
      <c r="C33">
        <v>133.33333333333331</v>
      </c>
      <c r="D33">
        <v>135.77235772357724</v>
      </c>
      <c r="E33">
        <v>0</v>
      </c>
      <c r="F33">
        <v>0</v>
      </c>
      <c r="G33">
        <v>0</v>
      </c>
    </row>
    <row r="34" spans="1:7" x14ac:dyDescent="0.25">
      <c r="A34" t="s">
        <v>4</v>
      </c>
      <c r="B34">
        <v>34</v>
      </c>
      <c r="C34">
        <v>139.36170212765958</v>
      </c>
      <c r="D34">
        <v>139.36170212765958</v>
      </c>
      <c r="E34">
        <v>0</v>
      </c>
      <c r="F34">
        <v>0</v>
      </c>
      <c r="G34">
        <v>0</v>
      </c>
    </row>
    <row r="35" spans="1:7" x14ac:dyDescent="0.25">
      <c r="A35" t="s">
        <v>4</v>
      </c>
      <c r="B35">
        <v>35</v>
      </c>
      <c r="C35">
        <v>150</v>
      </c>
      <c r="D35">
        <v>142.85714285714286</v>
      </c>
      <c r="E35">
        <v>0</v>
      </c>
      <c r="F35">
        <v>0</v>
      </c>
      <c r="G35">
        <v>0</v>
      </c>
    </row>
    <row r="36" spans="1:7" x14ac:dyDescent="0.25">
      <c r="A36" t="s">
        <v>4</v>
      </c>
      <c r="B36">
        <v>36</v>
      </c>
      <c r="C36">
        <v>113.53383458646616</v>
      </c>
      <c r="D36">
        <v>116.54135338345864</v>
      </c>
      <c r="E36">
        <v>0</v>
      </c>
      <c r="F36">
        <v>0</v>
      </c>
      <c r="G36">
        <v>0</v>
      </c>
    </row>
    <row r="37" spans="1:7" x14ac:dyDescent="0.25">
      <c r="A37" t="s">
        <v>4</v>
      </c>
      <c r="B37">
        <v>37</v>
      </c>
      <c r="C37">
        <v>111.96581196581197</v>
      </c>
      <c r="D37">
        <v>113.6752136752137</v>
      </c>
      <c r="E37">
        <v>0</v>
      </c>
      <c r="F37">
        <v>0</v>
      </c>
      <c r="G37">
        <v>0</v>
      </c>
    </row>
    <row r="38" spans="1:7" x14ac:dyDescent="0.25">
      <c r="A38" t="s">
        <v>4</v>
      </c>
      <c r="B38">
        <v>38</v>
      </c>
      <c r="C38">
        <v>114.20118343195267</v>
      </c>
      <c r="D38">
        <v>117.75147928994083</v>
      </c>
      <c r="E38">
        <v>0</v>
      </c>
      <c r="F38">
        <v>0</v>
      </c>
      <c r="G38">
        <v>0</v>
      </c>
    </row>
    <row r="39" spans="1:7" x14ac:dyDescent="0.25">
      <c r="A39" t="s">
        <v>4</v>
      </c>
      <c r="B39">
        <v>39</v>
      </c>
      <c r="C39">
        <v>108.7248322147651</v>
      </c>
      <c r="D39">
        <v>109.39597315436242</v>
      </c>
      <c r="E39">
        <v>0</v>
      </c>
      <c r="F39">
        <v>0</v>
      </c>
      <c r="G39">
        <v>0</v>
      </c>
    </row>
    <row r="40" spans="1:7" x14ac:dyDescent="0.25">
      <c r="A40" t="s">
        <v>4</v>
      </c>
      <c r="B40">
        <v>40</v>
      </c>
      <c r="C40">
        <v>111.92052980132449</v>
      </c>
      <c r="D40">
        <v>110.59602649006621</v>
      </c>
      <c r="E40">
        <v>0</v>
      </c>
      <c r="F40">
        <v>0</v>
      </c>
      <c r="G40">
        <v>0</v>
      </c>
    </row>
    <row r="41" spans="1:7" x14ac:dyDescent="0.25">
      <c r="A41" t="s">
        <v>4</v>
      </c>
      <c r="B41">
        <v>41</v>
      </c>
      <c r="C41">
        <v>108.86075949367087</v>
      </c>
      <c r="D41">
        <v>108.22784810126582</v>
      </c>
      <c r="E41">
        <v>0</v>
      </c>
      <c r="F41">
        <v>0</v>
      </c>
      <c r="G41">
        <v>0</v>
      </c>
    </row>
    <row r="42" spans="1:7" x14ac:dyDescent="0.25">
      <c r="A42" t="s">
        <v>4</v>
      </c>
      <c r="B42">
        <v>42</v>
      </c>
      <c r="C42">
        <v>111.72413793103448</v>
      </c>
      <c r="D42">
        <v>112.41379310344828</v>
      </c>
      <c r="E42">
        <v>0</v>
      </c>
      <c r="F42">
        <v>0</v>
      </c>
      <c r="G42">
        <v>0</v>
      </c>
    </row>
    <row r="43" spans="1:7" x14ac:dyDescent="0.25">
      <c r="A43" t="s">
        <v>4</v>
      </c>
      <c r="B43">
        <v>43</v>
      </c>
      <c r="C43">
        <v>114.48275862068967</v>
      </c>
      <c r="D43">
        <v>115.86206896551725</v>
      </c>
      <c r="E43">
        <v>0</v>
      </c>
      <c r="F43">
        <v>0</v>
      </c>
      <c r="G43">
        <v>0</v>
      </c>
    </row>
    <row r="44" spans="1:7" x14ac:dyDescent="0.25">
      <c r="A44" t="s">
        <v>4</v>
      </c>
      <c r="B44">
        <v>44</v>
      </c>
      <c r="C44">
        <v>111.9496855345912</v>
      </c>
      <c r="D44">
        <v>113.20754716981132</v>
      </c>
      <c r="E44">
        <v>0</v>
      </c>
      <c r="F44">
        <v>0</v>
      </c>
      <c r="G44">
        <v>0</v>
      </c>
    </row>
    <row r="45" spans="1:7" x14ac:dyDescent="0.25">
      <c r="A45" t="s">
        <v>4</v>
      </c>
      <c r="B45">
        <v>45</v>
      </c>
      <c r="C45">
        <v>111.18881118881119</v>
      </c>
      <c r="D45">
        <v>116.78321678321677</v>
      </c>
      <c r="E45">
        <v>0</v>
      </c>
      <c r="F45">
        <v>0</v>
      </c>
      <c r="G45">
        <v>0</v>
      </c>
    </row>
    <row r="46" spans="1:7" x14ac:dyDescent="0.25">
      <c r="A46" t="s">
        <v>5</v>
      </c>
      <c r="B46">
        <v>46</v>
      </c>
      <c r="C46">
        <v>107.57575757575756</v>
      </c>
      <c r="D46">
        <v>110.60606060606062</v>
      </c>
      <c r="E46">
        <v>115.15151515151516</v>
      </c>
      <c r="F46">
        <v>0</v>
      </c>
      <c r="G46">
        <v>0</v>
      </c>
    </row>
    <row r="47" spans="1:7" x14ac:dyDescent="0.25">
      <c r="A47" t="s">
        <v>5</v>
      </c>
      <c r="B47">
        <v>47</v>
      </c>
      <c r="C47">
        <v>110.61452513966481</v>
      </c>
      <c r="D47">
        <v>113.96648044692736</v>
      </c>
      <c r="E47">
        <v>115.08379888268159</v>
      </c>
      <c r="F47">
        <v>0</v>
      </c>
      <c r="G47">
        <v>0</v>
      </c>
    </row>
    <row r="48" spans="1:7" x14ac:dyDescent="0.25">
      <c r="A48" t="s">
        <v>5</v>
      </c>
      <c r="B48">
        <v>48</v>
      </c>
      <c r="C48">
        <v>109.6774193548387</v>
      </c>
      <c r="D48">
        <v>112.90322580645163</v>
      </c>
      <c r="E48">
        <v>114.83870967741936</v>
      </c>
      <c r="F48">
        <v>0</v>
      </c>
      <c r="G48">
        <v>0</v>
      </c>
    </row>
    <row r="49" spans="1:7" x14ac:dyDescent="0.25">
      <c r="A49" t="s">
        <v>5</v>
      </c>
      <c r="B49">
        <v>49</v>
      </c>
      <c r="C49">
        <v>109.46745562130178</v>
      </c>
      <c r="D49">
        <v>112.4260355029586</v>
      </c>
      <c r="E49">
        <v>117.15976331360949</v>
      </c>
      <c r="F49">
        <v>0</v>
      </c>
      <c r="G49">
        <v>0</v>
      </c>
    </row>
    <row r="50" spans="1:7" x14ac:dyDescent="0.25">
      <c r="A50" t="s">
        <v>5</v>
      </c>
      <c r="B50">
        <v>50</v>
      </c>
      <c r="C50">
        <v>108.71794871794872</v>
      </c>
      <c r="D50">
        <v>112.30769230769231</v>
      </c>
      <c r="E50">
        <v>114.87179487179486</v>
      </c>
      <c r="F50">
        <v>0</v>
      </c>
      <c r="G50">
        <v>0</v>
      </c>
    </row>
    <row r="51" spans="1:7" x14ac:dyDescent="0.25">
      <c r="A51" t="s">
        <v>5</v>
      </c>
      <c r="B51">
        <v>51</v>
      </c>
      <c r="C51">
        <v>112.41379310344828</v>
      </c>
      <c r="D51">
        <v>118.62068965517241</v>
      </c>
      <c r="E51">
        <v>120.68965517241379</v>
      </c>
      <c r="F51">
        <v>0</v>
      </c>
      <c r="G51">
        <v>0</v>
      </c>
    </row>
    <row r="52" spans="1:7" x14ac:dyDescent="0.25">
      <c r="A52" t="s">
        <v>5</v>
      </c>
      <c r="B52">
        <v>52</v>
      </c>
      <c r="C52">
        <v>108.07453416149066</v>
      </c>
      <c r="D52">
        <v>111.80124223602483</v>
      </c>
      <c r="E52">
        <v>116.14906832298135</v>
      </c>
      <c r="F52">
        <v>0</v>
      </c>
      <c r="G52">
        <v>0</v>
      </c>
    </row>
    <row r="53" spans="1:7" x14ac:dyDescent="0.25">
      <c r="A53" t="s">
        <v>5</v>
      </c>
      <c r="B53">
        <v>53</v>
      </c>
      <c r="C53">
        <v>111.76470588235294</v>
      </c>
      <c r="D53">
        <v>115.44117647058823</v>
      </c>
      <c r="E53">
        <v>119.11764705882352</v>
      </c>
      <c r="F53">
        <v>0</v>
      </c>
      <c r="G53">
        <v>0</v>
      </c>
    </row>
    <row r="54" spans="1:7" x14ac:dyDescent="0.25">
      <c r="A54" t="s">
        <v>5</v>
      </c>
      <c r="B54">
        <v>54</v>
      </c>
      <c r="C54">
        <v>114.19354838709677</v>
      </c>
      <c r="D54">
        <v>121.29032258064515</v>
      </c>
      <c r="E54">
        <v>119.35483870967742</v>
      </c>
      <c r="F54">
        <v>0</v>
      </c>
      <c r="G54">
        <v>0</v>
      </c>
    </row>
    <row r="55" spans="1:7" x14ac:dyDescent="0.25">
      <c r="A55" t="s">
        <v>5</v>
      </c>
      <c r="B55">
        <v>55</v>
      </c>
      <c r="C55">
        <v>117.29729729729729</v>
      </c>
      <c r="D55">
        <v>118.91891891891892</v>
      </c>
      <c r="E55">
        <v>120</v>
      </c>
      <c r="F55">
        <v>0</v>
      </c>
      <c r="G55">
        <v>0</v>
      </c>
    </row>
    <row r="56" spans="1:7" x14ac:dyDescent="0.25">
      <c r="A56" t="s">
        <v>5</v>
      </c>
      <c r="B56">
        <v>56</v>
      </c>
      <c r="C56">
        <v>107.36196319018406</v>
      </c>
      <c r="D56">
        <v>107.36196319018406</v>
      </c>
      <c r="E56">
        <v>107.97546012269939</v>
      </c>
      <c r="F56">
        <v>0</v>
      </c>
      <c r="G56">
        <v>0</v>
      </c>
    </row>
    <row r="57" spans="1:7" x14ac:dyDescent="0.25">
      <c r="A57" t="s">
        <v>5</v>
      </c>
      <c r="B57">
        <v>57</v>
      </c>
      <c r="C57">
        <v>114.38848920863309</v>
      </c>
      <c r="D57">
        <v>118.70503597122301</v>
      </c>
      <c r="E57">
        <v>117.98561151079134</v>
      </c>
      <c r="F57">
        <v>0</v>
      </c>
      <c r="G57">
        <v>0</v>
      </c>
    </row>
    <row r="58" spans="1:7" x14ac:dyDescent="0.25">
      <c r="A58" t="s">
        <v>5</v>
      </c>
      <c r="B58">
        <v>58</v>
      </c>
      <c r="C58">
        <v>110.96774193548387</v>
      </c>
      <c r="D58">
        <v>117.41935483870967</v>
      </c>
      <c r="E58">
        <v>117.41935483870967</v>
      </c>
      <c r="F58">
        <v>0</v>
      </c>
      <c r="G58">
        <v>0</v>
      </c>
    </row>
    <row r="59" spans="1:7" x14ac:dyDescent="0.25">
      <c r="A59" t="s">
        <v>5</v>
      </c>
      <c r="B59">
        <v>59</v>
      </c>
      <c r="C59">
        <v>113.83647798742138</v>
      </c>
      <c r="D59">
        <v>119.49685534591194</v>
      </c>
      <c r="E59">
        <v>117.61006289308176</v>
      </c>
      <c r="F59">
        <v>0</v>
      </c>
      <c r="G59">
        <v>0</v>
      </c>
    </row>
    <row r="60" spans="1:7" x14ac:dyDescent="0.25">
      <c r="A60" t="s">
        <v>5</v>
      </c>
      <c r="B60">
        <v>60</v>
      </c>
      <c r="C60">
        <v>112.94964028776977</v>
      </c>
      <c r="D60">
        <v>118.70503597122301</v>
      </c>
      <c r="E60">
        <v>122.30215827338129</v>
      </c>
      <c r="F60">
        <v>0</v>
      </c>
      <c r="G60">
        <v>0</v>
      </c>
    </row>
    <row r="61" spans="1:7" x14ac:dyDescent="0.25">
      <c r="A61" t="s">
        <v>7</v>
      </c>
      <c r="B61">
        <v>61</v>
      </c>
      <c r="C61">
        <v>121.60493827160495</v>
      </c>
      <c r="D61">
        <v>122.83950617283949</v>
      </c>
      <c r="E61">
        <v>127.77777777777777</v>
      </c>
      <c r="F61">
        <v>135.80246913580248</v>
      </c>
      <c r="G61">
        <v>137.03703703703704</v>
      </c>
    </row>
    <row r="62" spans="1:7" x14ac:dyDescent="0.25">
      <c r="A62" t="s">
        <v>7</v>
      </c>
      <c r="B62">
        <v>62</v>
      </c>
      <c r="C62">
        <v>110.34482758620689</v>
      </c>
      <c r="D62">
        <v>113.10344827586205</v>
      </c>
      <c r="E62">
        <v>114.48275862068967</v>
      </c>
      <c r="F62">
        <v>124.82758620689656</v>
      </c>
      <c r="G62">
        <v>122.06896551724138</v>
      </c>
    </row>
    <row r="63" spans="1:7" x14ac:dyDescent="0.25">
      <c r="A63" t="s">
        <v>7</v>
      </c>
      <c r="B63">
        <v>63</v>
      </c>
      <c r="C63">
        <v>116.4179104477612</v>
      </c>
      <c r="D63">
        <v>120.89552238805969</v>
      </c>
      <c r="E63">
        <v>126.86567164179104</v>
      </c>
      <c r="F63">
        <v>123.88059701492537</v>
      </c>
      <c r="G63">
        <v>129.85074626865668</v>
      </c>
    </row>
    <row r="64" spans="1:7" x14ac:dyDescent="0.25">
      <c r="A64" t="s">
        <v>7</v>
      </c>
      <c r="B64">
        <v>64</v>
      </c>
      <c r="C64">
        <v>116.31205673758865</v>
      </c>
      <c r="D64">
        <v>107.0921985815603</v>
      </c>
      <c r="E64">
        <v>107.0921985815603</v>
      </c>
      <c r="F64">
        <v>99.290780141843967</v>
      </c>
      <c r="G64">
        <v>95.035460992907801</v>
      </c>
    </row>
    <row r="65" spans="1:7" x14ac:dyDescent="0.25">
      <c r="A65" t="s">
        <v>7</v>
      </c>
      <c r="B65">
        <v>65</v>
      </c>
      <c r="C65">
        <v>115.2542372881356</v>
      </c>
      <c r="D65">
        <v>118.07909604519773</v>
      </c>
      <c r="E65">
        <v>119.77401129943503</v>
      </c>
      <c r="F65">
        <v>132.76836158192091</v>
      </c>
      <c r="G65">
        <v>136.15819209039552</v>
      </c>
    </row>
    <row r="66" spans="1:7" x14ac:dyDescent="0.25">
      <c r="A66" t="s">
        <v>7</v>
      </c>
      <c r="B66">
        <v>66</v>
      </c>
      <c r="C66">
        <v>109.39597315436242</v>
      </c>
      <c r="D66">
        <v>110.06711409395973</v>
      </c>
      <c r="E66">
        <v>114.09395973154362</v>
      </c>
      <c r="F66">
        <v>124.16107382550334</v>
      </c>
      <c r="G66">
        <v>126.8456375838926</v>
      </c>
    </row>
    <row r="67" spans="1:7" x14ac:dyDescent="0.25">
      <c r="A67" t="s">
        <v>7</v>
      </c>
      <c r="B67">
        <v>67</v>
      </c>
      <c r="C67">
        <v>111.71875</v>
      </c>
      <c r="D67">
        <v>115.625</v>
      </c>
      <c r="E67">
        <v>119.53125</v>
      </c>
      <c r="F67">
        <v>133.59375</v>
      </c>
      <c r="G67">
        <v>133.59375</v>
      </c>
    </row>
    <row r="68" spans="1:7" x14ac:dyDescent="0.25">
      <c r="A68" t="s">
        <v>7</v>
      </c>
      <c r="B68">
        <v>68</v>
      </c>
      <c r="C68">
        <v>108.33333333333333</v>
      </c>
      <c r="D68">
        <v>108.33333333333333</v>
      </c>
      <c r="E68">
        <v>112.17948717948718</v>
      </c>
      <c r="F68">
        <v>126.92307692307693</v>
      </c>
      <c r="G68">
        <v>128.2051282051282</v>
      </c>
    </row>
    <row r="69" spans="1:7" x14ac:dyDescent="0.25">
      <c r="A69" t="s">
        <v>7</v>
      </c>
      <c r="B69">
        <v>69</v>
      </c>
      <c r="C69">
        <v>124.64788732394368</v>
      </c>
      <c r="D69">
        <v>130.98591549295776</v>
      </c>
      <c r="E69">
        <v>138.02816901408451</v>
      </c>
      <c r="F69">
        <v>145.77464788732394</v>
      </c>
      <c r="G69">
        <v>144.36619718309859</v>
      </c>
    </row>
    <row r="70" spans="1:7" x14ac:dyDescent="0.25">
      <c r="A70" t="s">
        <v>7</v>
      </c>
      <c r="B70">
        <v>70</v>
      </c>
      <c r="C70">
        <v>114.00000000000001</v>
      </c>
      <c r="D70">
        <v>114.66666666666667</v>
      </c>
      <c r="E70">
        <v>115.33333333333333</v>
      </c>
      <c r="F70">
        <v>114.00000000000001</v>
      </c>
      <c r="G70">
        <v>117.33333333333333</v>
      </c>
    </row>
    <row r="71" spans="1:7" x14ac:dyDescent="0.25">
      <c r="A71" t="s">
        <v>7</v>
      </c>
      <c r="B71">
        <v>71</v>
      </c>
      <c r="C71">
        <v>110.34482758620689</v>
      </c>
      <c r="D71">
        <v>109.6551724137931</v>
      </c>
      <c r="E71">
        <v>115.86206896551725</v>
      </c>
      <c r="F71">
        <v>119.31034482758621</v>
      </c>
      <c r="G71">
        <v>117.24137931034481</v>
      </c>
    </row>
    <row r="72" spans="1:7" x14ac:dyDescent="0.25">
      <c r="A72" t="s">
        <v>7</v>
      </c>
      <c r="B72">
        <v>72</v>
      </c>
      <c r="C72">
        <v>113.48314606741572</v>
      </c>
      <c r="D72">
        <v>115.73033707865167</v>
      </c>
      <c r="E72">
        <v>120.78651685393258</v>
      </c>
      <c r="F72">
        <v>127.52808988764043</v>
      </c>
      <c r="G72">
        <v>129.21348314606743</v>
      </c>
    </row>
    <row r="73" spans="1:7" x14ac:dyDescent="0.25">
      <c r="A73" t="s">
        <v>7</v>
      </c>
      <c r="B73">
        <v>73</v>
      </c>
      <c r="C73">
        <v>114.81481481481481</v>
      </c>
      <c r="D73">
        <v>117.77777777777779</v>
      </c>
      <c r="E73">
        <v>121.48148148148148</v>
      </c>
      <c r="F73">
        <v>133.33333333333331</v>
      </c>
      <c r="G73">
        <v>137.03703703703704</v>
      </c>
    </row>
    <row r="74" spans="1:7" x14ac:dyDescent="0.25">
      <c r="A74" t="s">
        <v>7</v>
      </c>
      <c r="B74">
        <v>74</v>
      </c>
      <c r="C74">
        <v>119.7278911564626</v>
      </c>
      <c r="D74">
        <v>123.80952380952381</v>
      </c>
      <c r="E74">
        <v>128.57142857142856</v>
      </c>
      <c r="F74">
        <v>121.76870748299319</v>
      </c>
      <c r="G74">
        <v>121.08843537414967</v>
      </c>
    </row>
    <row r="75" spans="1:7" x14ac:dyDescent="0.25">
      <c r="A75" t="s">
        <v>7</v>
      </c>
      <c r="B75">
        <v>75</v>
      </c>
      <c r="C75">
        <v>105.42168674698796</v>
      </c>
      <c r="D75">
        <v>104.81927710843372</v>
      </c>
      <c r="E75">
        <v>109.63855421686746</v>
      </c>
      <c r="F75">
        <v>106.62650602409639</v>
      </c>
      <c r="G75">
        <v>109.63855421686746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0B28-C929-4B4D-AD0F-342D0412A07F}">
  <dimension ref="A1:B87"/>
  <sheetViews>
    <sheetView workbookViewId="0">
      <selection activeCell="H27" sqref="H27"/>
    </sheetView>
  </sheetViews>
  <sheetFormatPr defaultRowHeight="15" x14ac:dyDescent="0.25"/>
  <sheetData>
    <row r="1" spans="1:2" x14ac:dyDescent="0.25">
      <c r="A1" t="s">
        <v>1</v>
      </c>
      <c r="B1" t="s">
        <v>19</v>
      </c>
    </row>
    <row r="2" spans="1:2" x14ac:dyDescent="0.25">
      <c r="A2">
        <v>1</v>
      </c>
      <c r="B2">
        <v>377.50000000000006</v>
      </c>
    </row>
    <row r="3" spans="1:2" x14ac:dyDescent="0.25">
      <c r="A3">
        <v>2</v>
      </c>
      <c r="B3">
        <v>222.50000000000003</v>
      </c>
    </row>
    <row r="4" spans="1:2" x14ac:dyDescent="0.25">
      <c r="A4">
        <v>3</v>
      </c>
      <c r="B4">
        <v>163.75000000000003</v>
      </c>
    </row>
    <row r="5" spans="1:2" x14ac:dyDescent="0.25">
      <c r="A5">
        <v>4</v>
      </c>
      <c r="B5">
        <v>137.91666666666666</v>
      </c>
    </row>
    <row r="6" spans="1:2" x14ac:dyDescent="0.25">
      <c r="A6">
        <v>6</v>
      </c>
      <c r="B6">
        <v>186.25000000000006</v>
      </c>
    </row>
    <row r="7" spans="1:2" x14ac:dyDescent="0.25">
      <c r="A7">
        <v>7</v>
      </c>
      <c r="B7">
        <v>175.00000000000003</v>
      </c>
    </row>
    <row r="8" spans="1:2" x14ac:dyDescent="0.25">
      <c r="A8">
        <v>8</v>
      </c>
      <c r="B8">
        <v>122.50000000000003</v>
      </c>
    </row>
    <row r="9" spans="1:2" x14ac:dyDescent="0.25">
      <c r="A9">
        <v>9</v>
      </c>
      <c r="B9">
        <v>177.50000000000003</v>
      </c>
    </row>
    <row r="10" spans="1:2" x14ac:dyDescent="0.25">
      <c r="A10">
        <v>10</v>
      </c>
      <c r="B10">
        <v>350</v>
      </c>
    </row>
    <row r="11" spans="1:2" x14ac:dyDescent="0.25">
      <c r="A11">
        <v>11</v>
      </c>
      <c r="B11">
        <v>100.41666666666667</v>
      </c>
    </row>
    <row r="12" spans="1:2" x14ac:dyDescent="0.25">
      <c r="A12">
        <v>12</v>
      </c>
      <c r="B12">
        <v>334.58333333333331</v>
      </c>
    </row>
    <row r="13" spans="1:2" x14ac:dyDescent="0.25">
      <c r="A13">
        <v>13</v>
      </c>
      <c r="B13">
        <v>124.58333333333336</v>
      </c>
    </row>
    <row r="14" spans="1:2" x14ac:dyDescent="0.25">
      <c r="A14">
        <v>14</v>
      </c>
      <c r="B14">
        <v>114.16666666666669</v>
      </c>
    </row>
    <row r="15" spans="1:2" x14ac:dyDescent="0.25">
      <c r="A15">
        <v>15</v>
      </c>
      <c r="B15">
        <v>270.83333333333337</v>
      </c>
    </row>
    <row r="16" spans="1:2" x14ac:dyDescent="0.25">
      <c r="A16">
        <v>16</v>
      </c>
      <c r="B16">
        <v>198.33333333333334</v>
      </c>
    </row>
    <row r="17" spans="1:2" x14ac:dyDescent="0.25">
      <c r="A17">
        <v>17</v>
      </c>
      <c r="B17">
        <v>121.25000000000003</v>
      </c>
    </row>
    <row r="18" spans="1:2" x14ac:dyDescent="0.25">
      <c r="A18">
        <v>18</v>
      </c>
      <c r="B18">
        <v>360.41666666666674</v>
      </c>
    </row>
    <row r="19" spans="1:2" x14ac:dyDescent="0.25">
      <c r="A19">
        <v>19</v>
      </c>
      <c r="B19">
        <v>371.25</v>
      </c>
    </row>
    <row r="20" spans="1:2" x14ac:dyDescent="0.25">
      <c r="A20">
        <v>20</v>
      </c>
      <c r="B20">
        <v>186.66666666666671</v>
      </c>
    </row>
    <row r="21" spans="1:2" x14ac:dyDescent="0.25">
      <c r="A21">
        <v>21</v>
      </c>
      <c r="B21">
        <v>177.08333333333337</v>
      </c>
    </row>
    <row r="22" spans="1:2" x14ac:dyDescent="0.25">
      <c r="A22">
        <v>22</v>
      </c>
      <c r="B22">
        <v>216.66666666666669</v>
      </c>
    </row>
    <row r="23" spans="1:2" x14ac:dyDescent="0.25">
      <c r="A23">
        <v>23</v>
      </c>
      <c r="B23">
        <v>319.16666666666663</v>
      </c>
    </row>
    <row r="24" spans="1:2" x14ac:dyDescent="0.25">
      <c r="A24">
        <v>24</v>
      </c>
      <c r="B24">
        <v>344.16666666666669</v>
      </c>
    </row>
    <row r="25" spans="1:2" x14ac:dyDescent="0.25">
      <c r="A25">
        <v>25</v>
      </c>
      <c r="B25">
        <v>343.33333333333337</v>
      </c>
    </row>
    <row r="26" spans="1:2" x14ac:dyDescent="0.25">
      <c r="A26">
        <v>26</v>
      </c>
      <c r="B26">
        <v>240.83333333333334</v>
      </c>
    </row>
    <row r="27" spans="1:2" x14ac:dyDescent="0.25">
      <c r="A27">
        <v>27</v>
      </c>
      <c r="B27">
        <v>417.91666666666674</v>
      </c>
    </row>
    <row r="28" spans="1:2" x14ac:dyDescent="0.25">
      <c r="A28">
        <v>28</v>
      </c>
      <c r="B28">
        <v>206.66666666666669</v>
      </c>
    </row>
    <row r="29" spans="1:2" x14ac:dyDescent="0.25">
      <c r="A29">
        <v>29</v>
      </c>
      <c r="B29">
        <v>732.91666666666686</v>
      </c>
    </row>
    <row r="30" spans="1:2" x14ac:dyDescent="0.25">
      <c r="A30">
        <v>30</v>
      </c>
      <c r="B30">
        <v>178.33333333333337</v>
      </c>
    </row>
    <row r="31" spans="1:2" x14ac:dyDescent="0.25">
      <c r="A31">
        <v>31</v>
      </c>
      <c r="B31">
        <v>166.25000000000003</v>
      </c>
    </row>
    <row r="32" spans="1:2" x14ac:dyDescent="0.25">
      <c r="A32">
        <v>32</v>
      </c>
      <c r="B32">
        <v>76.250000000000028</v>
      </c>
    </row>
    <row r="33" spans="1:2" x14ac:dyDescent="0.25">
      <c r="A33">
        <v>33</v>
      </c>
      <c r="B33">
        <v>189.58333333333334</v>
      </c>
    </row>
    <row r="34" spans="1:2" x14ac:dyDescent="0.25">
      <c r="A34">
        <v>34</v>
      </c>
      <c r="B34">
        <v>599.16666666666674</v>
      </c>
    </row>
    <row r="35" spans="1:2" x14ac:dyDescent="0.25">
      <c r="A35">
        <v>35</v>
      </c>
      <c r="B35">
        <v>486.6666666666668</v>
      </c>
    </row>
    <row r="36" spans="1:2" x14ac:dyDescent="0.25">
      <c r="A36">
        <v>36</v>
      </c>
      <c r="B36">
        <v>392.50000000000006</v>
      </c>
    </row>
    <row r="37" spans="1:2" x14ac:dyDescent="0.25">
      <c r="A37">
        <v>37</v>
      </c>
      <c r="B37">
        <v>390.83333333333337</v>
      </c>
    </row>
    <row r="38" spans="1:2" x14ac:dyDescent="0.25">
      <c r="A38">
        <v>38</v>
      </c>
      <c r="B38">
        <v>259.58333333333337</v>
      </c>
    </row>
    <row r="39" spans="1:2" x14ac:dyDescent="0.25">
      <c r="A39">
        <v>39</v>
      </c>
      <c r="B39">
        <v>227.91666666666671</v>
      </c>
    </row>
    <row r="40" spans="1:2" x14ac:dyDescent="0.25">
      <c r="A40">
        <v>40</v>
      </c>
      <c r="B40">
        <v>364.16666666666669</v>
      </c>
    </row>
    <row r="41" spans="1:2" x14ac:dyDescent="0.25">
      <c r="A41">
        <v>41</v>
      </c>
      <c r="B41">
        <v>184.16666666666671</v>
      </c>
    </row>
    <row r="42" spans="1:2" x14ac:dyDescent="0.25">
      <c r="A42">
        <v>42</v>
      </c>
      <c r="B42">
        <v>369.58333333333331</v>
      </c>
    </row>
    <row r="43" spans="1:2" x14ac:dyDescent="0.25">
      <c r="A43">
        <v>43</v>
      </c>
      <c r="B43">
        <v>330.41666666666669</v>
      </c>
    </row>
    <row r="44" spans="1:2" x14ac:dyDescent="0.25">
      <c r="A44">
        <v>45</v>
      </c>
      <c r="B44">
        <v>274.58333333333343</v>
      </c>
    </row>
    <row r="45" spans="1:2" x14ac:dyDescent="0.25">
      <c r="A45">
        <v>46</v>
      </c>
      <c r="B45">
        <v>494.16666666666669</v>
      </c>
    </row>
    <row r="46" spans="1:2" x14ac:dyDescent="0.25">
      <c r="A46">
        <v>47</v>
      </c>
      <c r="B46">
        <v>176.25000000000003</v>
      </c>
    </row>
    <row r="47" spans="1:2" x14ac:dyDescent="0.25">
      <c r="A47">
        <v>48</v>
      </c>
      <c r="B47">
        <v>114.16666666666669</v>
      </c>
    </row>
    <row r="48" spans="1:2" x14ac:dyDescent="0.25">
      <c r="A48">
        <v>49</v>
      </c>
      <c r="B48">
        <v>256.25</v>
      </c>
    </row>
    <row r="49" spans="1:2" x14ac:dyDescent="0.25">
      <c r="A49">
        <v>50</v>
      </c>
      <c r="B49">
        <v>145.83333333333334</v>
      </c>
    </row>
    <row r="50" spans="1:2" x14ac:dyDescent="0.25">
      <c r="A50">
        <v>51</v>
      </c>
      <c r="B50">
        <v>187.50000000000006</v>
      </c>
    </row>
    <row r="51" spans="1:2" x14ac:dyDescent="0.25">
      <c r="A51">
        <v>52</v>
      </c>
      <c r="B51">
        <v>204.58333333333334</v>
      </c>
    </row>
    <row r="52" spans="1:2" x14ac:dyDescent="0.25">
      <c r="A52">
        <v>53</v>
      </c>
      <c r="B52">
        <v>294.58333333333343</v>
      </c>
    </row>
    <row r="53" spans="1:2" x14ac:dyDescent="0.25">
      <c r="A53">
        <v>54</v>
      </c>
      <c r="B53">
        <v>119.58333333333336</v>
      </c>
    </row>
    <row r="54" spans="1:2" x14ac:dyDescent="0.25">
      <c r="A54">
        <v>55</v>
      </c>
      <c r="B54">
        <v>209.16666666666669</v>
      </c>
    </row>
    <row r="55" spans="1:2" x14ac:dyDescent="0.25">
      <c r="A55">
        <v>56</v>
      </c>
      <c r="B55">
        <v>309.16666666666674</v>
      </c>
    </row>
    <row r="56" spans="1:2" x14ac:dyDescent="0.25">
      <c r="A56">
        <v>57</v>
      </c>
      <c r="B56">
        <v>466.66666666666674</v>
      </c>
    </row>
    <row r="57" spans="1:2" x14ac:dyDescent="0.25">
      <c r="A57">
        <v>58</v>
      </c>
      <c r="B57">
        <v>160.00000000000003</v>
      </c>
    </row>
    <row r="58" spans="1:2" x14ac:dyDescent="0.25">
      <c r="A58">
        <v>59</v>
      </c>
      <c r="B58">
        <v>89.583333333333329</v>
      </c>
    </row>
    <row r="59" spans="1:2" x14ac:dyDescent="0.25">
      <c r="A59">
        <v>60</v>
      </c>
      <c r="B59">
        <v>225.00000000000003</v>
      </c>
    </row>
    <row r="60" spans="1:2" x14ac:dyDescent="0.25">
      <c r="A60">
        <v>61</v>
      </c>
      <c r="B60">
        <v>532.08333333333348</v>
      </c>
    </row>
    <row r="61" spans="1:2" x14ac:dyDescent="0.25">
      <c r="A61">
        <v>62</v>
      </c>
      <c r="B61">
        <v>877.0833333333336</v>
      </c>
    </row>
    <row r="62" spans="1:2" x14ac:dyDescent="0.25">
      <c r="A62">
        <v>63</v>
      </c>
      <c r="B62">
        <v>2086.2500000000005</v>
      </c>
    </row>
    <row r="63" spans="1:2" x14ac:dyDescent="0.25">
      <c r="A63">
        <v>64</v>
      </c>
      <c r="B63">
        <v>1745.4166666666667</v>
      </c>
    </row>
    <row r="64" spans="1:2" x14ac:dyDescent="0.25">
      <c r="A64">
        <v>65</v>
      </c>
      <c r="B64">
        <v>120.83333333333336</v>
      </c>
    </row>
    <row r="65" spans="1:2" x14ac:dyDescent="0.25">
      <c r="A65">
        <v>67</v>
      </c>
      <c r="B65">
        <v>246.66666666666669</v>
      </c>
    </row>
    <row r="66" spans="1:2" x14ac:dyDescent="0.25">
      <c r="A66">
        <v>68</v>
      </c>
      <c r="B66">
        <v>341.66666666666669</v>
      </c>
    </row>
    <row r="67" spans="1:2" x14ac:dyDescent="0.25">
      <c r="A67">
        <v>69</v>
      </c>
      <c r="B67">
        <v>381.66666666666674</v>
      </c>
    </row>
    <row r="68" spans="1:2" x14ac:dyDescent="0.25">
      <c r="A68">
        <v>70</v>
      </c>
      <c r="B68">
        <v>897.91666666666686</v>
      </c>
    </row>
    <row r="69" spans="1:2" x14ac:dyDescent="0.25">
      <c r="A69">
        <v>71</v>
      </c>
      <c r="B69">
        <v>874.16666666666674</v>
      </c>
    </row>
    <row r="70" spans="1:2" x14ac:dyDescent="0.25">
      <c r="A70">
        <v>72</v>
      </c>
      <c r="B70">
        <v>256.66666666666669</v>
      </c>
    </row>
    <row r="71" spans="1:2" x14ac:dyDescent="0.25">
      <c r="A71">
        <v>73</v>
      </c>
      <c r="B71">
        <v>121.6666666666667</v>
      </c>
    </row>
    <row r="72" spans="1:2" x14ac:dyDescent="0.25">
      <c r="A72">
        <v>74</v>
      </c>
      <c r="B72">
        <v>1790.4166666666667</v>
      </c>
    </row>
    <row r="73" spans="1:2" x14ac:dyDescent="0.25">
      <c r="A73">
        <v>75</v>
      </c>
      <c r="B73">
        <v>1588.3333333333335</v>
      </c>
    </row>
    <row r="74" spans="1:2" x14ac:dyDescent="0.25">
      <c r="A74">
        <v>76</v>
      </c>
      <c r="B74">
        <v>121.25000000000003</v>
      </c>
    </row>
    <row r="75" spans="1:2" x14ac:dyDescent="0.25">
      <c r="A75">
        <v>77</v>
      </c>
      <c r="B75">
        <v>110.00000000000001</v>
      </c>
    </row>
    <row r="76" spans="1:2" x14ac:dyDescent="0.25">
      <c r="A76">
        <v>79</v>
      </c>
      <c r="B76">
        <v>133.75000000000003</v>
      </c>
    </row>
    <row r="77" spans="1:2" x14ac:dyDescent="0.25">
      <c r="A77">
        <v>80</v>
      </c>
      <c r="B77">
        <v>425.00000000000006</v>
      </c>
    </row>
    <row r="78" spans="1:2" x14ac:dyDescent="0.25">
      <c r="A78">
        <v>81</v>
      </c>
      <c r="B78">
        <v>80.4166666666667</v>
      </c>
    </row>
    <row r="79" spans="1:2" x14ac:dyDescent="0.25">
      <c r="A79">
        <v>82</v>
      </c>
      <c r="B79">
        <v>75.833333333333357</v>
      </c>
    </row>
    <row r="80" spans="1:2" x14ac:dyDescent="0.25">
      <c r="A80">
        <v>83</v>
      </c>
      <c r="B80">
        <v>294.58333333333343</v>
      </c>
    </row>
    <row r="81" spans="1:2" x14ac:dyDescent="0.25">
      <c r="A81">
        <v>84</v>
      </c>
      <c r="B81">
        <v>306.66666666666674</v>
      </c>
    </row>
    <row r="82" spans="1:2" x14ac:dyDescent="0.25">
      <c r="A82">
        <v>85</v>
      </c>
      <c r="B82">
        <v>425.00000000000006</v>
      </c>
    </row>
    <row r="83" spans="1:2" x14ac:dyDescent="0.25">
      <c r="A83">
        <v>86</v>
      </c>
      <c r="B83">
        <v>235.83333333333334</v>
      </c>
    </row>
    <row r="84" spans="1:2" x14ac:dyDescent="0.25">
      <c r="A84">
        <v>87</v>
      </c>
      <c r="B84">
        <v>120.83333333333336</v>
      </c>
    </row>
    <row r="85" spans="1:2" x14ac:dyDescent="0.25">
      <c r="A85">
        <v>88</v>
      </c>
      <c r="B85">
        <v>158.33333333333334</v>
      </c>
    </row>
    <row r="86" spans="1:2" x14ac:dyDescent="0.25">
      <c r="A86">
        <v>89</v>
      </c>
      <c r="B86">
        <v>137.08333333333337</v>
      </c>
    </row>
    <row r="87" spans="1:2" x14ac:dyDescent="0.25">
      <c r="A87">
        <v>90</v>
      </c>
      <c r="B87">
        <v>236.25000000000006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FD61B8-AA2E-4893-AB21-39B372DA6E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AD2BDB-3A83-4C2A-BE82-8EE56D13E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909FD-B4F4-40CF-A2A8-39843DE1E28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 data</vt:lpstr>
      <vt:lpstr>BAL protein</vt:lpstr>
      <vt:lpstr>Data_Reordered_BW</vt:lpstr>
      <vt:lpstr>Data_Reordered_BAL_protein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Huckestein, Brydie</dc:creator>
  <cp:keywords/>
  <dc:description/>
  <cp:lastModifiedBy>Suresh, Ramakrishna</cp:lastModifiedBy>
  <cp:revision/>
  <dcterms:created xsi:type="dcterms:W3CDTF">2022-08-11T14:51:17Z</dcterms:created>
  <dcterms:modified xsi:type="dcterms:W3CDTF">2025-03-13T15:00:44Z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2022-08-11T14:51:17Z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7c8e801f-39b5-458b-a835-27f18bbbc776</vt:lpwstr>
  </property>
  <property fmtid="{D5CDD505-2E9C-101B-9397-08002B2CF9AE}" pid="8" name="MSIP_Label_5e4b1be8-281e-475d-98b0-21c3457e5a46_ContentBits">
    <vt:lpwstr>0</vt:lpwstr>
  </property>
  <property fmtid="{D5CDD505-2E9C-101B-9397-08002B2CF9AE}" pid="9" name="ContentTypeId">
    <vt:lpwstr>0x0101004D7DEDB721378F4ABE01DF43C082BF72</vt:lpwstr>
  </property>
</Properties>
</file>