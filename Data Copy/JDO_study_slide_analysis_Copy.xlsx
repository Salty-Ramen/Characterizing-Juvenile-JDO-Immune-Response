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itt-my.sharepoint.com/personal/ras365_pitt_edu/Documents/Documents/Research/JDO Project/Data Copy/"/>
    </mc:Choice>
  </mc:AlternateContent>
  <xr:revisionPtr revIDLastSave="25" documentId="13_ncr:1_{D00F9250-1A83-48A8-A420-9C91FF2CFD72}" xr6:coauthVersionLast="47" xr6:coauthVersionMax="47" xr10:uidLastSave="{86A20127-035B-47F1-8BF4-0A57012BD160}"/>
  <bookViews>
    <workbookView xWindow="-120" yWindow="-120" windowWidth="29040" windowHeight="15840" firstSheet="6" activeTab="13" xr2:uid="{2FBFA38F-A61C-410E-80DF-10E95203F291}"/>
  </bookViews>
  <sheets>
    <sheet name="D0 Males" sheetId="1" r:id="rId1"/>
    <sheet name="D3 Males" sheetId="8" r:id="rId2"/>
    <sheet name="D4 Males" sheetId="9" r:id="rId3"/>
    <sheet name="D5 Males" sheetId="10" r:id="rId4"/>
    <sheet name="D8 Males" sheetId="11" r:id="rId5"/>
    <sheet name="Data_Reordered_Male" sheetId="16" r:id="rId6"/>
    <sheet name="D21 Males" sheetId="7" r:id="rId7"/>
    <sheet name="D0 Females" sheetId="5" r:id="rId8"/>
    <sheet name="D3 Females" sheetId="12" r:id="rId9"/>
    <sheet name="D4 Females" sheetId="13" r:id="rId10"/>
    <sheet name="D5 Females" sheetId="14" r:id="rId11"/>
    <sheet name="D8 Females" sheetId="15" r:id="rId12"/>
    <sheet name="D21 Females" sheetId="6" r:id="rId13"/>
    <sheet name="Data_Reordered_Female" sheetId="17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4" l="1"/>
  <c r="E3" i="15"/>
  <c r="E4" i="15"/>
  <c r="E5" i="15"/>
  <c r="E6" i="15"/>
  <c r="H6" i="15" s="1"/>
  <c r="E7" i="15"/>
  <c r="E8" i="15"/>
  <c r="E9" i="15"/>
  <c r="E10" i="15"/>
  <c r="H10" i="15" s="1"/>
  <c r="E11" i="15"/>
  <c r="E12" i="15"/>
  <c r="E13" i="15"/>
  <c r="E14" i="15"/>
  <c r="H14" i="15" s="1"/>
  <c r="E15" i="15"/>
  <c r="E3" i="14"/>
  <c r="E4" i="14"/>
  <c r="E5" i="14"/>
  <c r="I5" i="14" s="1"/>
  <c r="E6" i="14"/>
  <c r="J6" i="14" s="1"/>
  <c r="E7" i="14"/>
  <c r="J7" i="14" s="1"/>
  <c r="E8" i="14"/>
  <c r="J8" i="14" s="1"/>
  <c r="E9" i="14"/>
  <c r="I9" i="14" s="1"/>
  <c r="E10" i="14"/>
  <c r="J10" i="14" s="1"/>
  <c r="E11" i="14"/>
  <c r="E12" i="14"/>
  <c r="E13" i="14"/>
  <c r="I13" i="14" s="1"/>
  <c r="E14" i="14"/>
  <c r="J14" i="14" s="1"/>
  <c r="E15" i="14"/>
  <c r="J15" i="14" s="1"/>
  <c r="E16" i="14"/>
  <c r="H16" i="14" s="1"/>
  <c r="I16" i="14"/>
  <c r="N16" i="14"/>
  <c r="L16" i="14"/>
  <c r="M16" i="14"/>
  <c r="E3" i="13"/>
  <c r="H3" i="13" s="1"/>
  <c r="E4" i="13"/>
  <c r="I4" i="13" s="1"/>
  <c r="E5" i="13"/>
  <c r="J5" i="13" s="1"/>
  <c r="E6" i="13"/>
  <c r="H6" i="13" s="1"/>
  <c r="E7" i="13"/>
  <c r="I7" i="13" s="1"/>
  <c r="E8" i="13"/>
  <c r="J8" i="13" s="1"/>
  <c r="E9" i="13"/>
  <c r="I9" i="13" s="1"/>
  <c r="E10" i="13"/>
  <c r="H10" i="13" s="1"/>
  <c r="E11" i="13"/>
  <c r="I11" i="13" s="1"/>
  <c r="E12" i="13"/>
  <c r="J12" i="13" s="1"/>
  <c r="E13" i="13"/>
  <c r="J13" i="13" s="1"/>
  <c r="E14" i="13"/>
  <c r="H14" i="13" s="1"/>
  <c r="E15" i="13"/>
  <c r="J15" i="13" s="1"/>
  <c r="L16" i="12"/>
  <c r="M16" i="12"/>
  <c r="N16" i="12"/>
  <c r="E16" i="12"/>
  <c r="J16" i="12" s="1"/>
  <c r="E15" i="12"/>
  <c r="J15" i="12" s="1"/>
  <c r="E3" i="12"/>
  <c r="H3" i="12" s="1"/>
  <c r="E4" i="12"/>
  <c r="I4" i="12" s="1"/>
  <c r="E5" i="12"/>
  <c r="I5" i="12" s="1"/>
  <c r="E6" i="12"/>
  <c r="I6" i="12" s="1"/>
  <c r="E7" i="12"/>
  <c r="E8" i="12"/>
  <c r="J8" i="12" s="1"/>
  <c r="E9" i="12"/>
  <c r="J9" i="12" s="1"/>
  <c r="E10" i="12"/>
  <c r="I10" i="12" s="1"/>
  <c r="E11" i="12"/>
  <c r="E12" i="12"/>
  <c r="J12" i="12" s="1"/>
  <c r="E13" i="12"/>
  <c r="H13" i="12" s="1"/>
  <c r="E14" i="12"/>
  <c r="I14" i="12" s="1"/>
  <c r="N16" i="11"/>
  <c r="E3" i="11"/>
  <c r="H3" i="11" s="1"/>
  <c r="E4" i="11"/>
  <c r="E5" i="11"/>
  <c r="J5" i="11" s="1"/>
  <c r="E6" i="11"/>
  <c r="I6" i="11" s="1"/>
  <c r="E7" i="11"/>
  <c r="J7" i="11" s="1"/>
  <c r="E8" i="11"/>
  <c r="E9" i="11"/>
  <c r="J9" i="11" s="1"/>
  <c r="E10" i="11"/>
  <c r="I10" i="11" s="1"/>
  <c r="E11" i="11"/>
  <c r="H11" i="11" s="1"/>
  <c r="E12" i="11"/>
  <c r="H12" i="11" s="1"/>
  <c r="E13" i="11"/>
  <c r="J13" i="11" s="1"/>
  <c r="E14" i="11"/>
  <c r="I14" i="11" s="1"/>
  <c r="E15" i="11"/>
  <c r="J15" i="11" s="1"/>
  <c r="E16" i="11"/>
  <c r="I16" i="11" s="1"/>
  <c r="L16" i="11"/>
  <c r="M16" i="11"/>
  <c r="E2" i="15"/>
  <c r="J2" i="15" s="1"/>
  <c r="E2" i="14"/>
  <c r="J2" i="14" s="1"/>
  <c r="E2" i="13"/>
  <c r="I2" i="13" s="1"/>
  <c r="E2" i="12"/>
  <c r="E2" i="11"/>
  <c r="E3" i="10"/>
  <c r="E4" i="10"/>
  <c r="E5" i="10"/>
  <c r="E6" i="10"/>
  <c r="I6" i="10" s="1"/>
  <c r="E7" i="10"/>
  <c r="E8" i="10"/>
  <c r="E9" i="10"/>
  <c r="E10" i="10"/>
  <c r="I10" i="10" s="1"/>
  <c r="E11" i="10"/>
  <c r="E12" i="10"/>
  <c r="E13" i="10"/>
  <c r="E14" i="10"/>
  <c r="I14" i="10" s="1"/>
  <c r="E15" i="10"/>
  <c r="E16" i="10"/>
  <c r="E2" i="10"/>
  <c r="J16" i="10"/>
  <c r="I16" i="10"/>
  <c r="N16" i="10"/>
  <c r="H16" i="10"/>
  <c r="L16" i="10"/>
  <c r="M16" i="10"/>
  <c r="N15" i="15"/>
  <c r="M15" i="15"/>
  <c r="L15" i="15"/>
  <c r="J15" i="15"/>
  <c r="I15" i="15"/>
  <c r="H15" i="15"/>
  <c r="N14" i="15"/>
  <c r="M14" i="15"/>
  <c r="L14" i="15"/>
  <c r="N13" i="15"/>
  <c r="M13" i="15"/>
  <c r="L13" i="15"/>
  <c r="J13" i="15"/>
  <c r="I13" i="15"/>
  <c r="H13" i="15"/>
  <c r="N12" i="15"/>
  <c r="M12" i="15"/>
  <c r="L12" i="15"/>
  <c r="J12" i="15"/>
  <c r="I12" i="15"/>
  <c r="H12" i="15"/>
  <c r="N11" i="15"/>
  <c r="M11" i="15"/>
  <c r="L11" i="15"/>
  <c r="J11" i="15"/>
  <c r="I11" i="15"/>
  <c r="H11" i="15"/>
  <c r="N10" i="15"/>
  <c r="M10" i="15"/>
  <c r="L10" i="15"/>
  <c r="I10" i="15"/>
  <c r="N9" i="15"/>
  <c r="M9" i="15"/>
  <c r="L9" i="15"/>
  <c r="J9" i="15"/>
  <c r="I9" i="15"/>
  <c r="H9" i="15"/>
  <c r="N8" i="15"/>
  <c r="M8" i="15"/>
  <c r="L8" i="15"/>
  <c r="J8" i="15"/>
  <c r="I8" i="15"/>
  <c r="H8" i="15"/>
  <c r="N7" i="15"/>
  <c r="M7" i="15"/>
  <c r="L7" i="15"/>
  <c r="J7" i="15"/>
  <c r="I7" i="15"/>
  <c r="H7" i="15"/>
  <c r="N6" i="15"/>
  <c r="M6" i="15"/>
  <c r="L6" i="15"/>
  <c r="I6" i="15"/>
  <c r="N5" i="15"/>
  <c r="M5" i="15"/>
  <c r="L5" i="15"/>
  <c r="J5" i="15"/>
  <c r="I5" i="15"/>
  <c r="H5" i="15"/>
  <c r="N4" i="15"/>
  <c r="M4" i="15"/>
  <c r="L4" i="15"/>
  <c r="J4" i="15"/>
  <c r="I4" i="15"/>
  <c r="H4" i="15"/>
  <c r="N3" i="15"/>
  <c r="M3" i="15"/>
  <c r="L3" i="15"/>
  <c r="J3" i="15"/>
  <c r="I3" i="15"/>
  <c r="H3" i="15"/>
  <c r="N2" i="15"/>
  <c r="M2" i="15"/>
  <c r="L2" i="15"/>
  <c r="H2" i="15"/>
  <c r="N15" i="14"/>
  <c r="M15" i="14"/>
  <c r="L15" i="14"/>
  <c r="I15" i="14"/>
  <c r="H15" i="14"/>
  <c r="N14" i="14"/>
  <c r="M14" i="14"/>
  <c r="L14" i="14"/>
  <c r="H14" i="14"/>
  <c r="N13" i="14"/>
  <c r="M13" i="14"/>
  <c r="L13" i="14"/>
  <c r="N12" i="14"/>
  <c r="M12" i="14"/>
  <c r="L12" i="14"/>
  <c r="J12" i="14"/>
  <c r="I12" i="14"/>
  <c r="H12" i="14"/>
  <c r="N11" i="14"/>
  <c r="M11" i="14"/>
  <c r="L11" i="14"/>
  <c r="J11" i="14"/>
  <c r="I11" i="14"/>
  <c r="H11" i="14"/>
  <c r="N10" i="14"/>
  <c r="M10" i="14"/>
  <c r="L10" i="14"/>
  <c r="H10" i="14"/>
  <c r="N9" i="14"/>
  <c r="M9" i="14"/>
  <c r="L9" i="14"/>
  <c r="N8" i="14"/>
  <c r="M8" i="14"/>
  <c r="L8" i="14"/>
  <c r="I8" i="14"/>
  <c r="H8" i="14"/>
  <c r="N7" i="14"/>
  <c r="M7" i="14"/>
  <c r="L7" i="14"/>
  <c r="H7" i="14"/>
  <c r="N6" i="14"/>
  <c r="M6" i="14"/>
  <c r="L6" i="14"/>
  <c r="N5" i="14"/>
  <c r="M5" i="14"/>
  <c r="L5" i="14"/>
  <c r="J5" i="14"/>
  <c r="N4" i="14"/>
  <c r="M4" i="14"/>
  <c r="J4" i="14"/>
  <c r="I4" i="14"/>
  <c r="H4" i="14"/>
  <c r="N3" i="14"/>
  <c r="M3" i="14"/>
  <c r="L3" i="14"/>
  <c r="J3" i="14"/>
  <c r="I3" i="14"/>
  <c r="H3" i="14"/>
  <c r="N2" i="14"/>
  <c r="M2" i="14"/>
  <c r="L2" i="14"/>
  <c r="H2" i="14"/>
  <c r="N15" i="13"/>
  <c r="M15" i="13"/>
  <c r="L15" i="13"/>
  <c r="I15" i="13"/>
  <c r="H15" i="13"/>
  <c r="N14" i="13"/>
  <c r="M14" i="13"/>
  <c r="L14" i="13"/>
  <c r="N13" i="13"/>
  <c r="M13" i="13"/>
  <c r="L13" i="13"/>
  <c r="N12" i="13"/>
  <c r="M12" i="13"/>
  <c r="L12" i="13"/>
  <c r="N11" i="13"/>
  <c r="M11" i="13"/>
  <c r="L11" i="13"/>
  <c r="J11" i="13"/>
  <c r="N10" i="13"/>
  <c r="M10" i="13"/>
  <c r="L10" i="13"/>
  <c r="N9" i="13"/>
  <c r="M9" i="13"/>
  <c r="L9" i="13"/>
  <c r="H9" i="13"/>
  <c r="N8" i="13"/>
  <c r="M8" i="13"/>
  <c r="L8" i="13"/>
  <c r="I8" i="13"/>
  <c r="H8" i="13"/>
  <c r="N7" i="13"/>
  <c r="M7" i="13"/>
  <c r="L7" i="13"/>
  <c r="J7" i="13"/>
  <c r="N6" i="13"/>
  <c r="M6" i="13"/>
  <c r="L6" i="13"/>
  <c r="N5" i="13"/>
  <c r="M5" i="13"/>
  <c r="L5" i="13"/>
  <c r="I5" i="13"/>
  <c r="H5" i="13"/>
  <c r="N4" i="13"/>
  <c r="M4" i="13"/>
  <c r="L4" i="13"/>
  <c r="J4" i="13"/>
  <c r="H4" i="13"/>
  <c r="N3" i="13"/>
  <c r="M3" i="13"/>
  <c r="L3" i="13"/>
  <c r="I3" i="13"/>
  <c r="N2" i="13"/>
  <c r="M2" i="13"/>
  <c r="L2" i="13"/>
  <c r="H2" i="13"/>
  <c r="N15" i="12"/>
  <c r="M15" i="12"/>
  <c r="L15" i="12"/>
  <c r="H15" i="12"/>
  <c r="N14" i="12"/>
  <c r="M14" i="12"/>
  <c r="L14" i="12"/>
  <c r="J14" i="12"/>
  <c r="N13" i="12"/>
  <c r="M13" i="12"/>
  <c r="L13" i="12"/>
  <c r="N12" i="12"/>
  <c r="M12" i="12"/>
  <c r="L12" i="12"/>
  <c r="H12" i="12"/>
  <c r="N11" i="12"/>
  <c r="M11" i="12"/>
  <c r="L11" i="12"/>
  <c r="J11" i="12"/>
  <c r="I11" i="12"/>
  <c r="H11" i="12"/>
  <c r="N10" i="12"/>
  <c r="M10" i="12"/>
  <c r="L10" i="12"/>
  <c r="N9" i="12"/>
  <c r="M9" i="12"/>
  <c r="L9" i="12"/>
  <c r="H9" i="12"/>
  <c r="N8" i="12"/>
  <c r="M8" i="12"/>
  <c r="L8" i="12"/>
  <c r="H8" i="12"/>
  <c r="N7" i="12"/>
  <c r="M7" i="12"/>
  <c r="L7" i="12"/>
  <c r="J7" i="12"/>
  <c r="I7" i="12"/>
  <c r="H7" i="12"/>
  <c r="N6" i="12"/>
  <c r="M6" i="12"/>
  <c r="L6" i="12"/>
  <c r="N5" i="12"/>
  <c r="M5" i="12"/>
  <c r="L5" i="12"/>
  <c r="H5" i="12"/>
  <c r="N4" i="12"/>
  <c r="M4" i="12"/>
  <c r="L4" i="12"/>
  <c r="J4" i="12"/>
  <c r="N3" i="12"/>
  <c r="M3" i="12"/>
  <c r="L3" i="12"/>
  <c r="I3" i="12"/>
  <c r="N2" i="12"/>
  <c r="M2" i="12"/>
  <c r="L2" i="12"/>
  <c r="J2" i="12"/>
  <c r="I2" i="12"/>
  <c r="H2" i="12"/>
  <c r="N15" i="11"/>
  <c r="M15" i="11"/>
  <c r="L15" i="11"/>
  <c r="I15" i="11"/>
  <c r="N14" i="11"/>
  <c r="M14" i="11"/>
  <c r="L14" i="11"/>
  <c r="N13" i="11"/>
  <c r="M13" i="11"/>
  <c r="L13" i="11"/>
  <c r="I13" i="11"/>
  <c r="H13" i="11"/>
  <c r="N12" i="11"/>
  <c r="M12" i="11"/>
  <c r="L12" i="11"/>
  <c r="J12" i="11"/>
  <c r="I12" i="11"/>
  <c r="N11" i="11"/>
  <c r="M11" i="11"/>
  <c r="L11" i="11"/>
  <c r="I11" i="11"/>
  <c r="N10" i="11"/>
  <c r="M10" i="11"/>
  <c r="L10" i="11"/>
  <c r="N9" i="11"/>
  <c r="M9" i="11"/>
  <c r="L9" i="11"/>
  <c r="H9" i="11"/>
  <c r="N8" i="11"/>
  <c r="M8" i="11"/>
  <c r="L8" i="11"/>
  <c r="J8" i="11"/>
  <c r="I8" i="11"/>
  <c r="H8" i="11"/>
  <c r="N7" i="11"/>
  <c r="M7" i="11"/>
  <c r="L7" i="11"/>
  <c r="I7" i="11"/>
  <c r="H7" i="11"/>
  <c r="N6" i="11"/>
  <c r="M6" i="11"/>
  <c r="L6" i="11"/>
  <c r="J6" i="11"/>
  <c r="N5" i="11"/>
  <c r="M5" i="11"/>
  <c r="L5" i="11"/>
  <c r="I5" i="11"/>
  <c r="H5" i="11"/>
  <c r="N4" i="11"/>
  <c r="M4" i="11"/>
  <c r="L4" i="11"/>
  <c r="J4" i="11"/>
  <c r="I4" i="11"/>
  <c r="H4" i="11"/>
  <c r="N3" i="11"/>
  <c r="M3" i="11"/>
  <c r="L3" i="11"/>
  <c r="I3" i="11"/>
  <c r="N2" i="11"/>
  <c r="M2" i="11"/>
  <c r="L2" i="11"/>
  <c r="J2" i="11"/>
  <c r="I2" i="11"/>
  <c r="H2" i="11"/>
  <c r="H3" i="10"/>
  <c r="I3" i="10"/>
  <c r="J3" i="10"/>
  <c r="L3" i="10"/>
  <c r="M3" i="10"/>
  <c r="N3" i="10"/>
  <c r="H4" i="10"/>
  <c r="I4" i="10"/>
  <c r="J4" i="10"/>
  <c r="L4" i="10"/>
  <c r="M4" i="10"/>
  <c r="N4" i="10"/>
  <c r="H5" i="10"/>
  <c r="I5" i="10"/>
  <c r="J5" i="10"/>
  <c r="L5" i="10"/>
  <c r="M5" i="10"/>
  <c r="N5" i="10"/>
  <c r="H6" i="10"/>
  <c r="L6" i="10"/>
  <c r="M6" i="10"/>
  <c r="N6" i="10"/>
  <c r="H7" i="10"/>
  <c r="I7" i="10"/>
  <c r="J7" i="10"/>
  <c r="L7" i="10"/>
  <c r="M7" i="10"/>
  <c r="N7" i="10"/>
  <c r="H8" i="10"/>
  <c r="I8" i="10"/>
  <c r="J8" i="10"/>
  <c r="L8" i="10"/>
  <c r="M8" i="10"/>
  <c r="N8" i="10"/>
  <c r="H9" i="10"/>
  <c r="I9" i="10"/>
  <c r="J9" i="10"/>
  <c r="L9" i="10"/>
  <c r="M9" i="10"/>
  <c r="N9" i="10"/>
  <c r="H10" i="10"/>
  <c r="L10" i="10"/>
  <c r="M10" i="10"/>
  <c r="N10" i="10"/>
  <c r="H11" i="10"/>
  <c r="I11" i="10"/>
  <c r="J11" i="10"/>
  <c r="L11" i="10"/>
  <c r="M11" i="10"/>
  <c r="N11" i="10"/>
  <c r="H12" i="10"/>
  <c r="I12" i="10"/>
  <c r="J12" i="10"/>
  <c r="L12" i="10"/>
  <c r="M12" i="10"/>
  <c r="N12" i="10"/>
  <c r="H13" i="10"/>
  <c r="I13" i="10"/>
  <c r="J13" i="10"/>
  <c r="L13" i="10"/>
  <c r="M13" i="10"/>
  <c r="N13" i="10"/>
  <c r="H14" i="10"/>
  <c r="L14" i="10"/>
  <c r="M14" i="10"/>
  <c r="N14" i="10"/>
  <c r="H15" i="10"/>
  <c r="I15" i="10"/>
  <c r="J15" i="10"/>
  <c r="L15" i="10"/>
  <c r="M15" i="10"/>
  <c r="N15" i="10"/>
  <c r="H3" i="9"/>
  <c r="I3" i="9"/>
  <c r="J3" i="9"/>
  <c r="L3" i="9"/>
  <c r="M3" i="9"/>
  <c r="N3" i="9"/>
  <c r="H4" i="9"/>
  <c r="I4" i="9"/>
  <c r="J4" i="9"/>
  <c r="L4" i="9"/>
  <c r="M4" i="9"/>
  <c r="N4" i="9"/>
  <c r="H5" i="9"/>
  <c r="I5" i="9"/>
  <c r="J5" i="9"/>
  <c r="L5" i="9"/>
  <c r="M5" i="9"/>
  <c r="N5" i="9"/>
  <c r="H6" i="9"/>
  <c r="I6" i="9"/>
  <c r="J6" i="9"/>
  <c r="L6" i="9"/>
  <c r="M6" i="9"/>
  <c r="N6" i="9"/>
  <c r="H7" i="9"/>
  <c r="I7" i="9"/>
  <c r="J7" i="9"/>
  <c r="L7" i="9"/>
  <c r="M7" i="9"/>
  <c r="N7" i="9"/>
  <c r="H8" i="9"/>
  <c r="I8" i="9"/>
  <c r="J8" i="9"/>
  <c r="L8" i="9"/>
  <c r="M8" i="9"/>
  <c r="N8" i="9"/>
  <c r="H9" i="9"/>
  <c r="I9" i="9"/>
  <c r="J9" i="9"/>
  <c r="L9" i="9"/>
  <c r="M9" i="9"/>
  <c r="N9" i="9"/>
  <c r="H10" i="9"/>
  <c r="I10" i="9"/>
  <c r="J10" i="9"/>
  <c r="L10" i="9"/>
  <c r="M10" i="9"/>
  <c r="N10" i="9"/>
  <c r="H11" i="9"/>
  <c r="I11" i="9"/>
  <c r="J11" i="9"/>
  <c r="L11" i="9"/>
  <c r="M11" i="9"/>
  <c r="N11" i="9"/>
  <c r="H12" i="9"/>
  <c r="I12" i="9"/>
  <c r="J12" i="9"/>
  <c r="L12" i="9"/>
  <c r="M12" i="9"/>
  <c r="N12" i="9"/>
  <c r="H13" i="9"/>
  <c r="I13" i="9"/>
  <c r="J13" i="9"/>
  <c r="L13" i="9"/>
  <c r="M13" i="9"/>
  <c r="N13" i="9"/>
  <c r="H14" i="9"/>
  <c r="I14" i="9"/>
  <c r="J14" i="9"/>
  <c r="L14" i="9"/>
  <c r="M14" i="9"/>
  <c r="N14" i="9"/>
  <c r="H15" i="9"/>
  <c r="I15" i="9"/>
  <c r="J15" i="9"/>
  <c r="L15" i="9"/>
  <c r="M15" i="9"/>
  <c r="N15" i="9"/>
  <c r="M7" i="8"/>
  <c r="L3" i="8"/>
  <c r="M3" i="8"/>
  <c r="N3" i="8"/>
  <c r="L4" i="8"/>
  <c r="M4" i="8"/>
  <c r="N4" i="8"/>
  <c r="L5" i="8"/>
  <c r="M5" i="8"/>
  <c r="N5" i="8"/>
  <c r="L6" i="8"/>
  <c r="M6" i="8"/>
  <c r="N6" i="8"/>
  <c r="L7" i="8"/>
  <c r="N7" i="8"/>
  <c r="L8" i="8"/>
  <c r="M8" i="8"/>
  <c r="N8" i="8"/>
  <c r="L9" i="8"/>
  <c r="M9" i="8"/>
  <c r="N9" i="8"/>
  <c r="L10" i="8"/>
  <c r="M10" i="8"/>
  <c r="N10" i="8"/>
  <c r="L11" i="8"/>
  <c r="M11" i="8"/>
  <c r="N11" i="8"/>
  <c r="L12" i="8"/>
  <c r="M12" i="8"/>
  <c r="N12" i="8"/>
  <c r="L13" i="8"/>
  <c r="M13" i="8"/>
  <c r="N13" i="8"/>
  <c r="L14" i="8"/>
  <c r="M14" i="8"/>
  <c r="N14" i="8"/>
  <c r="L15" i="8"/>
  <c r="M15" i="8"/>
  <c r="N15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E4" i="8"/>
  <c r="E5" i="8"/>
  <c r="E6" i="8"/>
  <c r="E7" i="8"/>
  <c r="E8" i="8"/>
  <c r="E9" i="8"/>
  <c r="E10" i="8"/>
  <c r="E11" i="8"/>
  <c r="E12" i="8"/>
  <c r="E13" i="8"/>
  <c r="E14" i="8"/>
  <c r="E15" i="8"/>
  <c r="N2" i="10"/>
  <c r="M2" i="10"/>
  <c r="L2" i="10"/>
  <c r="J2" i="10"/>
  <c r="I2" i="10"/>
  <c r="N2" i="9"/>
  <c r="M2" i="9"/>
  <c r="L2" i="9"/>
  <c r="J2" i="9"/>
  <c r="E2" i="9"/>
  <c r="I2" i="9" s="1"/>
  <c r="N2" i="8"/>
  <c r="M2" i="8"/>
  <c r="L2" i="8"/>
  <c r="J2" i="8"/>
  <c r="E2" i="8"/>
  <c r="I2" i="8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N6" i="6"/>
  <c r="N4" i="6"/>
  <c r="N5" i="6"/>
  <c r="N7" i="6"/>
  <c r="N8" i="6"/>
  <c r="N9" i="6"/>
  <c r="N10" i="6"/>
  <c r="N11" i="6"/>
  <c r="N12" i="6"/>
  <c r="N13" i="6"/>
  <c r="N14" i="6"/>
  <c r="N15" i="6"/>
  <c r="N16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3" i="6"/>
  <c r="E14" i="6"/>
  <c r="M16" i="5"/>
  <c r="N16" i="5"/>
  <c r="L16" i="5"/>
  <c r="E16" i="5"/>
  <c r="H16" i="5" s="1"/>
  <c r="E4" i="6"/>
  <c r="I4" i="6" s="1"/>
  <c r="E5" i="6"/>
  <c r="J5" i="6" s="1"/>
  <c r="E6" i="6"/>
  <c r="H6" i="6" s="1"/>
  <c r="E7" i="6"/>
  <c r="J7" i="6" s="1"/>
  <c r="E8" i="6"/>
  <c r="H8" i="6" s="1"/>
  <c r="E9" i="6"/>
  <c r="J9" i="6" s="1"/>
  <c r="E10" i="6"/>
  <c r="H10" i="6" s="1"/>
  <c r="E11" i="6"/>
  <c r="I11" i="6" s="1"/>
  <c r="E12" i="6"/>
  <c r="I12" i="6" s="1"/>
  <c r="E13" i="6"/>
  <c r="J13" i="6" s="1"/>
  <c r="H14" i="6"/>
  <c r="E15" i="6"/>
  <c r="J15" i="6" s="1"/>
  <c r="E16" i="6"/>
  <c r="I16" i="6" s="1"/>
  <c r="N4" i="5"/>
  <c r="N5" i="5"/>
  <c r="N6" i="5"/>
  <c r="N7" i="5"/>
  <c r="N8" i="5"/>
  <c r="N9" i="5"/>
  <c r="N10" i="5"/>
  <c r="N11" i="5"/>
  <c r="N12" i="5"/>
  <c r="N13" i="5"/>
  <c r="N14" i="5"/>
  <c r="N15" i="5"/>
  <c r="M4" i="5"/>
  <c r="M5" i="5"/>
  <c r="M6" i="5"/>
  <c r="M7" i="5"/>
  <c r="M8" i="5"/>
  <c r="M9" i="5"/>
  <c r="M10" i="5"/>
  <c r="M11" i="5"/>
  <c r="M12" i="5"/>
  <c r="M13" i="5"/>
  <c r="M14" i="5"/>
  <c r="M15" i="5"/>
  <c r="L4" i="5"/>
  <c r="L5" i="5"/>
  <c r="L6" i="5"/>
  <c r="L7" i="5"/>
  <c r="L8" i="5"/>
  <c r="L9" i="5"/>
  <c r="L10" i="5"/>
  <c r="L11" i="5"/>
  <c r="L12" i="5"/>
  <c r="L13" i="5"/>
  <c r="L14" i="5"/>
  <c r="L15" i="5"/>
  <c r="H15" i="5"/>
  <c r="H3" i="5"/>
  <c r="E4" i="5"/>
  <c r="J4" i="5" s="1"/>
  <c r="E5" i="5"/>
  <c r="J5" i="5" s="1"/>
  <c r="E6" i="5"/>
  <c r="J6" i="5" s="1"/>
  <c r="E7" i="5"/>
  <c r="J7" i="5" s="1"/>
  <c r="E8" i="5"/>
  <c r="J8" i="5" s="1"/>
  <c r="E9" i="5"/>
  <c r="I9" i="5" s="1"/>
  <c r="E10" i="5"/>
  <c r="H10" i="5" s="1"/>
  <c r="E11" i="5"/>
  <c r="J11" i="5" s="1"/>
  <c r="E12" i="5"/>
  <c r="J12" i="5" s="1"/>
  <c r="E13" i="5"/>
  <c r="J13" i="5" s="1"/>
  <c r="E14" i="5"/>
  <c r="I14" i="5" s="1"/>
  <c r="E15" i="5"/>
  <c r="I15" i="5" s="1"/>
  <c r="N4" i="7"/>
  <c r="N5" i="7"/>
  <c r="N6" i="7"/>
  <c r="N7" i="7"/>
  <c r="N8" i="7"/>
  <c r="N9" i="7"/>
  <c r="N10" i="7"/>
  <c r="N11" i="7"/>
  <c r="N12" i="7"/>
  <c r="N13" i="7"/>
  <c r="N14" i="7"/>
  <c r="N15" i="7"/>
  <c r="M4" i="7"/>
  <c r="M5" i="7"/>
  <c r="M6" i="7"/>
  <c r="M7" i="7"/>
  <c r="M8" i="7"/>
  <c r="M9" i="7"/>
  <c r="M10" i="7"/>
  <c r="M11" i="7"/>
  <c r="M12" i="7"/>
  <c r="M13" i="7"/>
  <c r="M14" i="7"/>
  <c r="M15" i="7"/>
  <c r="L4" i="7"/>
  <c r="L5" i="7"/>
  <c r="L6" i="7"/>
  <c r="L7" i="7"/>
  <c r="L8" i="7"/>
  <c r="L9" i="7"/>
  <c r="L10" i="7"/>
  <c r="L11" i="7"/>
  <c r="L12" i="7"/>
  <c r="L13" i="7"/>
  <c r="L14" i="7"/>
  <c r="L15" i="7"/>
  <c r="E4" i="7"/>
  <c r="H4" i="7" s="1"/>
  <c r="E5" i="7"/>
  <c r="I5" i="7" s="1"/>
  <c r="E6" i="7"/>
  <c r="H6" i="7" s="1"/>
  <c r="E7" i="7"/>
  <c r="H7" i="7" s="1"/>
  <c r="E8" i="7"/>
  <c r="J8" i="7" s="1"/>
  <c r="E9" i="7"/>
  <c r="I9" i="7" s="1"/>
  <c r="E10" i="7"/>
  <c r="H10" i="7" s="1"/>
  <c r="E11" i="7"/>
  <c r="H11" i="7" s="1"/>
  <c r="E12" i="7"/>
  <c r="J12" i="7" s="1"/>
  <c r="E13" i="7"/>
  <c r="I13" i="7" s="1"/>
  <c r="E14" i="7"/>
  <c r="H14" i="7" s="1"/>
  <c r="E15" i="7"/>
  <c r="H15" i="7" s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J4" i="1"/>
  <c r="I4" i="1"/>
  <c r="J3" i="1"/>
  <c r="I3" i="1"/>
  <c r="H4" i="1"/>
  <c r="H3" i="1"/>
  <c r="E10" i="1"/>
  <c r="J10" i="1" s="1"/>
  <c r="E4" i="1"/>
  <c r="E5" i="1"/>
  <c r="J5" i="1" s="1"/>
  <c r="E6" i="1"/>
  <c r="J6" i="1" s="1"/>
  <c r="E7" i="1"/>
  <c r="H7" i="1" s="1"/>
  <c r="E8" i="1"/>
  <c r="J8" i="1" s="1"/>
  <c r="E9" i="1"/>
  <c r="I9" i="1" s="1"/>
  <c r="E11" i="1"/>
  <c r="H11" i="1" s="1"/>
  <c r="E12" i="1"/>
  <c r="I12" i="1" s="1"/>
  <c r="E13" i="1"/>
  <c r="I13" i="1" s="1"/>
  <c r="E14" i="1"/>
  <c r="J14" i="1" s="1"/>
  <c r="E15" i="1"/>
  <c r="J15" i="1" s="1"/>
  <c r="E16" i="1"/>
  <c r="I16" i="1" s="1"/>
  <c r="E17" i="1"/>
  <c r="J17" i="1" s="1"/>
  <c r="N3" i="7"/>
  <c r="M3" i="7"/>
  <c r="L3" i="7"/>
  <c r="E3" i="7"/>
  <c r="H3" i="7" s="1"/>
  <c r="N3" i="6"/>
  <c r="E3" i="6"/>
  <c r="I3" i="6" s="1"/>
  <c r="N3" i="5"/>
  <c r="M3" i="5"/>
  <c r="L3" i="5"/>
  <c r="E3" i="5"/>
  <c r="J3" i="5" s="1"/>
  <c r="N3" i="1"/>
  <c r="E3" i="1"/>
  <c r="I14" i="15" l="1"/>
  <c r="J6" i="15"/>
  <c r="J10" i="15"/>
  <c r="J14" i="15"/>
  <c r="I2" i="15"/>
  <c r="J16" i="14"/>
  <c r="J13" i="14"/>
  <c r="J9" i="14"/>
  <c r="I7" i="14"/>
  <c r="H6" i="14"/>
  <c r="I2" i="14"/>
  <c r="I6" i="14"/>
  <c r="I10" i="14"/>
  <c r="I14" i="14"/>
  <c r="H5" i="14"/>
  <c r="H9" i="14"/>
  <c r="H13" i="14"/>
  <c r="J3" i="13"/>
  <c r="I13" i="13"/>
  <c r="H13" i="13"/>
  <c r="H12" i="13"/>
  <c r="I12" i="13"/>
  <c r="H7" i="13"/>
  <c r="I14" i="13"/>
  <c r="H11" i="13"/>
  <c r="I10" i="13"/>
  <c r="J9" i="13"/>
  <c r="I6" i="13"/>
  <c r="J2" i="13"/>
  <c r="J6" i="13"/>
  <c r="J10" i="13"/>
  <c r="J14" i="13"/>
  <c r="I12" i="12"/>
  <c r="I9" i="12"/>
  <c r="I8" i="12"/>
  <c r="H4" i="12"/>
  <c r="I13" i="12"/>
  <c r="J13" i="12"/>
  <c r="I16" i="12"/>
  <c r="H16" i="12"/>
  <c r="I15" i="12"/>
  <c r="J10" i="12"/>
  <c r="J6" i="12"/>
  <c r="J5" i="12"/>
  <c r="J3" i="12"/>
  <c r="H6" i="12"/>
  <c r="H10" i="12"/>
  <c r="H14" i="12"/>
  <c r="I9" i="11"/>
  <c r="J16" i="11"/>
  <c r="H16" i="11"/>
  <c r="H15" i="11"/>
  <c r="J14" i="11"/>
  <c r="J11" i="11"/>
  <c r="J10" i="11"/>
  <c r="J3" i="11"/>
  <c r="H6" i="11"/>
  <c r="H10" i="11"/>
  <c r="H14" i="11"/>
  <c r="J14" i="10"/>
  <c r="J10" i="10"/>
  <c r="J6" i="10"/>
  <c r="H2" i="8"/>
  <c r="H2" i="10"/>
  <c r="H2" i="9"/>
  <c r="H16" i="6"/>
  <c r="J16" i="6"/>
  <c r="I15" i="6"/>
  <c r="H15" i="6"/>
  <c r="J14" i="6"/>
  <c r="I14" i="6"/>
  <c r="H13" i="6"/>
  <c r="I13" i="6"/>
  <c r="J12" i="6"/>
  <c r="H12" i="6"/>
  <c r="H11" i="6"/>
  <c r="J11" i="6"/>
  <c r="J10" i="6"/>
  <c r="I10" i="6"/>
  <c r="H9" i="6"/>
  <c r="I9" i="6"/>
  <c r="I8" i="6"/>
  <c r="J8" i="6"/>
  <c r="I7" i="6"/>
  <c r="H7" i="6"/>
  <c r="J6" i="6"/>
  <c r="I6" i="6"/>
  <c r="H5" i="6"/>
  <c r="I5" i="6"/>
  <c r="J4" i="6"/>
  <c r="H4" i="6"/>
  <c r="H3" i="6"/>
  <c r="J3" i="6"/>
  <c r="J16" i="5"/>
  <c r="I16" i="5"/>
  <c r="J15" i="5"/>
  <c r="J14" i="5"/>
  <c r="H14" i="5"/>
  <c r="H13" i="5"/>
  <c r="I13" i="5"/>
  <c r="H12" i="5"/>
  <c r="I12" i="5"/>
  <c r="I11" i="5"/>
  <c r="H11" i="5"/>
  <c r="J10" i="5"/>
  <c r="I10" i="5"/>
  <c r="J9" i="5"/>
  <c r="H9" i="5"/>
  <c r="H8" i="5"/>
  <c r="I8" i="5"/>
  <c r="I7" i="5"/>
  <c r="H7" i="5"/>
  <c r="I6" i="5"/>
  <c r="H6" i="5"/>
  <c r="H5" i="5"/>
  <c r="I5" i="5"/>
  <c r="H4" i="5"/>
  <c r="I4" i="5"/>
  <c r="I3" i="5"/>
  <c r="J11" i="7"/>
  <c r="J10" i="7"/>
  <c r="I8" i="7"/>
  <c r="I15" i="7"/>
  <c r="I7" i="7"/>
  <c r="I12" i="7"/>
  <c r="J15" i="7"/>
  <c r="J7" i="7"/>
  <c r="I11" i="7"/>
  <c r="J14" i="7"/>
  <c r="J6" i="7"/>
  <c r="H5" i="7"/>
  <c r="H8" i="7"/>
  <c r="H13" i="7"/>
  <c r="I14" i="7"/>
  <c r="I10" i="7"/>
  <c r="I6" i="7"/>
  <c r="J13" i="7"/>
  <c r="J9" i="7"/>
  <c r="J5" i="7"/>
  <c r="I3" i="7"/>
  <c r="H9" i="7"/>
  <c r="J3" i="7"/>
  <c r="H12" i="7"/>
  <c r="I4" i="7"/>
  <c r="J4" i="7"/>
  <c r="H17" i="1"/>
  <c r="I17" i="1"/>
  <c r="H16" i="1"/>
  <c r="J16" i="1"/>
  <c r="I15" i="1"/>
  <c r="H15" i="1"/>
  <c r="I14" i="1"/>
  <c r="H14" i="1"/>
  <c r="J13" i="1"/>
  <c r="H13" i="1"/>
  <c r="H12" i="1"/>
  <c r="J12" i="1"/>
  <c r="I11" i="1"/>
  <c r="J11" i="1"/>
  <c r="I10" i="1"/>
  <c r="H10" i="1"/>
  <c r="J9" i="1"/>
  <c r="H9" i="1"/>
  <c r="I8" i="1"/>
  <c r="H8" i="1"/>
  <c r="I7" i="1"/>
  <c r="J7" i="1"/>
  <c r="H6" i="1"/>
  <c r="I6" i="1"/>
  <c r="H5" i="1"/>
  <c r="I5" i="1"/>
</calcChain>
</file>

<file path=xl/sharedStrings.xml><?xml version="1.0" encoding="utf-8"?>
<sst xmlns="http://schemas.openxmlformats.org/spreadsheetml/2006/main" count="148" uniqueCount="18">
  <si>
    <t>Day 0 Males</t>
  </si>
  <si>
    <t>ID #</t>
  </si>
  <si>
    <t>Macrophages</t>
  </si>
  <si>
    <t>PMNs</t>
  </si>
  <si>
    <t>Lymphocytes</t>
  </si>
  <si>
    <t>Total</t>
  </si>
  <si>
    <t>% Macrophages</t>
  </si>
  <si>
    <t>% PMNs</t>
  </si>
  <si>
    <t>%Lymphocytes</t>
  </si>
  <si>
    <t>Macrophages : PMNs</t>
  </si>
  <si>
    <t>Macrophages : Lymphocytes</t>
  </si>
  <si>
    <t>PMNs : Lymphocytes</t>
  </si>
  <si>
    <t xml:space="preserve"> </t>
  </si>
  <si>
    <t>no 43</t>
  </si>
  <si>
    <t>Day 21 Males</t>
  </si>
  <si>
    <t>Day 0 Females</t>
  </si>
  <si>
    <t>no 44</t>
  </si>
  <si>
    <t>Day 21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</si>
</sst>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B17ED-9B99-4620-9650-075257A885C3}">
  <dimension ref="A1:O17"/>
  <sheetViews>
    <sheetView workbookViewId="0">
      <selection activeCell="A2" sqref="A2:E17"/>
    </sheetView>
  </sheetViews>
  <sheetFormatPr defaultRowHeight="15" x14ac:dyDescent="0.25"/>
  <cols>
    <col min="1" max="1" width="7.7109375" customWidth="1"/>
    <col min="2" max="2" width="12.7109375" bestFit="1" customWidth="1"/>
    <col min="3" max="3" width="10.140625" customWidth="1"/>
    <col min="4" max="4" width="15.140625" customWidth="1"/>
    <col min="5" max="5" width="10.42578125" customWidth="1"/>
    <col min="8" max="8" width="14.85546875" bestFit="1" customWidth="1"/>
    <col min="9" max="9" width="11.5703125" customWidth="1"/>
    <col min="10" max="10" width="14.28515625" bestFit="1" customWidth="1"/>
    <col min="12" max="12" width="19.5703125" bestFit="1" customWidth="1"/>
    <col min="13" max="13" width="26.28515625" bestFit="1" customWidth="1"/>
    <col min="14" max="14" width="19.42578125" bestFit="1" customWidth="1"/>
  </cols>
  <sheetData>
    <row r="1" spans="1:1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6</v>
      </c>
      <c r="I2" t="s">
        <v>7</v>
      </c>
      <c r="J2" t="s">
        <v>8</v>
      </c>
      <c r="L2" t="s">
        <v>9</v>
      </c>
      <c r="M2" t="s">
        <v>10</v>
      </c>
      <c r="N2" t="s">
        <v>11</v>
      </c>
    </row>
    <row r="3" spans="1:15" x14ac:dyDescent="0.25">
      <c r="A3">
        <v>1</v>
      </c>
      <c r="B3">
        <v>256</v>
      </c>
      <c r="C3">
        <v>0</v>
      </c>
      <c r="D3">
        <v>0</v>
      </c>
      <c r="E3">
        <f>SUM(B3:D3)</f>
        <v>256</v>
      </c>
      <c r="H3">
        <f>100*B3/E3</f>
        <v>100</v>
      </c>
      <c r="I3">
        <f>100*C3/E3</f>
        <v>0</v>
      </c>
      <c r="J3">
        <f>100*D3/E3</f>
        <v>0</v>
      </c>
      <c r="L3" t="e">
        <f>B3/C3</f>
        <v>#DIV/0!</v>
      </c>
      <c r="M3" t="e">
        <f>B3/D3</f>
        <v>#DIV/0!</v>
      </c>
      <c r="N3" t="e">
        <f>C3/D3</f>
        <v>#DIV/0!</v>
      </c>
    </row>
    <row r="4" spans="1:15" x14ac:dyDescent="0.25">
      <c r="A4">
        <v>2</v>
      </c>
      <c r="B4">
        <v>321</v>
      </c>
      <c r="C4">
        <v>0</v>
      </c>
      <c r="D4">
        <v>0</v>
      </c>
      <c r="E4">
        <f t="shared" ref="E4:E17" si="0">SUM(B4:D4)</f>
        <v>321</v>
      </c>
      <c r="H4">
        <f t="shared" ref="H4:H17" si="1">100*B4/E4</f>
        <v>100</v>
      </c>
      <c r="I4">
        <f t="shared" ref="I4:I17" si="2">100*C4/E4</f>
        <v>0</v>
      </c>
      <c r="J4">
        <f t="shared" ref="J4:J17" si="3">100*D4/E4</f>
        <v>0</v>
      </c>
      <c r="L4" t="e">
        <f t="shared" ref="L4:L17" si="4">B4/C4</f>
        <v>#DIV/0!</v>
      </c>
      <c r="M4" t="e">
        <f t="shared" ref="M4:M17" si="5">B4/D4</f>
        <v>#DIV/0!</v>
      </c>
      <c r="N4" t="e">
        <f t="shared" ref="N4:N17" si="6">C4/D4</f>
        <v>#DIV/0!</v>
      </c>
    </row>
    <row r="5" spans="1:15" x14ac:dyDescent="0.25">
      <c r="A5">
        <v>3</v>
      </c>
      <c r="B5">
        <v>271</v>
      </c>
      <c r="C5">
        <v>0</v>
      </c>
      <c r="D5">
        <v>0</v>
      </c>
      <c r="E5">
        <f t="shared" si="0"/>
        <v>271</v>
      </c>
      <c r="H5">
        <f t="shared" si="1"/>
        <v>100</v>
      </c>
      <c r="I5">
        <f t="shared" si="2"/>
        <v>0</v>
      </c>
      <c r="J5">
        <f t="shared" si="3"/>
        <v>0</v>
      </c>
      <c r="L5" t="e">
        <f t="shared" si="4"/>
        <v>#DIV/0!</v>
      </c>
      <c r="M5" t="e">
        <f t="shared" si="5"/>
        <v>#DIV/0!</v>
      </c>
      <c r="N5" t="e">
        <f t="shared" si="6"/>
        <v>#DIV/0!</v>
      </c>
    </row>
    <row r="6" spans="1:15" x14ac:dyDescent="0.25">
      <c r="A6">
        <v>4</v>
      </c>
      <c r="B6">
        <v>292</v>
      </c>
      <c r="C6">
        <v>13</v>
      </c>
      <c r="D6">
        <v>0</v>
      </c>
      <c r="E6">
        <f t="shared" si="0"/>
        <v>305</v>
      </c>
      <c r="H6">
        <f t="shared" si="1"/>
        <v>95.73770491803279</v>
      </c>
      <c r="I6">
        <f t="shared" si="2"/>
        <v>4.2622950819672134</v>
      </c>
      <c r="J6">
        <f t="shared" si="3"/>
        <v>0</v>
      </c>
      <c r="L6">
        <f t="shared" si="4"/>
        <v>22.46153846153846</v>
      </c>
      <c r="M6" t="e">
        <f t="shared" si="5"/>
        <v>#DIV/0!</v>
      </c>
      <c r="N6" t="e">
        <f t="shared" si="6"/>
        <v>#DIV/0!</v>
      </c>
    </row>
    <row r="7" spans="1:15" x14ac:dyDescent="0.25">
      <c r="A7">
        <v>5</v>
      </c>
      <c r="B7">
        <v>322</v>
      </c>
      <c r="C7">
        <v>1</v>
      </c>
      <c r="D7">
        <v>0</v>
      </c>
      <c r="E7">
        <f t="shared" si="0"/>
        <v>323</v>
      </c>
      <c r="H7">
        <f t="shared" si="1"/>
        <v>99.690402476780193</v>
      </c>
      <c r="I7">
        <f t="shared" si="2"/>
        <v>0.30959752321981426</v>
      </c>
      <c r="J7">
        <f t="shared" si="3"/>
        <v>0</v>
      </c>
      <c r="L7">
        <f t="shared" si="4"/>
        <v>322</v>
      </c>
      <c r="M7" t="e">
        <f t="shared" si="5"/>
        <v>#DIV/0!</v>
      </c>
      <c r="N7" t="e">
        <f t="shared" si="6"/>
        <v>#DIV/0!</v>
      </c>
    </row>
    <row r="8" spans="1:15" x14ac:dyDescent="0.25">
      <c r="A8">
        <v>6</v>
      </c>
      <c r="B8">
        <v>317</v>
      </c>
      <c r="C8">
        <v>0</v>
      </c>
      <c r="D8">
        <v>0</v>
      </c>
      <c r="E8">
        <f t="shared" si="0"/>
        <v>317</v>
      </c>
      <c r="H8">
        <f t="shared" si="1"/>
        <v>100</v>
      </c>
      <c r="I8">
        <f t="shared" si="2"/>
        <v>0</v>
      </c>
      <c r="J8">
        <f t="shared" si="3"/>
        <v>0</v>
      </c>
      <c r="L8" t="e">
        <f t="shared" si="4"/>
        <v>#DIV/0!</v>
      </c>
      <c r="M8" t="e">
        <f t="shared" si="5"/>
        <v>#DIV/0!</v>
      </c>
      <c r="N8" t="e">
        <f t="shared" si="6"/>
        <v>#DIV/0!</v>
      </c>
    </row>
    <row r="9" spans="1:15" x14ac:dyDescent="0.25">
      <c r="A9">
        <v>7</v>
      </c>
      <c r="B9">
        <v>272</v>
      </c>
      <c r="C9">
        <v>2</v>
      </c>
      <c r="D9">
        <v>0</v>
      </c>
      <c r="E9">
        <f t="shared" si="0"/>
        <v>274</v>
      </c>
      <c r="H9">
        <f t="shared" si="1"/>
        <v>99.270072992700733</v>
      </c>
      <c r="I9">
        <f t="shared" si="2"/>
        <v>0.72992700729927007</v>
      </c>
      <c r="J9">
        <f t="shared" si="3"/>
        <v>0</v>
      </c>
      <c r="L9">
        <f t="shared" si="4"/>
        <v>136</v>
      </c>
      <c r="M9" t="e">
        <f t="shared" si="5"/>
        <v>#DIV/0!</v>
      </c>
      <c r="N9" t="e">
        <f t="shared" si="6"/>
        <v>#DIV/0!</v>
      </c>
    </row>
    <row r="10" spans="1:15" x14ac:dyDescent="0.25">
      <c r="A10">
        <v>8</v>
      </c>
      <c r="B10">
        <v>245</v>
      </c>
      <c r="C10">
        <v>2</v>
      </c>
      <c r="D10">
        <v>0</v>
      </c>
      <c r="E10">
        <f>SUM(B10:D10)</f>
        <v>247</v>
      </c>
      <c r="H10">
        <f t="shared" si="1"/>
        <v>99.190283400809719</v>
      </c>
      <c r="I10">
        <f t="shared" si="2"/>
        <v>0.80971659919028338</v>
      </c>
      <c r="J10">
        <f t="shared" si="3"/>
        <v>0</v>
      </c>
      <c r="L10">
        <f t="shared" si="4"/>
        <v>122.5</v>
      </c>
      <c r="M10" t="e">
        <f t="shared" si="5"/>
        <v>#DIV/0!</v>
      </c>
      <c r="N10" t="e">
        <f t="shared" si="6"/>
        <v>#DIV/0!</v>
      </c>
    </row>
    <row r="11" spans="1:15" x14ac:dyDescent="0.25">
      <c r="A11">
        <v>9</v>
      </c>
      <c r="B11">
        <v>293</v>
      </c>
      <c r="C11">
        <v>0</v>
      </c>
      <c r="D11">
        <v>0</v>
      </c>
      <c r="E11">
        <f t="shared" si="0"/>
        <v>293</v>
      </c>
      <c r="H11">
        <f t="shared" si="1"/>
        <v>100</v>
      </c>
      <c r="I11">
        <f t="shared" si="2"/>
        <v>0</v>
      </c>
      <c r="J11">
        <f t="shared" si="3"/>
        <v>0</v>
      </c>
      <c r="L11" t="e">
        <f t="shared" si="4"/>
        <v>#DIV/0!</v>
      </c>
      <c r="M11" t="e">
        <f t="shared" si="5"/>
        <v>#DIV/0!</v>
      </c>
      <c r="N11" t="e">
        <f t="shared" si="6"/>
        <v>#DIV/0!</v>
      </c>
    </row>
    <row r="12" spans="1:15" x14ac:dyDescent="0.25">
      <c r="A12">
        <v>10</v>
      </c>
      <c r="B12">
        <v>281</v>
      </c>
      <c r="C12">
        <v>0</v>
      </c>
      <c r="D12">
        <v>0</v>
      </c>
      <c r="E12">
        <f t="shared" si="0"/>
        <v>281</v>
      </c>
      <c r="H12">
        <f t="shared" si="1"/>
        <v>100</v>
      </c>
      <c r="I12">
        <f t="shared" si="2"/>
        <v>0</v>
      </c>
      <c r="J12">
        <f t="shared" si="3"/>
        <v>0</v>
      </c>
      <c r="L12" t="e">
        <f t="shared" si="4"/>
        <v>#DIV/0!</v>
      </c>
      <c r="M12" t="e">
        <f t="shared" si="5"/>
        <v>#DIV/0!</v>
      </c>
      <c r="N12" t="e">
        <f t="shared" si="6"/>
        <v>#DIV/0!</v>
      </c>
    </row>
    <row r="13" spans="1:15" x14ac:dyDescent="0.25">
      <c r="A13">
        <v>11</v>
      </c>
      <c r="B13">
        <v>233</v>
      </c>
      <c r="C13">
        <v>2</v>
      </c>
      <c r="D13">
        <v>0</v>
      </c>
      <c r="E13">
        <f t="shared" si="0"/>
        <v>235</v>
      </c>
      <c r="H13">
        <f t="shared" si="1"/>
        <v>99.148936170212764</v>
      </c>
      <c r="I13">
        <f t="shared" si="2"/>
        <v>0.85106382978723405</v>
      </c>
      <c r="J13">
        <f t="shared" si="3"/>
        <v>0</v>
      </c>
      <c r="L13">
        <f t="shared" si="4"/>
        <v>116.5</v>
      </c>
      <c r="M13" t="e">
        <f t="shared" si="5"/>
        <v>#DIV/0!</v>
      </c>
      <c r="N13" t="e">
        <f t="shared" si="6"/>
        <v>#DIV/0!</v>
      </c>
    </row>
    <row r="14" spans="1:15" x14ac:dyDescent="0.25">
      <c r="A14">
        <v>12</v>
      </c>
      <c r="B14">
        <v>274</v>
      </c>
      <c r="C14">
        <v>0</v>
      </c>
      <c r="D14">
        <v>0</v>
      </c>
      <c r="E14">
        <f t="shared" si="0"/>
        <v>274</v>
      </c>
      <c r="H14">
        <f t="shared" si="1"/>
        <v>100</v>
      </c>
      <c r="I14">
        <f t="shared" si="2"/>
        <v>0</v>
      </c>
      <c r="J14">
        <f t="shared" si="3"/>
        <v>0</v>
      </c>
      <c r="L14" t="e">
        <f t="shared" si="4"/>
        <v>#DIV/0!</v>
      </c>
      <c r="M14" t="e">
        <f t="shared" si="5"/>
        <v>#DIV/0!</v>
      </c>
      <c r="N14" t="e">
        <f t="shared" si="6"/>
        <v>#DIV/0!</v>
      </c>
    </row>
    <row r="15" spans="1:15" x14ac:dyDescent="0.25">
      <c r="A15">
        <v>13</v>
      </c>
      <c r="B15">
        <v>229</v>
      </c>
      <c r="C15">
        <v>2</v>
      </c>
      <c r="D15">
        <v>0</v>
      </c>
      <c r="E15">
        <f t="shared" si="0"/>
        <v>231</v>
      </c>
      <c r="H15">
        <f t="shared" si="1"/>
        <v>99.134199134199136</v>
      </c>
      <c r="I15">
        <f t="shared" si="2"/>
        <v>0.86580086580086579</v>
      </c>
      <c r="J15">
        <f t="shared" si="3"/>
        <v>0</v>
      </c>
      <c r="L15">
        <f t="shared" si="4"/>
        <v>114.5</v>
      </c>
      <c r="M15" t="e">
        <f t="shared" si="5"/>
        <v>#DIV/0!</v>
      </c>
      <c r="N15" t="e">
        <f t="shared" si="6"/>
        <v>#DIV/0!</v>
      </c>
    </row>
    <row r="16" spans="1:15" x14ac:dyDescent="0.25">
      <c r="A16">
        <v>14</v>
      </c>
      <c r="B16">
        <v>240</v>
      </c>
      <c r="C16">
        <v>1</v>
      </c>
      <c r="D16">
        <v>0</v>
      </c>
      <c r="E16">
        <f t="shared" si="0"/>
        <v>241</v>
      </c>
      <c r="H16">
        <f t="shared" si="1"/>
        <v>99.585062240663902</v>
      </c>
      <c r="I16">
        <f t="shared" si="2"/>
        <v>0.41493775933609961</v>
      </c>
      <c r="J16">
        <f t="shared" si="3"/>
        <v>0</v>
      </c>
      <c r="L16">
        <f t="shared" si="4"/>
        <v>240</v>
      </c>
      <c r="M16" t="e">
        <f t="shared" si="5"/>
        <v>#DIV/0!</v>
      </c>
      <c r="N16" t="e">
        <f t="shared" si="6"/>
        <v>#DIV/0!</v>
      </c>
    </row>
    <row r="17" spans="1:14" x14ac:dyDescent="0.25">
      <c r="A17">
        <v>15</v>
      </c>
      <c r="B17">
        <v>271</v>
      </c>
      <c r="C17">
        <v>2</v>
      </c>
      <c r="D17">
        <v>0</v>
      </c>
      <c r="E17">
        <f t="shared" si="0"/>
        <v>273</v>
      </c>
      <c r="H17">
        <f t="shared" si="1"/>
        <v>99.26739926739927</v>
      </c>
      <c r="I17">
        <f t="shared" si="2"/>
        <v>0.73260073260073255</v>
      </c>
      <c r="J17">
        <f t="shared" si="3"/>
        <v>0</v>
      </c>
      <c r="L17">
        <f t="shared" si="4"/>
        <v>135.5</v>
      </c>
      <c r="M17" t="e">
        <f t="shared" si="5"/>
        <v>#DIV/0!</v>
      </c>
      <c r="N17" t="e">
        <f t="shared" si="6"/>
        <v>#DIV/0!</v>
      </c>
    </row>
  </sheetData>
  <mergeCells count="1">
    <mergeCell ref="A1:O1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B73CB-B924-4DC9-B7E1-42DC394A23DC}">
  <dimension ref="A1:N15"/>
  <sheetViews>
    <sheetView workbookViewId="0">
      <selection sqref="A1:E15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s="1" customFormat="1" x14ac:dyDescent="0.25">
      <c r="A2" s="1">
        <v>16</v>
      </c>
      <c r="B2" s="1">
        <v>107</v>
      </c>
      <c r="C2" s="1">
        <v>0</v>
      </c>
      <c r="D2" s="1">
        <v>0</v>
      </c>
      <c r="E2" s="1">
        <f>SUM(B2:D2)</f>
        <v>107</v>
      </c>
      <c r="H2" s="1">
        <f>100*B2/E2</f>
        <v>100</v>
      </c>
      <c r="I2" s="1">
        <f>100*C2/E2</f>
        <v>0</v>
      </c>
      <c r="J2" s="1">
        <f>100*D2/E2</f>
        <v>0</v>
      </c>
      <c r="L2" s="1" t="e">
        <f>B2/C2</f>
        <v>#DIV/0!</v>
      </c>
      <c r="M2" s="1" t="e">
        <f>B2/D2</f>
        <v>#DIV/0!</v>
      </c>
      <c r="N2" s="1" t="e">
        <f>C2/D2</f>
        <v>#DIV/0!</v>
      </c>
    </row>
    <row r="3" spans="1:14" x14ac:dyDescent="0.25">
      <c r="A3">
        <v>17</v>
      </c>
      <c r="B3" t="s">
        <v>12</v>
      </c>
      <c r="H3" t="e">
        <f t="shared" ref="H3:H15" si="0">100*B3/E3</f>
        <v>#VALUE!</v>
      </c>
      <c r="I3" t="e">
        <f t="shared" ref="I3:I15" si="1">100*C3/E3</f>
        <v>#DIV/0!</v>
      </c>
      <c r="J3" t="e">
        <f t="shared" ref="J3:J15" si="2">100*D3/E3</f>
        <v>#DIV/0!</v>
      </c>
      <c r="L3" t="e">
        <f t="shared" ref="L3:L15" si="3">B3/C3</f>
        <v>#VALUE!</v>
      </c>
      <c r="M3" t="e">
        <f t="shared" ref="M3:M15" si="4">B3/D3</f>
        <v>#VALUE!</v>
      </c>
      <c r="N3" t="e">
        <f t="shared" ref="N3:N15" si="5">C3/D3</f>
        <v>#DIV/0!</v>
      </c>
    </row>
    <row r="4" spans="1:14" x14ac:dyDescent="0.25">
      <c r="A4">
        <v>18</v>
      </c>
      <c r="B4">
        <v>210</v>
      </c>
      <c r="C4">
        <v>8</v>
      </c>
      <c r="D4">
        <v>0</v>
      </c>
      <c r="E4">
        <f t="shared" ref="E4:E15" si="6">SUM(B4:D4)</f>
        <v>218</v>
      </c>
      <c r="H4">
        <f t="shared" si="0"/>
        <v>96.330275229357795</v>
      </c>
      <c r="I4">
        <f t="shared" si="1"/>
        <v>3.669724770642202</v>
      </c>
      <c r="J4">
        <f t="shared" si="2"/>
        <v>0</v>
      </c>
      <c r="L4">
        <f t="shared" si="3"/>
        <v>26.25</v>
      </c>
      <c r="M4" t="e">
        <f t="shared" si="4"/>
        <v>#DIV/0!</v>
      </c>
      <c r="N4" t="e">
        <f t="shared" si="5"/>
        <v>#DIV/0!</v>
      </c>
    </row>
    <row r="5" spans="1:14" x14ac:dyDescent="0.25">
      <c r="A5">
        <v>19</v>
      </c>
      <c r="B5">
        <v>161</v>
      </c>
      <c r="C5">
        <v>84</v>
      </c>
      <c r="D5">
        <v>0</v>
      </c>
      <c r="E5">
        <f t="shared" si="6"/>
        <v>245</v>
      </c>
      <c r="H5">
        <f t="shared" si="0"/>
        <v>65.714285714285708</v>
      </c>
      <c r="I5">
        <f t="shared" si="1"/>
        <v>34.285714285714285</v>
      </c>
      <c r="J5">
        <f t="shared" si="2"/>
        <v>0</v>
      </c>
      <c r="L5">
        <f t="shared" si="3"/>
        <v>1.9166666666666667</v>
      </c>
      <c r="M5" t="e">
        <f t="shared" si="4"/>
        <v>#DIV/0!</v>
      </c>
      <c r="N5" t="e">
        <f t="shared" si="5"/>
        <v>#DIV/0!</v>
      </c>
    </row>
    <row r="6" spans="1:14" x14ac:dyDescent="0.25">
      <c r="A6">
        <v>20</v>
      </c>
      <c r="B6">
        <v>222</v>
      </c>
      <c r="C6">
        <v>0</v>
      </c>
      <c r="D6">
        <v>0</v>
      </c>
      <c r="E6">
        <f t="shared" si="6"/>
        <v>222</v>
      </c>
      <c r="H6">
        <f t="shared" si="0"/>
        <v>100</v>
      </c>
      <c r="I6">
        <f t="shared" si="1"/>
        <v>0</v>
      </c>
      <c r="J6">
        <f t="shared" si="2"/>
        <v>0</v>
      </c>
      <c r="L6" t="e">
        <f t="shared" si="3"/>
        <v>#DIV/0!</v>
      </c>
      <c r="M6" t="e">
        <f t="shared" si="4"/>
        <v>#DIV/0!</v>
      </c>
      <c r="N6" t="e">
        <f t="shared" si="5"/>
        <v>#DIV/0!</v>
      </c>
    </row>
    <row r="7" spans="1:14" x14ac:dyDescent="0.25">
      <c r="A7">
        <v>21</v>
      </c>
      <c r="B7">
        <v>214</v>
      </c>
      <c r="C7">
        <v>0</v>
      </c>
      <c r="D7">
        <v>0</v>
      </c>
      <c r="E7">
        <f t="shared" si="6"/>
        <v>214</v>
      </c>
      <c r="H7">
        <f t="shared" si="0"/>
        <v>100</v>
      </c>
      <c r="I7">
        <f t="shared" si="1"/>
        <v>0</v>
      </c>
      <c r="J7">
        <f t="shared" si="2"/>
        <v>0</v>
      </c>
      <c r="L7" t="e">
        <f t="shared" si="3"/>
        <v>#DIV/0!</v>
      </c>
      <c r="M7" t="e">
        <f>B7/D7</f>
        <v>#DIV/0!</v>
      </c>
      <c r="N7" t="e">
        <f t="shared" si="5"/>
        <v>#DIV/0!</v>
      </c>
    </row>
    <row r="8" spans="1:14" x14ac:dyDescent="0.25">
      <c r="A8">
        <v>22</v>
      </c>
      <c r="B8">
        <v>280</v>
      </c>
      <c r="C8">
        <v>3</v>
      </c>
      <c r="D8">
        <v>0</v>
      </c>
      <c r="E8">
        <f t="shared" si="6"/>
        <v>283</v>
      </c>
      <c r="H8">
        <f t="shared" si="0"/>
        <v>98.939929328621915</v>
      </c>
      <c r="I8">
        <f t="shared" si="1"/>
        <v>1.0600706713780919</v>
      </c>
      <c r="J8">
        <f t="shared" si="2"/>
        <v>0</v>
      </c>
      <c r="L8">
        <f t="shared" si="3"/>
        <v>93.333333333333329</v>
      </c>
      <c r="M8" t="e">
        <f t="shared" si="4"/>
        <v>#DIV/0!</v>
      </c>
      <c r="N8" t="e">
        <f t="shared" si="5"/>
        <v>#DIV/0!</v>
      </c>
    </row>
    <row r="9" spans="1:14" x14ac:dyDescent="0.25">
      <c r="A9">
        <v>23</v>
      </c>
      <c r="B9">
        <v>153</v>
      </c>
      <c r="C9">
        <v>72</v>
      </c>
      <c r="D9">
        <v>0</v>
      </c>
      <c r="E9">
        <f t="shared" si="6"/>
        <v>225</v>
      </c>
      <c r="H9">
        <f t="shared" si="0"/>
        <v>68</v>
      </c>
      <c r="I9">
        <f t="shared" si="1"/>
        <v>32</v>
      </c>
      <c r="J9">
        <f t="shared" si="2"/>
        <v>0</v>
      </c>
      <c r="L9">
        <f t="shared" si="3"/>
        <v>2.125</v>
      </c>
      <c r="M9" t="e">
        <f t="shared" si="4"/>
        <v>#DIV/0!</v>
      </c>
      <c r="N9" t="e">
        <f t="shared" si="5"/>
        <v>#DIV/0!</v>
      </c>
    </row>
    <row r="10" spans="1:14" x14ac:dyDescent="0.25">
      <c r="A10">
        <v>24</v>
      </c>
      <c r="B10">
        <v>162</v>
      </c>
      <c r="C10">
        <v>64</v>
      </c>
      <c r="D10">
        <v>0</v>
      </c>
      <c r="E10">
        <f t="shared" si="6"/>
        <v>226</v>
      </c>
      <c r="H10">
        <f t="shared" si="0"/>
        <v>71.681415929203538</v>
      </c>
      <c r="I10">
        <f t="shared" si="1"/>
        <v>28.318584070796462</v>
      </c>
      <c r="J10">
        <f t="shared" si="2"/>
        <v>0</v>
      </c>
      <c r="L10">
        <f t="shared" si="3"/>
        <v>2.53125</v>
      </c>
      <c r="M10" t="e">
        <f t="shared" si="4"/>
        <v>#DIV/0!</v>
      </c>
      <c r="N10" t="e">
        <f t="shared" si="5"/>
        <v>#DIV/0!</v>
      </c>
    </row>
    <row r="11" spans="1:14" x14ac:dyDescent="0.25">
      <c r="A11">
        <v>25</v>
      </c>
      <c r="B11">
        <v>213</v>
      </c>
      <c r="C11">
        <v>0</v>
      </c>
      <c r="D11">
        <v>0</v>
      </c>
      <c r="E11">
        <f t="shared" si="6"/>
        <v>213</v>
      </c>
      <c r="H11">
        <f t="shared" si="0"/>
        <v>100</v>
      </c>
      <c r="I11">
        <f t="shared" si="1"/>
        <v>0</v>
      </c>
      <c r="J11">
        <f t="shared" si="2"/>
        <v>0</v>
      </c>
      <c r="L11" t="e">
        <f t="shared" si="3"/>
        <v>#DIV/0!</v>
      </c>
      <c r="M11" t="e">
        <f t="shared" si="4"/>
        <v>#DIV/0!</v>
      </c>
      <c r="N11" t="e">
        <f t="shared" si="5"/>
        <v>#DIV/0!</v>
      </c>
    </row>
    <row r="12" spans="1:14" s="1" customFormat="1" x14ac:dyDescent="0.25">
      <c r="A12" s="1">
        <v>26</v>
      </c>
      <c r="B12" s="1">
        <v>68</v>
      </c>
      <c r="C12" s="1">
        <v>84</v>
      </c>
      <c r="D12" s="1">
        <v>0</v>
      </c>
      <c r="E12" s="1">
        <f t="shared" si="6"/>
        <v>152</v>
      </c>
      <c r="H12" s="1">
        <f t="shared" si="0"/>
        <v>44.736842105263158</v>
      </c>
      <c r="I12" s="1">
        <f t="shared" si="1"/>
        <v>55.263157894736842</v>
      </c>
      <c r="J12" s="1">
        <f t="shared" si="2"/>
        <v>0</v>
      </c>
      <c r="L12" s="1">
        <f t="shared" si="3"/>
        <v>0.80952380952380953</v>
      </c>
      <c r="M12" s="1" t="e">
        <f t="shared" si="4"/>
        <v>#DIV/0!</v>
      </c>
      <c r="N12" s="1" t="e">
        <f t="shared" si="5"/>
        <v>#DIV/0!</v>
      </c>
    </row>
    <row r="13" spans="1:14" s="1" customFormat="1" x14ac:dyDescent="0.25">
      <c r="A13" s="1">
        <v>27</v>
      </c>
      <c r="B13" s="1">
        <v>56</v>
      </c>
      <c r="C13" s="1">
        <v>0</v>
      </c>
      <c r="D13" s="1">
        <v>0</v>
      </c>
      <c r="E13" s="1">
        <f t="shared" si="6"/>
        <v>56</v>
      </c>
      <c r="H13" s="1">
        <f t="shared" si="0"/>
        <v>100</v>
      </c>
      <c r="I13" s="1">
        <f t="shared" si="1"/>
        <v>0</v>
      </c>
      <c r="J13" s="1">
        <f t="shared" si="2"/>
        <v>0</v>
      </c>
      <c r="L13" s="1" t="e">
        <f t="shared" si="3"/>
        <v>#DIV/0!</v>
      </c>
      <c r="M13" s="1" t="e">
        <f t="shared" si="4"/>
        <v>#DIV/0!</v>
      </c>
      <c r="N13" s="1" t="e">
        <f t="shared" si="5"/>
        <v>#DIV/0!</v>
      </c>
    </row>
    <row r="14" spans="1:14" x14ac:dyDescent="0.25">
      <c r="A14">
        <v>28</v>
      </c>
      <c r="B14">
        <v>143</v>
      </c>
      <c r="C14">
        <v>61</v>
      </c>
      <c r="D14">
        <v>0</v>
      </c>
      <c r="E14">
        <f t="shared" si="6"/>
        <v>204</v>
      </c>
      <c r="H14">
        <f t="shared" si="0"/>
        <v>70.098039215686271</v>
      </c>
      <c r="I14">
        <f t="shared" si="1"/>
        <v>29.901960784313726</v>
      </c>
      <c r="J14">
        <f t="shared" si="2"/>
        <v>0</v>
      </c>
      <c r="L14">
        <f t="shared" si="3"/>
        <v>2.3442622950819674</v>
      </c>
      <c r="M14" t="e">
        <f t="shared" si="4"/>
        <v>#DIV/0!</v>
      </c>
      <c r="N14" t="e">
        <f t="shared" si="5"/>
        <v>#DIV/0!</v>
      </c>
    </row>
    <row r="15" spans="1:14" x14ac:dyDescent="0.25">
      <c r="A15">
        <v>29</v>
      </c>
      <c r="B15">
        <v>126</v>
      </c>
      <c r="C15">
        <v>15</v>
      </c>
      <c r="D15">
        <v>0</v>
      </c>
      <c r="E15">
        <f t="shared" si="6"/>
        <v>141</v>
      </c>
      <c r="H15">
        <f t="shared" si="0"/>
        <v>89.361702127659569</v>
      </c>
      <c r="I15">
        <f t="shared" si="1"/>
        <v>10.638297872340425</v>
      </c>
      <c r="J15">
        <f t="shared" si="2"/>
        <v>0</v>
      </c>
      <c r="L15">
        <f t="shared" si="3"/>
        <v>8.4</v>
      </c>
      <c r="M15" t="e">
        <f t="shared" si="4"/>
        <v>#DIV/0!</v>
      </c>
      <c r="N15" t="e">
        <f t="shared" si="5"/>
        <v>#DIV/0!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45CFE-D6DC-4B93-BF07-583FF296FC87}">
  <dimension ref="A1:N17"/>
  <sheetViews>
    <sheetView workbookViewId="0">
      <selection activeCell="A2" sqref="A2:E15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31</v>
      </c>
      <c r="B2">
        <v>171</v>
      </c>
      <c r="C2">
        <v>50</v>
      </c>
      <c r="D2">
        <v>0</v>
      </c>
      <c r="E2">
        <f>SUM(B2:D2)</f>
        <v>221</v>
      </c>
      <c r="H2">
        <f>100*B2/E2</f>
        <v>77.375565610859724</v>
      </c>
      <c r="I2">
        <f>100*C2/E2</f>
        <v>22.624434389140273</v>
      </c>
      <c r="J2">
        <f>100*D2/E2</f>
        <v>0</v>
      </c>
      <c r="L2">
        <f>B2/C2</f>
        <v>3.42</v>
      </c>
      <c r="M2" t="e">
        <f>B2/D2</f>
        <v>#DIV/0!</v>
      </c>
      <c r="N2" t="e">
        <f>C2/D2</f>
        <v>#DIV/0!</v>
      </c>
    </row>
    <row r="3" spans="1:14" x14ac:dyDescent="0.25">
      <c r="A3">
        <v>32</v>
      </c>
      <c r="B3">
        <v>109</v>
      </c>
      <c r="C3">
        <v>122</v>
      </c>
      <c r="D3">
        <v>0</v>
      </c>
      <c r="H3" t="e">
        <f t="shared" ref="H3:H15" si="0">100*B3/E3</f>
        <v>#DIV/0!</v>
      </c>
      <c r="I3" t="e">
        <f t="shared" ref="I3:I15" si="1">100*C3/E3</f>
        <v>#DIV/0!</v>
      </c>
      <c r="J3" t="e">
        <f t="shared" ref="J3:J15" si="2">100*D3/E3</f>
        <v>#DIV/0!</v>
      </c>
      <c r="L3">
        <f t="shared" ref="L3:L15" si="3">B3/C3</f>
        <v>0.89344262295081966</v>
      </c>
      <c r="M3" t="e">
        <f t="shared" ref="M3:M15" si="4">B3/D3</f>
        <v>#DIV/0!</v>
      </c>
      <c r="N3" t="e">
        <f t="shared" ref="N3:N15" si="5">C3/D3</f>
        <v>#DIV/0!</v>
      </c>
    </row>
    <row r="4" spans="1:14" x14ac:dyDescent="0.25">
      <c r="A4">
        <v>33</v>
      </c>
      <c r="B4">
        <v>194</v>
      </c>
      <c r="C4">
        <v>19</v>
      </c>
      <c r="D4">
        <v>0</v>
      </c>
      <c r="H4" t="e">
        <f t="shared" si="0"/>
        <v>#DIV/0!</v>
      </c>
      <c r="I4" t="e">
        <f t="shared" si="1"/>
        <v>#DIV/0!</v>
      </c>
      <c r="J4" t="e">
        <f t="shared" si="2"/>
        <v>#DIV/0!</v>
      </c>
      <c r="L4">
        <f t="shared" si="3"/>
        <v>10.210526315789474</v>
      </c>
      <c r="M4" t="e">
        <f t="shared" si="4"/>
        <v>#DIV/0!</v>
      </c>
      <c r="N4" t="e">
        <f t="shared" si="5"/>
        <v>#DIV/0!</v>
      </c>
    </row>
    <row r="5" spans="1:14" x14ac:dyDescent="0.25">
      <c r="A5">
        <v>34</v>
      </c>
      <c r="B5">
        <v>230</v>
      </c>
      <c r="C5">
        <v>0</v>
      </c>
      <c r="D5">
        <v>0</v>
      </c>
      <c r="H5" t="e">
        <f t="shared" si="0"/>
        <v>#DIV/0!</v>
      </c>
      <c r="I5" t="e">
        <f t="shared" si="1"/>
        <v>#DIV/0!</v>
      </c>
      <c r="J5" t="e">
        <f t="shared" si="2"/>
        <v>#DIV/0!</v>
      </c>
      <c r="L5" t="e">
        <f t="shared" si="3"/>
        <v>#DIV/0!</v>
      </c>
      <c r="M5" t="e">
        <f t="shared" si="4"/>
        <v>#DIV/0!</v>
      </c>
      <c r="N5" t="e">
        <f t="shared" si="5"/>
        <v>#DIV/0!</v>
      </c>
    </row>
    <row r="6" spans="1:14" x14ac:dyDescent="0.25">
      <c r="A6">
        <v>35</v>
      </c>
      <c r="B6">
        <v>145</v>
      </c>
      <c r="C6">
        <v>75</v>
      </c>
      <c r="D6">
        <v>0</v>
      </c>
      <c r="H6" t="e">
        <f t="shared" si="0"/>
        <v>#DIV/0!</v>
      </c>
      <c r="I6" t="e">
        <f t="shared" si="1"/>
        <v>#DIV/0!</v>
      </c>
      <c r="J6" t="e">
        <f t="shared" si="2"/>
        <v>#DIV/0!</v>
      </c>
      <c r="L6">
        <f t="shared" si="3"/>
        <v>1.9333333333333333</v>
      </c>
      <c r="M6" t="e">
        <f t="shared" si="4"/>
        <v>#DIV/0!</v>
      </c>
      <c r="N6" t="e">
        <f t="shared" si="5"/>
        <v>#DIV/0!</v>
      </c>
    </row>
    <row r="7" spans="1:14" x14ac:dyDescent="0.25">
      <c r="A7">
        <v>36</v>
      </c>
      <c r="B7">
        <v>138</v>
      </c>
      <c r="C7">
        <v>107</v>
      </c>
      <c r="D7">
        <v>0</v>
      </c>
      <c r="H7" t="e">
        <f t="shared" si="0"/>
        <v>#DIV/0!</v>
      </c>
      <c r="I7" t="e">
        <f t="shared" si="1"/>
        <v>#DIV/0!</v>
      </c>
      <c r="J7" t="e">
        <f t="shared" si="2"/>
        <v>#DIV/0!</v>
      </c>
      <c r="L7">
        <f t="shared" si="3"/>
        <v>1.2897196261682242</v>
      </c>
      <c r="M7" t="e">
        <f t="shared" si="4"/>
        <v>#DIV/0!</v>
      </c>
      <c r="N7" t="e">
        <f t="shared" si="5"/>
        <v>#DIV/0!</v>
      </c>
    </row>
    <row r="8" spans="1:14" x14ac:dyDescent="0.25">
      <c r="A8">
        <v>37</v>
      </c>
      <c r="B8">
        <v>88</v>
      </c>
      <c r="C8">
        <v>125</v>
      </c>
      <c r="D8">
        <v>0</v>
      </c>
      <c r="H8" t="e">
        <f t="shared" si="0"/>
        <v>#DIV/0!</v>
      </c>
      <c r="I8" t="e">
        <f t="shared" si="1"/>
        <v>#DIV/0!</v>
      </c>
      <c r="J8" t="e">
        <f t="shared" si="2"/>
        <v>#DIV/0!</v>
      </c>
      <c r="L8">
        <f t="shared" si="3"/>
        <v>0.70399999999999996</v>
      </c>
      <c r="M8" t="e">
        <f t="shared" si="4"/>
        <v>#DIV/0!</v>
      </c>
      <c r="N8" t="e">
        <f t="shared" si="5"/>
        <v>#DIV/0!</v>
      </c>
    </row>
    <row r="9" spans="1:14" x14ac:dyDescent="0.25">
      <c r="A9">
        <v>38</v>
      </c>
      <c r="B9">
        <v>233</v>
      </c>
      <c r="C9">
        <v>0</v>
      </c>
      <c r="D9">
        <v>0</v>
      </c>
      <c r="H9" t="e">
        <f t="shared" si="0"/>
        <v>#DIV/0!</v>
      </c>
      <c r="I9" t="e">
        <f t="shared" si="1"/>
        <v>#DIV/0!</v>
      </c>
      <c r="J9" t="e">
        <f t="shared" si="2"/>
        <v>#DIV/0!</v>
      </c>
      <c r="L9" t="e">
        <f t="shared" si="3"/>
        <v>#DIV/0!</v>
      </c>
      <c r="M9" t="e">
        <f t="shared" si="4"/>
        <v>#DIV/0!</v>
      </c>
      <c r="N9" t="e">
        <f t="shared" si="5"/>
        <v>#DIV/0!</v>
      </c>
    </row>
    <row r="10" spans="1:14" x14ac:dyDescent="0.25">
      <c r="A10">
        <v>39</v>
      </c>
      <c r="B10">
        <v>210</v>
      </c>
      <c r="C10">
        <v>15</v>
      </c>
      <c r="D10">
        <v>0</v>
      </c>
      <c r="H10" t="e">
        <f t="shared" si="0"/>
        <v>#DIV/0!</v>
      </c>
      <c r="I10" t="e">
        <f t="shared" si="1"/>
        <v>#DIV/0!</v>
      </c>
      <c r="J10" t="e">
        <f t="shared" si="2"/>
        <v>#DIV/0!</v>
      </c>
      <c r="L10">
        <f t="shared" si="3"/>
        <v>14</v>
      </c>
      <c r="M10" t="e">
        <f t="shared" si="4"/>
        <v>#DIV/0!</v>
      </c>
      <c r="N10" t="e">
        <f t="shared" si="5"/>
        <v>#DIV/0!</v>
      </c>
    </row>
    <row r="11" spans="1:14" x14ac:dyDescent="0.25">
      <c r="A11">
        <v>40</v>
      </c>
      <c r="B11">
        <v>152</v>
      </c>
      <c r="C11">
        <v>66</v>
      </c>
      <c r="D11">
        <v>0</v>
      </c>
      <c r="H11" t="e">
        <f t="shared" si="0"/>
        <v>#DIV/0!</v>
      </c>
      <c r="I11" t="e">
        <f t="shared" si="1"/>
        <v>#DIV/0!</v>
      </c>
      <c r="J11" t="e">
        <f t="shared" si="2"/>
        <v>#DIV/0!</v>
      </c>
      <c r="L11">
        <f t="shared" si="3"/>
        <v>2.3030303030303032</v>
      </c>
      <c r="M11" t="e">
        <f t="shared" si="4"/>
        <v>#DIV/0!</v>
      </c>
      <c r="N11" t="e">
        <f t="shared" si="5"/>
        <v>#DIV/0!</v>
      </c>
    </row>
    <row r="12" spans="1:14" s="1" customFormat="1" x14ac:dyDescent="0.25">
      <c r="A12" s="1">
        <v>41</v>
      </c>
      <c r="B12" s="1">
        <v>109</v>
      </c>
      <c r="C12" s="1">
        <v>0</v>
      </c>
      <c r="D12" s="1">
        <v>0</v>
      </c>
      <c r="H12" s="1" t="e">
        <f t="shared" si="0"/>
        <v>#DIV/0!</v>
      </c>
      <c r="I12" s="1" t="e">
        <f t="shared" si="1"/>
        <v>#DIV/0!</v>
      </c>
      <c r="J12" s="1" t="e">
        <f t="shared" si="2"/>
        <v>#DIV/0!</v>
      </c>
      <c r="L12" s="1" t="e">
        <f t="shared" si="3"/>
        <v>#DIV/0!</v>
      </c>
      <c r="M12" s="1" t="e">
        <f t="shared" si="4"/>
        <v>#DIV/0!</v>
      </c>
      <c r="N12" s="1" t="e">
        <f t="shared" si="5"/>
        <v>#DIV/0!</v>
      </c>
    </row>
    <row r="13" spans="1:14" x14ac:dyDescent="0.25">
      <c r="A13">
        <v>42</v>
      </c>
      <c r="B13">
        <v>249</v>
      </c>
      <c r="C13">
        <v>0</v>
      </c>
      <c r="D13">
        <v>0</v>
      </c>
      <c r="H13" t="e">
        <f t="shared" si="0"/>
        <v>#DIV/0!</v>
      </c>
      <c r="I13" t="e">
        <f t="shared" si="1"/>
        <v>#DIV/0!</v>
      </c>
      <c r="J13" t="e">
        <f t="shared" si="2"/>
        <v>#DIV/0!</v>
      </c>
      <c r="L13" t="e">
        <f t="shared" si="3"/>
        <v>#DIV/0!</v>
      </c>
      <c r="M13" t="e">
        <f t="shared" si="4"/>
        <v>#DIV/0!</v>
      </c>
      <c r="N13" t="e">
        <f t="shared" si="5"/>
        <v>#DIV/0!</v>
      </c>
    </row>
    <row r="14" spans="1:14" x14ac:dyDescent="0.25">
      <c r="A14">
        <v>44</v>
      </c>
      <c r="B14">
        <v>231</v>
      </c>
      <c r="C14">
        <v>10</v>
      </c>
      <c r="D14">
        <v>0</v>
      </c>
      <c r="H14" t="e">
        <f t="shared" si="0"/>
        <v>#DIV/0!</v>
      </c>
      <c r="I14" t="e">
        <f t="shared" si="1"/>
        <v>#DIV/0!</v>
      </c>
      <c r="J14" t="e">
        <f t="shared" si="2"/>
        <v>#DIV/0!</v>
      </c>
      <c r="L14">
        <f t="shared" si="3"/>
        <v>23.1</v>
      </c>
      <c r="M14" t="e">
        <f t="shared" si="4"/>
        <v>#DIV/0!</v>
      </c>
      <c r="N14" t="e">
        <f t="shared" si="5"/>
        <v>#DIV/0!</v>
      </c>
    </row>
    <row r="15" spans="1:14" x14ac:dyDescent="0.25">
      <c r="A15">
        <v>45</v>
      </c>
      <c r="B15">
        <v>245</v>
      </c>
      <c r="C15">
        <v>0</v>
      </c>
      <c r="D15">
        <v>0</v>
      </c>
      <c r="H15" t="e">
        <f t="shared" si="0"/>
        <v>#DIV/0!</v>
      </c>
      <c r="I15" t="e">
        <f t="shared" si="1"/>
        <v>#DIV/0!</v>
      </c>
      <c r="J15" t="e">
        <f t="shared" si="2"/>
        <v>#DIV/0!</v>
      </c>
      <c r="L15" t="e">
        <f t="shared" si="3"/>
        <v>#DIV/0!</v>
      </c>
      <c r="M15" t="e">
        <f t="shared" si="4"/>
        <v>#DIV/0!</v>
      </c>
      <c r="N15" t="e">
        <f t="shared" si="5"/>
        <v>#DIV/0!</v>
      </c>
    </row>
    <row r="17" spans="1:1" x14ac:dyDescent="0.25">
      <c r="A1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FF95F-1EA4-43B1-BD8E-3B3617C6528C}">
  <dimension ref="A1:N16"/>
  <sheetViews>
    <sheetView workbookViewId="0">
      <selection activeCell="A2" sqref="A2:D16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46</v>
      </c>
      <c r="B2">
        <v>156</v>
      </c>
      <c r="C2">
        <v>105</v>
      </c>
      <c r="D2">
        <v>12</v>
      </c>
      <c r="E2">
        <f>SUM(B2:D2)</f>
        <v>273</v>
      </c>
      <c r="H2">
        <f>100*B2/E2</f>
        <v>57.142857142857146</v>
      </c>
      <c r="I2">
        <f>100*C2/E2</f>
        <v>38.46153846153846</v>
      </c>
      <c r="J2">
        <f>100*D2/E2</f>
        <v>4.395604395604396</v>
      </c>
      <c r="L2">
        <f>B2/C2</f>
        <v>1.4857142857142858</v>
      </c>
      <c r="M2">
        <f>B2/D2</f>
        <v>13</v>
      </c>
      <c r="N2">
        <f>C2/D2</f>
        <v>8.75</v>
      </c>
    </row>
    <row r="3" spans="1:14" x14ac:dyDescent="0.25">
      <c r="A3">
        <v>47</v>
      </c>
      <c r="B3">
        <v>273</v>
      </c>
      <c r="C3">
        <v>3</v>
      </c>
      <c r="D3">
        <v>1</v>
      </c>
      <c r="E3">
        <f t="shared" ref="E3:E16" si="0">SUM(B3:D3)</f>
        <v>277</v>
      </c>
      <c r="H3">
        <f t="shared" ref="H3:H16" si="1">100*B3/E3</f>
        <v>98.555956678700355</v>
      </c>
      <c r="I3">
        <f t="shared" ref="I3:I16" si="2">100*C3/E3</f>
        <v>1.0830324909747293</v>
      </c>
      <c r="J3">
        <f t="shared" ref="J3:J16" si="3">100*D3/E3</f>
        <v>0.36101083032490977</v>
      </c>
      <c r="L3">
        <f t="shared" ref="L3:L16" si="4">B3/C3</f>
        <v>91</v>
      </c>
      <c r="M3">
        <f t="shared" ref="M3:M16" si="5">B3/D3</f>
        <v>273</v>
      </c>
      <c r="N3">
        <f t="shared" ref="N3:N16" si="6">C3/D3</f>
        <v>3</v>
      </c>
    </row>
    <row r="4" spans="1:14" x14ac:dyDescent="0.25">
      <c r="A4">
        <v>48</v>
      </c>
      <c r="B4">
        <v>222</v>
      </c>
      <c r="C4">
        <v>1</v>
      </c>
      <c r="D4">
        <v>0</v>
      </c>
      <c r="E4">
        <f t="shared" si="0"/>
        <v>223</v>
      </c>
      <c r="H4">
        <f t="shared" si="1"/>
        <v>99.551569506726452</v>
      </c>
      <c r="I4">
        <f t="shared" si="2"/>
        <v>0.44843049327354262</v>
      </c>
      <c r="J4">
        <f t="shared" si="3"/>
        <v>0</v>
      </c>
      <c r="L4">
        <f t="shared" si="4"/>
        <v>222</v>
      </c>
      <c r="M4" t="e">
        <f t="shared" si="5"/>
        <v>#DIV/0!</v>
      </c>
      <c r="N4" t="e">
        <f t="shared" si="6"/>
        <v>#DIV/0!</v>
      </c>
    </row>
    <row r="5" spans="1:14" x14ac:dyDescent="0.25">
      <c r="A5">
        <v>49</v>
      </c>
      <c r="B5">
        <v>155</v>
      </c>
      <c r="C5">
        <v>52</v>
      </c>
      <c r="D5">
        <v>3</v>
      </c>
      <c r="E5">
        <f t="shared" si="0"/>
        <v>210</v>
      </c>
      <c r="H5">
        <f t="shared" si="1"/>
        <v>73.80952380952381</v>
      </c>
      <c r="I5">
        <f t="shared" si="2"/>
        <v>24.761904761904763</v>
      </c>
      <c r="J5">
        <f t="shared" si="3"/>
        <v>1.4285714285714286</v>
      </c>
      <c r="L5">
        <f t="shared" si="4"/>
        <v>2.9807692307692308</v>
      </c>
      <c r="M5">
        <f t="shared" si="5"/>
        <v>51.666666666666664</v>
      </c>
      <c r="N5">
        <f t="shared" si="6"/>
        <v>17.333333333333332</v>
      </c>
    </row>
    <row r="6" spans="1:14" x14ac:dyDescent="0.25">
      <c r="A6">
        <v>50</v>
      </c>
      <c r="B6">
        <v>92</v>
      </c>
      <c r="C6">
        <v>117</v>
      </c>
      <c r="D6">
        <v>1</v>
      </c>
      <c r="E6">
        <f t="shared" si="0"/>
        <v>210</v>
      </c>
      <c r="H6">
        <f t="shared" si="1"/>
        <v>43.80952380952381</v>
      </c>
      <c r="I6">
        <f t="shared" si="2"/>
        <v>55.714285714285715</v>
      </c>
      <c r="J6">
        <f t="shared" si="3"/>
        <v>0.47619047619047616</v>
      </c>
      <c r="L6">
        <f t="shared" si="4"/>
        <v>0.78632478632478631</v>
      </c>
      <c r="M6">
        <f t="shared" si="5"/>
        <v>92</v>
      </c>
      <c r="N6">
        <f t="shared" si="6"/>
        <v>117</v>
      </c>
    </row>
    <row r="7" spans="1:14" x14ac:dyDescent="0.25">
      <c r="A7">
        <v>51</v>
      </c>
      <c r="B7">
        <v>143</v>
      </c>
      <c r="C7">
        <v>82</v>
      </c>
      <c r="D7">
        <v>0</v>
      </c>
      <c r="E7">
        <f t="shared" si="0"/>
        <v>225</v>
      </c>
      <c r="H7">
        <f t="shared" si="1"/>
        <v>63.555555555555557</v>
      </c>
      <c r="I7">
        <f t="shared" si="2"/>
        <v>36.444444444444443</v>
      </c>
      <c r="J7">
        <f t="shared" si="3"/>
        <v>0</v>
      </c>
      <c r="L7">
        <f t="shared" si="4"/>
        <v>1.7439024390243902</v>
      </c>
      <c r="M7" t="e">
        <f t="shared" si="5"/>
        <v>#DIV/0!</v>
      </c>
      <c r="N7" t="e">
        <f t="shared" si="6"/>
        <v>#DIV/0!</v>
      </c>
    </row>
    <row r="8" spans="1:14" x14ac:dyDescent="0.25">
      <c r="A8">
        <v>52</v>
      </c>
      <c r="B8">
        <v>216</v>
      </c>
      <c r="C8">
        <v>36</v>
      </c>
      <c r="D8">
        <v>1</v>
      </c>
      <c r="E8">
        <f t="shared" si="0"/>
        <v>253</v>
      </c>
      <c r="H8">
        <f t="shared" si="1"/>
        <v>85.37549407114625</v>
      </c>
      <c r="I8">
        <f t="shared" si="2"/>
        <v>14.229249011857707</v>
      </c>
      <c r="J8">
        <f t="shared" si="3"/>
        <v>0.39525691699604742</v>
      </c>
      <c r="L8">
        <f t="shared" si="4"/>
        <v>6</v>
      </c>
      <c r="M8">
        <f t="shared" si="5"/>
        <v>216</v>
      </c>
      <c r="N8">
        <f t="shared" si="6"/>
        <v>36</v>
      </c>
    </row>
    <row r="9" spans="1:14" x14ac:dyDescent="0.25">
      <c r="A9">
        <v>53</v>
      </c>
      <c r="B9">
        <v>224</v>
      </c>
      <c r="C9">
        <v>1</v>
      </c>
      <c r="D9">
        <v>0</v>
      </c>
      <c r="E9">
        <f t="shared" si="0"/>
        <v>225</v>
      </c>
      <c r="H9">
        <f t="shared" si="1"/>
        <v>99.555555555555557</v>
      </c>
      <c r="I9">
        <f t="shared" si="2"/>
        <v>0.44444444444444442</v>
      </c>
      <c r="J9">
        <f t="shared" si="3"/>
        <v>0</v>
      </c>
      <c r="L9">
        <f t="shared" si="4"/>
        <v>224</v>
      </c>
      <c r="M9" t="e">
        <f t="shared" si="5"/>
        <v>#DIV/0!</v>
      </c>
      <c r="N9" t="e">
        <f t="shared" si="6"/>
        <v>#DIV/0!</v>
      </c>
    </row>
    <row r="10" spans="1:14" x14ac:dyDescent="0.25">
      <c r="A10">
        <v>54</v>
      </c>
      <c r="B10">
        <v>202</v>
      </c>
      <c r="C10">
        <v>10</v>
      </c>
      <c r="D10">
        <v>0</v>
      </c>
      <c r="E10">
        <f t="shared" si="0"/>
        <v>212</v>
      </c>
      <c r="H10">
        <f t="shared" si="1"/>
        <v>95.283018867924525</v>
      </c>
      <c r="I10">
        <f t="shared" si="2"/>
        <v>4.716981132075472</v>
      </c>
      <c r="J10">
        <f t="shared" si="3"/>
        <v>0</v>
      </c>
      <c r="L10">
        <f t="shared" si="4"/>
        <v>20.2</v>
      </c>
      <c r="M10" t="e">
        <f t="shared" si="5"/>
        <v>#DIV/0!</v>
      </c>
      <c r="N10" t="e">
        <f t="shared" si="6"/>
        <v>#DIV/0!</v>
      </c>
    </row>
    <row r="11" spans="1:14" s="1" customFormat="1" x14ac:dyDescent="0.25">
      <c r="A11" s="1">
        <v>55</v>
      </c>
      <c r="B11" s="1">
        <v>188</v>
      </c>
      <c r="C11" s="1">
        <v>7</v>
      </c>
      <c r="D11" s="1">
        <v>6</v>
      </c>
      <c r="E11" s="1">
        <f t="shared" si="0"/>
        <v>201</v>
      </c>
      <c r="H11" s="1">
        <f t="shared" si="1"/>
        <v>93.53233830845771</v>
      </c>
      <c r="I11" s="1">
        <f t="shared" si="2"/>
        <v>3.4825870646766171</v>
      </c>
      <c r="J11" s="1">
        <f t="shared" si="3"/>
        <v>2.9850746268656718</v>
      </c>
      <c r="L11" s="1">
        <f t="shared" si="4"/>
        <v>26.857142857142858</v>
      </c>
      <c r="M11" s="1">
        <f t="shared" si="5"/>
        <v>31.333333333333332</v>
      </c>
      <c r="N11" s="1">
        <f t="shared" si="6"/>
        <v>1.1666666666666667</v>
      </c>
    </row>
    <row r="12" spans="1:14" x14ac:dyDescent="0.25">
      <c r="A12">
        <v>56</v>
      </c>
      <c r="B12">
        <v>129</v>
      </c>
      <c r="C12">
        <v>118</v>
      </c>
      <c r="D12">
        <v>0</v>
      </c>
      <c r="E12">
        <f t="shared" si="0"/>
        <v>247</v>
      </c>
      <c r="H12">
        <f t="shared" si="1"/>
        <v>52.226720647773277</v>
      </c>
      <c r="I12">
        <f t="shared" si="2"/>
        <v>47.773279352226723</v>
      </c>
      <c r="J12">
        <f t="shared" si="3"/>
        <v>0</v>
      </c>
      <c r="L12">
        <f t="shared" si="4"/>
        <v>1.0932203389830508</v>
      </c>
      <c r="M12" t="e">
        <f t="shared" si="5"/>
        <v>#DIV/0!</v>
      </c>
      <c r="N12" t="e">
        <f t="shared" si="6"/>
        <v>#DIV/0!</v>
      </c>
    </row>
    <row r="13" spans="1:14" x14ac:dyDescent="0.25">
      <c r="A13">
        <v>57</v>
      </c>
      <c r="B13">
        <v>166</v>
      </c>
      <c r="C13">
        <v>80</v>
      </c>
      <c r="D13">
        <v>0</v>
      </c>
      <c r="E13">
        <f t="shared" si="0"/>
        <v>246</v>
      </c>
      <c r="H13">
        <f t="shared" si="1"/>
        <v>67.479674796747972</v>
      </c>
      <c r="I13">
        <f t="shared" si="2"/>
        <v>32.520325203252035</v>
      </c>
      <c r="J13">
        <f t="shared" si="3"/>
        <v>0</v>
      </c>
      <c r="L13">
        <f t="shared" si="4"/>
        <v>2.0750000000000002</v>
      </c>
      <c r="M13" t="e">
        <f t="shared" si="5"/>
        <v>#DIV/0!</v>
      </c>
      <c r="N13" t="e">
        <f t="shared" si="6"/>
        <v>#DIV/0!</v>
      </c>
    </row>
    <row r="14" spans="1:14" x14ac:dyDescent="0.25">
      <c r="A14">
        <v>58</v>
      </c>
      <c r="B14">
        <v>139</v>
      </c>
      <c r="C14">
        <v>137</v>
      </c>
      <c r="D14">
        <v>0</v>
      </c>
      <c r="E14">
        <f t="shared" si="0"/>
        <v>276</v>
      </c>
      <c r="H14">
        <f t="shared" si="1"/>
        <v>50.362318840579711</v>
      </c>
      <c r="I14">
        <f t="shared" si="2"/>
        <v>49.637681159420289</v>
      </c>
      <c r="J14">
        <f t="shared" si="3"/>
        <v>0</v>
      </c>
      <c r="L14">
        <f t="shared" si="4"/>
        <v>1.0145985401459854</v>
      </c>
      <c r="M14" t="e">
        <f t="shared" si="5"/>
        <v>#DIV/0!</v>
      </c>
      <c r="N14" t="e">
        <f t="shared" si="6"/>
        <v>#DIV/0!</v>
      </c>
    </row>
    <row r="15" spans="1:14" x14ac:dyDescent="0.25">
      <c r="A15">
        <v>59</v>
      </c>
      <c r="B15">
        <v>223</v>
      </c>
      <c r="C15">
        <v>13</v>
      </c>
      <c r="D15">
        <v>0</v>
      </c>
      <c r="E15">
        <f t="shared" si="0"/>
        <v>236</v>
      </c>
      <c r="H15">
        <f t="shared" si="1"/>
        <v>94.491525423728817</v>
      </c>
      <c r="I15">
        <f t="shared" si="2"/>
        <v>5.5084745762711869</v>
      </c>
      <c r="J15">
        <f t="shared" si="3"/>
        <v>0</v>
      </c>
      <c r="L15">
        <f t="shared" si="4"/>
        <v>17.153846153846153</v>
      </c>
      <c r="M15" t="e">
        <f t="shared" si="5"/>
        <v>#DIV/0!</v>
      </c>
      <c r="N15" t="e">
        <f t="shared" si="6"/>
        <v>#DIV/0!</v>
      </c>
    </row>
    <row r="16" spans="1:14" x14ac:dyDescent="0.25">
      <c r="A16">
        <v>60</v>
      </c>
      <c r="B16">
        <v>170</v>
      </c>
      <c r="C16">
        <v>71</v>
      </c>
      <c r="D16">
        <v>0</v>
      </c>
      <c r="E16">
        <f t="shared" si="0"/>
        <v>241</v>
      </c>
      <c r="H16">
        <f t="shared" si="1"/>
        <v>70.539419087136935</v>
      </c>
      <c r="I16">
        <f t="shared" si="2"/>
        <v>29.460580912863069</v>
      </c>
      <c r="J16">
        <f t="shared" si="3"/>
        <v>0</v>
      </c>
      <c r="L16">
        <f t="shared" si="4"/>
        <v>2.3943661971830985</v>
      </c>
      <c r="M16" t="e">
        <f t="shared" si="5"/>
        <v>#DIV/0!</v>
      </c>
      <c r="N16" t="e">
        <f t="shared" si="6"/>
        <v>#DIV/0!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08D6-1B4F-4785-A77E-BD9C705C9548}">
  <dimension ref="A1:N16"/>
  <sheetViews>
    <sheetView zoomScaleNormal="100" workbookViewId="0">
      <selection activeCell="A2" sqref="A2:D16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s="1" customFormat="1" x14ac:dyDescent="0.25">
      <c r="A2" s="1">
        <v>61</v>
      </c>
      <c r="B2" s="1">
        <v>128</v>
      </c>
      <c r="C2" s="1">
        <v>90</v>
      </c>
      <c r="D2" s="1">
        <v>2</v>
      </c>
      <c r="E2" s="1">
        <f>SUM(B2:D2)</f>
        <v>220</v>
      </c>
      <c r="H2" s="1">
        <f>100*B2/E2</f>
        <v>58.18181818181818</v>
      </c>
      <c r="I2" s="1">
        <f>100*C2/E2</f>
        <v>40.909090909090907</v>
      </c>
      <c r="J2" s="1">
        <f>100*D2/E2</f>
        <v>0.90909090909090906</v>
      </c>
      <c r="L2" s="1">
        <f>B2/C2</f>
        <v>1.4222222222222223</v>
      </c>
      <c r="M2" s="1">
        <f>B2/D2</f>
        <v>64</v>
      </c>
      <c r="N2" s="1">
        <f>C2/D2</f>
        <v>45</v>
      </c>
    </row>
    <row r="3" spans="1:14" s="1" customFormat="1" x14ac:dyDescent="0.25">
      <c r="A3" s="1">
        <v>62</v>
      </c>
      <c r="B3" s="1">
        <v>205</v>
      </c>
      <c r="C3" s="1">
        <v>18</v>
      </c>
      <c r="D3" s="1">
        <v>0</v>
      </c>
      <c r="E3" s="1">
        <f t="shared" ref="E3:E16" si="0">SUM(B3:D3)</f>
        <v>223</v>
      </c>
      <c r="H3" s="1">
        <f t="shared" ref="H3:H16" si="1">100*B3/E3</f>
        <v>91.928251121076229</v>
      </c>
      <c r="I3" s="1">
        <f t="shared" ref="I3:I15" si="2">100*C3/E3</f>
        <v>8.071748878923767</v>
      </c>
      <c r="J3" s="1">
        <f t="shared" ref="J3:J15" si="3">100*D3/E3</f>
        <v>0</v>
      </c>
      <c r="L3" s="1">
        <f t="shared" ref="L3:L16" si="4">B3/C3</f>
        <v>11.388888888888889</v>
      </c>
      <c r="M3" s="1" t="e">
        <f t="shared" ref="M3:M16" si="5">B3/D3</f>
        <v>#DIV/0!</v>
      </c>
      <c r="N3" s="1" t="e">
        <f t="shared" ref="N3:N16" si="6">C3/D3</f>
        <v>#DIV/0!</v>
      </c>
    </row>
    <row r="4" spans="1:14" x14ac:dyDescent="0.25">
      <c r="A4">
        <v>63</v>
      </c>
      <c r="B4">
        <v>203</v>
      </c>
      <c r="C4">
        <v>11</v>
      </c>
      <c r="D4">
        <v>0</v>
      </c>
      <c r="E4">
        <f t="shared" si="0"/>
        <v>214</v>
      </c>
      <c r="H4">
        <f t="shared" si="1"/>
        <v>94.859813084112147</v>
      </c>
      <c r="I4">
        <f t="shared" si="2"/>
        <v>5.1401869158878508</v>
      </c>
      <c r="J4">
        <f t="shared" si="3"/>
        <v>0</v>
      </c>
      <c r="L4">
        <f t="shared" si="4"/>
        <v>18.454545454545453</v>
      </c>
      <c r="M4" t="e">
        <f t="shared" si="5"/>
        <v>#DIV/0!</v>
      </c>
      <c r="N4" t="e">
        <f t="shared" si="6"/>
        <v>#DIV/0!</v>
      </c>
    </row>
    <row r="5" spans="1:14" x14ac:dyDescent="0.25">
      <c r="A5">
        <v>64</v>
      </c>
      <c r="B5">
        <v>219</v>
      </c>
      <c r="C5">
        <v>1</v>
      </c>
      <c r="D5">
        <v>0</v>
      </c>
      <c r="E5">
        <f t="shared" si="0"/>
        <v>220</v>
      </c>
      <c r="H5">
        <f t="shared" si="1"/>
        <v>99.545454545454547</v>
      </c>
      <c r="I5">
        <f t="shared" si="2"/>
        <v>0.45454545454545453</v>
      </c>
      <c r="J5">
        <f t="shared" si="3"/>
        <v>0</v>
      </c>
      <c r="L5">
        <f t="shared" si="4"/>
        <v>219</v>
      </c>
      <c r="M5" t="e">
        <f t="shared" si="5"/>
        <v>#DIV/0!</v>
      </c>
      <c r="N5" t="e">
        <f t="shared" si="6"/>
        <v>#DIV/0!</v>
      </c>
    </row>
    <row r="6" spans="1:14" x14ac:dyDescent="0.25">
      <c r="A6">
        <v>65</v>
      </c>
      <c r="B6">
        <v>214</v>
      </c>
      <c r="C6">
        <v>14</v>
      </c>
      <c r="D6">
        <v>1</v>
      </c>
      <c r="E6">
        <f t="shared" si="0"/>
        <v>229</v>
      </c>
      <c r="H6">
        <f t="shared" si="1"/>
        <v>93.449781659388648</v>
      </c>
      <c r="I6">
        <f t="shared" si="2"/>
        <v>6.1135371179039302</v>
      </c>
      <c r="J6">
        <f t="shared" si="3"/>
        <v>0.4366812227074236</v>
      </c>
      <c r="L6">
        <f t="shared" si="4"/>
        <v>15.285714285714286</v>
      </c>
      <c r="M6">
        <f t="shared" si="5"/>
        <v>214</v>
      </c>
      <c r="N6">
        <f t="shared" si="6"/>
        <v>14</v>
      </c>
    </row>
    <row r="7" spans="1:14" s="1" customFormat="1" x14ac:dyDescent="0.25">
      <c r="A7" s="1">
        <v>66</v>
      </c>
      <c r="B7" s="1">
        <v>89</v>
      </c>
      <c r="C7" s="1">
        <v>144</v>
      </c>
      <c r="D7" s="1">
        <v>0</v>
      </c>
      <c r="E7" s="1">
        <f t="shared" si="0"/>
        <v>233</v>
      </c>
      <c r="H7" s="1">
        <f t="shared" si="1"/>
        <v>38.197424892703864</v>
      </c>
      <c r="I7" s="1">
        <f t="shared" si="2"/>
        <v>61.802575107296136</v>
      </c>
      <c r="J7" s="1">
        <f t="shared" si="3"/>
        <v>0</v>
      </c>
      <c r="L7" s="1">
        <f t="shared" si="4"/>
        <v>0.61805555555555558</v>
      </c>
      <c r="M7" s="1" t="e">
        <f t="shared" si="5"/>
        <v>#DIV/0!</v>
      </c>
      <c r="N7" s="1" t="e">
        <f t="shared" si="6"/>
        <v>#DIV/0!</v>
      </c>
    </row>
    <row r="8" spans="1:14" x14ac:dyDescent="0.25">
      <c r="A8">
        <v>67</v>
      </c>
      <c r="B8">
        <v>96</v>
      </c>
      <c r="C8">
        <v>153</v>
      </c>
      <c r="D8">
        <v>0</v>
      </c>
      <c r="E8">
        <f t="shared" si="0"/>
        <v>249</v>
      </c>
      <c r="H8">
        <f t="shared" si="1"/>
        <v>38.554216867469883</v>
      </c>
      <c r="I8">
        <f t="shared" si="2"/>
        <v>61.445783132530117</v>
      </c>
      <c r="J8">
        <f t="shared" si="3"/>
        <v>0</v>
      </c>
      <c r="L8">
        <f t="shared" si="4"/>
        <v>0.62745098039215685</v>
      </c>
      <c r="M8" t="e">
        <f t="shared" si="5"/>
        <v>#DIV/0!</v>
      </c>
      <c r="N8" t="e">
        <f t="shared" si="6"/>
        <v>#DIV/0!</v>
      </c>
    </row>
    <row r="9" spans="1:14" x14ac:dyDescent="0.25">
      <c r="A9">
        <v>68</v>
      </c>
      <c r="B9">
        <v>220</v>
      </c>
      <c r="C9">
        <v>0</v>
      </c>
      <c r="D9">
        <v>0</v>
      </c>
      <c r="E9">
        <f t="shared" si="0"/>
        <v>220</v>
      </c>
      <c r="H9">
        <f t="shared" si="1"/>
        <v>100</v>
      </c>
      <c r="I9">
        <f t="shared" si="2"/>
        <v>0</v>
      </c>
      <c r="J9">
        <f t="shared" si="3"/>
        <v>0</v>
      </c>
      <c r="L9" t="e">
        <f t="shared" si="4"/>
        <v>#DIV/0!</v>
      </c>
      <c r="M9" t="e">
        <f t="shared" si="5"/>
        <v>#DIV/0!</v>
      </c>
      <c r="N9" t="e">
        <f t="shared" si="6"/>
        <v>#DIV/0!</v>
      </c>
    </row>
    <row r="10" spans="1:14" s="1" customFormat="1" x14ac:dyDescent="0.25">
      <c r="A10" s="1">
        <v>69</v>
      </c>
      <c r="B10" s="1">
        <v>169</v>
      </c>
      <c r="C10" s="1">
        <v>66</v>
      </c>
      <c r="D10" s="1">
        <v>0</v>
      </c>
      <c r="E10" s="1">
        <f t="shared" si="0"/>
        <v>235</v>
      </c>
      <c r="H10" s="1">
        <f t="shared" si="1"/>
        <v>71.914893617021278</v>
      </c>
      <c r="I10" s="1">
        <f t="shared" si="2"/>
        <v>28.085106382978722</v>
      </c>
      <c r="J10" s="1">
        <f t="shared" si="3"/>
        <v>0</v>
      </c>
      <c r="L10" s="1">
        <f t="shared" si="4"/>
        <v>2.5606060606060606</v>
      </c>
      <c r="M10" s="1" t="e">
        <f t="shared" si="5"/>
        <v>#DIV/0!</v>
      </c>
      <c r="N10" s="1" t="e">
        <f t="shared" si="6"/>
        <v>#DIV/0!</v>
      </c>
    </row>
    <row r="11" spans="1:14" x14ac:dyDescent="0.25">
      <c r="A11">
        <v>70</v>
      </c>
      <c r="B11">
        <v>200</v>
      </c>
      <c r="C11">
        <v>9</v>
      </c>
      <c r="D11">
        <v>0</v>
      </c>
      <c r="E11">
        <f t="shared" si="0"/>
        <v>209</v>
      </c>
      <c r="H11">
        <f t="shared" si="1"/>
        <v>95.693779904306226</v>
      </c>
      <c r="I11">
        <f t="shared" si="2"/>
        <v>4.3062200956937797</v>
      </c>
      <c r="J11">
        <f t="shared" si="3"/>
        <v>0</v>
      </c>
      <c r="L11">
        <f t="shared" si="4"/>
        <v>22.222222222222221</v>
      </c>
      <c r="M11" t="e">
        <f t="shared" si="5"/>
        <v>#DIV/0!</v>
      </c>
      <c r="N11" t="e">
        <f t="shared" si="6"/>
        <v>#DIV/0!</v>
      </c>
    </row>
    <row r="12" spans="1:14" s="1" customFormat="1" x14ac:dyDescent="0.25">
      <c r="A12" s="1">
        <v>71</v>
      </c>
      <c r="B12" s="1">
        <v>123</v>
      </c>
      <c r="C12" s="1">
        <v>102</v>
      </c>
      <c r="D12" s="1">
        <v>0</v>
      </c>
      <c r="E12" s="1">
        <f t="shared" si="0"/>
        <v>225</v>
      </c>
      <c r="H12" s="1">
        <f t="shared" si="1"/>
        <v>54.666666666666664</v>
      </c>
      <c r="I12" s="1">
        <f t="shared" si="2"/>
        <v>45.333333333333336</v>
      </c>
      <c r="J12" s="1">
        <f t="shared" si="3"/>
        <v>0</v>
      </c>
      <c r="L12" s="1">
        <f t="shared" si="4"/>
        <v>1.2058823529411764</v>
      </c>
      <c r="M12" s="1" t="e">
        <f t="shared" si="5"/>
        <v>#DIV/0!</v>
      </c>
      <c r="N12" s="1" t="e">
        <f t="shared" si="6"/>
        <v>#DIV/0!</v>
      </c>
    </row>
    <row r="13" spans="1:14" x14ac:dyDescent="0.25">
      <c r="A13">
        <v>72</v>
      </c>
      <c r="B13">
        <v>220</v>
      </c>
      <c r="C13">
        <v>220</v>
      </c>
      <c r="D13">
        <v>1</v>
      </c>
      <c r="E13">
        <f t="shared" si="0"/>
        <v>441</v>
      </c>
      <c r="H13">
        <f t="shared" si="1"/>
        <v>49.886621315192741</v>
      </c>
      <c r="I13">
        <f t="shared" si="2"/>
        <v>49.886621315192741</v>
      </c>
      <c r="J13">
        <f t="shared" si="3"/>
        <v>0.22675736961451248</v>
      </c>
      <c r="L13">
        <f t="shared" si="4"/>
        <v>1</v>
      </c>
      <c r="M13">
        <f t="shared" si="5"/>
        <v>220</v>
      </c>
      <c r="N13">
        <f t="shared" si="6"/>
        <v>220</v>
      </c>
    </row>
    <row r="14" spans="1:14" x14ac:dyDescent="0.25">
      <c r="A14">
        <v>73</v>
      </c>
      <c r="B14">
        <v>228</v>
      </c>
      <c r="C14">
        <v>228</v>
      </c>
      <c r="D14">
        <v>3</v>
      </c>
      <c r="E14">
        <f t="shared" si="0"/>
        <v>459</v>
      </c>
      <c r="H14">
        <f t="shared" si="1"/>
        <v>49.673202614379086</v>
      </c>
      <c r="I14">
        <f t="shared" si="2"/>
        <v>49.673202614379086</v>
      </c>
      <c r="J14">
        <f t="shared" si="3"/>
        <v>0.65359477124183007</v>
      </c>
      <c r="L14">
        <f t="shared" si="4"/>
        <v>1</v>
      </c>
      <c r="M14">
        <f t="shared" si="5"/>
        <v>76</v>
      </c>
      <c r="N14">
        <f t="shared" si="6"/>
        <v>76</v>
      </c>
    </row>
    <row r="15" spans="1:14" s="1" customFormat="1" x14ac:dyDescent="0.25">
      <c r="A15" s="1">
        <v>74</v>
      </c>
      <c r="B15" s="1">
        <v>21</v>
      </c>
      <c r="C15" s="1">
        <v>219</v>
      </c>
      <c r="D15" s="1">
        <v>0</v>
      </c>
      <c r="E15" s="1">
        <f t="shared" si="0"/>
        <v>240</v>
      </c>
      <c r="H15" s="1">
        <f t="shared" si="1"/>
        <v>8.75</v>
      </c>
      <c r="I15" s="1">
        <f t="shared" si="2"/>
        <v>91.25</v>
      </c>
      <c r="J15" s="1">
        <f t="shared" si="3"/>
        <v>0</v>
      </c>
      <c r="L15" s="1">
        <f t="shared" si="4"/>
        <v>9.5890410958904104E-2</v>
      </c>
      <c r="M15" s="1" t="e">
        <f t="shared" si="5"/>
        <v>#DIV/0!</v>
      </c>
      <c r="N15" s="1" t="e">
        <f t="shared" si="6"/>
        <v>#DIV/0!</v>
      </c>
    </row>
    <row r="16" spans="1:14" s="1" customFormat="1" x14ac:dyDescent="0.25">
      <c r="A16" s="1">
        <v>75</v>
      </c>
      <c r="B16" s="1">
        <v>223</v>
      </c>
      <c r="C16" s="1">
        <v>223</v>
      </c>
      <c r="D16" s="1">
        <v>3</v>
      </c>
      <c r="E16" s="1">
        <f t="shared" si="0"/>
        <v>449</v>
      </c>
      <c r="H16" s="1">
        <f t="shared" si="1"/>
        <v>49.665924276169264</v>
      </c>
      <c r="I16" s="1">
        <f t="shared" ref="I16" si="7">100*C16/E16</f>
        <v>49.665924276169264</v>
      </c>
      <c r="J16" s="1">
        <f t="shared" ref="J16" si="8">100*D16/E16</f>
        <v>0.66815144766146994</v>
      </c>
      <c r="L16" s="1">
        <f t="shared" si="4"/>
        <v>1</v>
      </c>
      <c r="M16" s="1">
        <f t="shared" si="5"/>
        <v>74.333333333333329</v>
      </c>
      <c r="N16" s="1">
        <f t="shared" si="6"/>
        <v>74.333333333333329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A464-E798-4373-8A9D-6FEC6B0DE426}">
  <dimension ref="A1:D74"/>
  <sheetViews>
    <sheetView workbookViewId="0">
      <selection activeCell="H75" sqref="H75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>
        <v>256</v>
      </c>
      <c r="C2">
        <v>0</v>
      </c>
      <c r="D2">
        <v>0</v>
      </c>
    </row>
    <row r="3" spans="1:4" x14ac:dyDescent="0.25">
      <c r="A3">
        <v>2</v>
      </c>
      <c r="B3">
        <v>321</v>
      </c>
      <c r="C3">
        <v>0</v>
      </c>
      <c r="D3">
        <v>0</v>
      </c>
    </row>
    <row r="4" spans="1:4" x14ac:dyDescent="0.25">
      <c r="A4">
        <v>3</v>
      </c>
      <c r="B4">
        <v>271</v>
      </c>
      <c r="C4">
        <v>0</v>
      </c>
      <c r="D4">
        <v>0</v>
      </c>
    </row>
    <row r="5" spans="1:4" x14ac:dyDescent="0.25">
      <c r="A5">
        <v>4</v>
      </c>
      <c r="B5">
        <v>292</v>
      </c>
      <c r="C5">
        <v>13</v>
      </c>
      <c r="D5">
        <v>0</v>
      </c>
    </row>
    <row r="6" spans="1:4" x14ac:dyDescent="0.25">
      <c r="A6">
        <v>5</v>
      </c>
      <c r="B6">
        <v>322</v>
      </c>
      <c r="C6">
        <v>1</v>
      </c>
      <c r="D6">
        <v>0</v>
      </c>
    </row>
    <row r="7" spans="1:4" x14ac:dyDescent="0.25">
      <c r="A7">
        <v>6</v>
      </c>
      <c r="B7">
        <v>317</v>
      </c>
      <c r="C7">
        <v>0</v>
      </c>
      <c r="D7">
        <v>0</v>
      </c>
    </row>
    <row r="8" spans="1:4" x14ac:dyDescent="0.25">
      <c r="A8">
        <v>7</v>
      </c>
      <c r="B8">
        <v>272</v>
      </c>
      <c r="C8">
        <v>2</v>
      </c>
      <c r="D8">
        <v>0</v>
      </c>
    </row>
    <row r="9" spans="1:4" x14ac:dyDescent="0.25">
      <c r="A9">
        <v>8</v>
      </c>
      <c r="B9">
        <v>245</v>
      </c>
      <c r="C9">
        <v>2</v>
      </c>
      <c r="D9">
        <v>0</v>
      </c>
    </row>
    <row r="10" spans="1:4" x14ac:dyDescent="0.25">
      <c r="A10">
        <v>9</v>
      </c>
      <c r="B10">
        <v>293</v>
      </c>
      <c r="C10">
        <v>0</v>
      </c>
      <c r="D10">
        <v>0</v>
      </c>
    </row>
    <row r="11" spans="1:4" x14ac:dyDescent="0.25">
      <c r="A11">
        <v>10</v>
      </c>
      <c r="B11">
        <v>281</v>
      </c>
      <c r="C11">
        <v>0</v>
      </c>
      <c r="D11">
        <v>0</v>
      </c>
    </row>
    <row r="12" spans="1:4" x14ac:dyDescent="0.25">
      <c r="A12">
        <v>11</v>
      </c>
      <c r="B12">
        <v>233</v>
      </c>
      <c r="C12">
        <v>2</v>
      </c>
      <c r="D12">
        <v>0</v>
      </c>
    </row>
    <row r="13" spans="1:4" x14ac:dyDescent="0.25">
      <c r="A13">
        <v>12</v>
      </c>
      <c r="B13">
        <v>274</v>
      </c>
      <c r="C13">
        <v>0</v>
      </c>
      <c r="D13">
        <v>0</v>
      </c>
    </row>
    <row r="14" spans="1:4" x14ac:dyDescent="0.25">
      <c r="A14">
        <v>13</v>
      </c>
      <c r="B14">
        <v>229</v>
      </c>
      <c r="C14">
        <v>2</v>
      </c>
      <c r="D14">
        <v>0</v>
      </c>
    </row>
    <row r="15" spans="1:4" x14ac:dyDescent="0.25">
      <c r="A15">
        <v>14</v>
      </c>
      <c r="B15">
        <v>240</v>
      </c>
      <c r="C15">
        <v>1</v>
      </c>
      <c r="D15">
        <v>0</v>
      </c>
    </row>
    <row r="16" spans="1:4" x14ac:dyDescent="0.25">
      <c r="A16">
        <v>15</v>
      </c>
      <c r="B16">
        <v>271</v>
      </c>
      <c r="C16">
        <v>2</v>
      </c>
      <c r="D16">
        <v>0</v>
      </c>
    </row>
    <row r="17" spans="1:4" x14ac:dyDescent="0.25">
      <c r="A17" s="1">
        <v>16</v>
      </c>
      <c r="B17" s="1">
        <v>107</v>
      </c>
      <c r="C17" s="1">
        <v>0</v>
      </c>
      <c r="D17" s="1">
        <v>0</v>
      </c>
    </row>
    <row r="18" spans="1:4" x14ac:dyDescent="0.25">
      <c r="A18">
        <v>17</v>
      </c>
      <c r="B18" t="s">
        <v>12</v>
      </c>
    </row>
    <row r="19" spans="1:4" x14ac:dyDescent="0.25">
      <c r="A19">
        <v>18</v>
      </c>
      <c r="B19">
        <v>210</v>
      </c>
      <c r="C19">
        <v>8</v>
      </c>
      <c r="D19">
        <v>0</v>
      </c>
    </row>
    <row r="20" spans="1:4" x14ac:dyDescent="0.25">
      <c r="A20">
        <v>19</v>
      </c>
      <c r="B20">
        <v>161</v>
      </c>
      <c r="C20">
        <v>84</v>
      </c>
      <c r="D20">
        <v>0</v>
      </c>
    </row>
    <row r="21" spans="1:4" x14ac:dyDescent="0.25">
      <c r="A21">
        <v>20</v>
      </c>
      <c r="B21">
        <v>222</v>
      </c>
      <c r="C21">
        <v>0</v>
      </c>
      <c r="D21">
        <v>0</v>
      </c>
    </row>
    <row r="22" spans="1:4" x14ac:dyDescent="0.25">
      <c r="A22">
        <v>21</v>
      </c>
      <c r="B22">
        <v>214</v>
      </c>
      <c r="C22">
        <v>0</v>
      </c>
      <c r="D22">
        <v>0</v>
      </c>
    </row>
    <row r="23" spans="1:4" x14ac:dyDescent="0.25">
      <c r="A23">
        <v>22</v>
      </c>
      <c r="B23">
        <v>280</v>
      </c>
      <c r="C23">
        <v>3</v>
      </c>
      <c r="D23">
        <v>0</v>
      </c>
    </row>
    <row r="24" spans="1:4" x14ac:dyDescent="0.25">
      <c r="A24">
        <v>23</v>
      </c>
      <c r="B24">
        <v>153</v>
      </c>
      <c r="C24">
        <v>72</v>
      </c>
      <c r="D24">
        <v>0</v>
      </c>
    </row>
    <row r="25" spans="1:4" x14ac:dyDescent="0.25">
      <c r="A25">
        <v>24</v>
      </c>
      <c r="B25">
        <v>162</v>
      </c>
      <c r="C25">
        <v>64</v>
      </c>
      <c r="D25">
        <v>0</v>
      </c>
    </row>
    <row r="26" spans="1:4" x14ac:dyDescent="0.25">
      <c r="A26">
        <v>25</v>
      </c>
      <c r="B26">
        <v>213</v>
      </c>
      <c r="C26">
        <v>0</v>
      </c>
      <c r="D26">
        <v>0</v>
      </c>
    </row>
    <row r="27" spans="1:4" x14ac:dyDescent="0.25">
      <c r="A27" s="1">
        <v>26</v>
      </c>
      <c r="B27" s="1">
        <v>68</v>
      </c>
      <c r="C27" s="1">
        <v>84</v>
      </c>
      <c r="D27" s="1">
        <v>0</v>
      </c>
    </row>
    <row r="28" spans="1:4" x14ac:dyDescent="0.25">
      <c r="A28" s="1">
        <v>27</v>
      </c>
      <c r="B28" s="1">
        <v>56</v>
      </c>
      <c r="C28" s="1">
        <v>0</v>
      </c>
      <c r="D28" s="1">
        <v>0</v>
      </c>
    </row>
    <row r="29" spans="1:4" x14ac:dyDescent="0.25">
      <c r="A29">
        <v>28</v>
      </c>
      <c r="B29">
        <v>143</v>
      </c>
      <c r="C29">
        <v>61</v>
      </c>
      <c r="D29">
        <v>0</v>
      </c>
    </row>
    <row r="30" spans="1:4" x14ac:dyDescent="0.25">
      <c r="A30">
        <v>29</v>
      </c>
      <c r="B30">
        <v>126</v>
      </c>
      <c r="C30">
        <v>15</v>
      </c>
      <c r="D30">
        <v>0</v>
      </c>
    </row>
    <row r="31" spans="1:4" x14ac:dyDescent="0.25">
      <c r="A31">
        <v>31</v>
      </c>
      <c r="B31">
        <v>171</v>
      </c>
      <c r="C31">
        <v>50</v>
      </c>
      <c r="D31">
        <v>0</v>
      </c>
    </row>
    <row r="32" spans="1:4" x14ac:dyDescent="0.25">
      <c r="A32">
        <v>32</v>
      </c>
      <c r="B32">
        <v>109</v>
      </c>
      <c r="C32">
        <v>122</v>
      </c>
      <c r="D32">
        <v>0</v>
      </c>
    </row>
    <row r="33" spans="1:4" x14ac:dyDescent="0.25">
      <c r="A33">
        <v>33</v>
      </c>
      <c r="B33">
        <v>194</v>
      </c>
      <c r="C33">
        <v>19</v>
      </c>
      <c r="D33">
        <v>0</v>
      </c>
    </row>
    <row r="34" spans="1:4" x14ac:dyDescent="0.25">
      <c r="A34">
        <v>34</v>
      </c>
      <c r="B34">
        <v>230</v>
      </c>
      <c r="C34">
        <v>0</v>
      </c>
      <c r="D34">
        <v>0</v>
      </c>
    </row>
    <row r="35" spans="1:4" x14ac:dyDescent="0.25">
      <c r="A35">
        <v>35</v>
      </c>
      <c r="B35">
        <v>145</v>
      </c>
      <c r="C35">
        <v>75</v>
      </c>
      <c r="D35">
        <v>0</v>
      </c>
    </row>
    <row r="36" spans="1:4" x14ac:dyDescent="0.25">
      <c r="A36">
        <v>36</v>
      </c>
      <c r="B36">
        <v>138</v>
      </c>
      <c r="C36">
        <v>107</v>
      </c>
      <c r="D36">
        <v>0</v>
      </c>
    </row>
    <row r="37" spans="1:4" x14ac:dyDescent="0.25">
      <c r="A37">
        <v>37</v>
      </c>
      <c r="B37">
        <v>88</v>
      </c>
      <c r="C37">
        <v>125</v>
      </c>
      <c r="D37">
        <v>0</v>
      </c>
    </row>
    <row r="38" spans="1:4" x14ac:dyDescent="0.25">
      <c r="A38">
        <v>38</v>
      </c>
      <c r="B38">
        <v>233</v>
      </c>
      <c r="C38">
        <v>0</v>
      </c>
      <c r="D38">
        <v>0</v>
      </c>
    </row>
    <row r="39" spans="1:4" x14ac:dyDescent="0.25">
      <c r="A39">
        <v>39</v>
      </c>
      <c r="B39">
        <v>210</v>
      </c>
      <c r="C39">
        <v>15</v>
      </c>
      <c r="D39">
        <v>0</v>
      </c>
    </row>
    <row r="40" spans="1:4" x14ac:dyDescent="0.25">
      <c r="A40">
        <v>40</v>
      </c>
      <c r="B40">
        <v>152</v>
      </c>
      <c r="C40">
        <v>66</v>
      </c>
      <c r="D40">
        <v>0</v>
      </c>
    </row>
    <row r="41" spans="1:4" x14ac:dyDescent="0.25">
      <c r="A41" s="1">
        <v>41</v>
      </c>
      <c r="B41" s="1">
        <v>109</v>
      </c>
      <c r="C41" s="1">
        <v>0</v>
      </c>
      <c r="D41" s="1">
        <v>0</v>
      </c>
    </row>
    <row r="42" spans="1:4" x14ac:dyDescent="0.25">
      <c r="A42">
        <v>42</v>
      </c>
      <c r="B42">
        <v>249</v>
      </c>
      <c r="C42">
        <v>0</v>
      </c>
      <c r="D42">
        <v>0</v>
      </c>
    </row>
    <row r="43" spans="1:4" x14ac:dyDescent="0.25">
      <c r="A43">
        <v>44</v>
      </c>
      <c r="B43">
        <v>231</v>
      </c>
      <c r="C43">
        <v>10</v>
      </c>
      <c r="D43">
        <v>0</v>
      </c>
    </row>
    <row r="44" spans="1:4" x14ac:dyDescent="0.25">
      <c r="A44">
        <v>45</v>
      </c>
      <c r="B44">
        <v>245</v>
      </c>
      <c r="C44">
        <v>0</v>
      </c>
      <c r="D44">
        <v>0</v>
      </c>
    </row>
    <row r="45" spans="1:4" x14ac:dyDescent="0.25">
      <c r="A45">
        <v>46</v>
      </c>
      <c r="B45">
        <v>156</v>
      </c>
      <c r="C45">
        <v>105</v>
      </c>
      <c r="D45">
        <v>12</v>
      </c>
    </row>
    <row r="46" spans="1:4" x14ac:dyDescent="0.25">
      <c r="A46">
        <v>47</v>
      </c>
      <c r="B46">
        <v>273</v>
      </c>
      <c r="C46">
        <v>3</v>
      </c>
      <c r="D46">
        <v>1</v>
      </c>
    </row>
    <row r="47" spans="1:4" x14ac:dyDescent="0.25">
      <c r="A47">
        <v>48</v>
      </c>
      <c r="B47">
        <v>222</v>
      </c>
      <c r="C47">
        <v>1</v>
      </c>
      <c r="D47">
        <v>0</v>
      </c>
    </row>
    <row r="48" spans="1:4" x14ac:dyDescent="0.25">
      <c r="A48">
        <v>49</v>
      </c>
      <c r="B48">
        <v>155</v>
      </c>
      <c r="C48">
        <v>52</v>
      </c>
      <c r="D48">
        <v>3</v>
      </c>
    </row>
    <row r="49" spans="1:4" x14ac:dyDescent="0.25">
      <c r="A49">
        <v>50</v>
      </c>
      <c r="B49">
        <v>92</v>
      </c>
      <c r="C49">
        <v>117</v>
      </c>
      <c r="D49">
        <v>1</v>
      </c>
    </row>
    <row r="50" spans="1:4" x14ac:dyDescent="0.25">
      <c r="A50">
        <v>51</v>
      </c>
      <c r="B50">
        <v>143</v>
      </c>
      <c r="C50">
        <v>82</v>
      </c>
      <c r="D50">
        <v>0</v>
      </c>
    </row>
    <row r="51" spans="1:4" x14ac:dyDescent="0.25">
      <c r="A51">
        <v>52</v>
      </c>
      <c r="B51">
        <v>216</v>
      </c>
      <c r="C51">
        <v>36</v>
      </c>
      <c r="D51">
        <v>1</v>
      </c>
    </row>
    <row r="52" spans="1:4" x14ac:dyDescent="0.25">
      <c r="A52">
        <v>53</v>
      </c>
      <c r="B52">
        <v>224</v>
      </c>
      <c r="C52">
        <v>1</v>
      </c>
      <c r="D52">
        <v>0</v>
      </c>
    </row>
    <row r="53" spans="1:4" x14ac:dyDescent="0.25">
      <c r="A53">
        <v>54</v>
      </c>
      <c r="B53">
        <v>202</v>
      </c>
      <c r="C53">
        <v>10</v>
      </c>
      <c r="D53">
        <v>0</v>
      </c>
    </row>
    <row r="54" spans="1:4" x14ac:dyDescent="0.25">
      <c r="A54" s="1">
        <v>55</v>
      </c>
      <c r="B54" s="1">
        <v>188</v>
      </c>
      <c r="C54" s="1">
        <v>7</v>
      </c>
      <c r="D54" s="1">
        <v>6</v>
      </c>
    </row>
    <row r="55" spans="1:4" x14ac:dyDescent="0.25">
      <c r="A55">
        <v>56</v>
      </c>
      <c r="B55">
        <v>129</v>
      </c>
      <c r="C55">
        <v>118</v>
      </c>
      <c r="D55">
        <v>0</v>
      </c>
    </row>
    <row r="56" spans="1:4" x14ac:dyDescent="0.25">
      <c r="A56">
        <v>57</v>
      </c>
      <c r="B56">
        <v>166</v>
      </c>
      <c r="C56">
        <v>80</v>
      </c>
      <c r="D56">
        <v>0</v>
      </c>
    </row>
    <row r="57" spans="1:4" x14ac:dyDescent="0.25">
      <c r="A57">
        <v>58</v>
      </c>
      <c r="B57">
        <v>139</v>
      </c>
      <c r="C57">
        <v>137</v>
      </c>
      <c r="D57">
        <v>0</v>
      </c>
    </row>
    <row r="58" spans="1:4" x14ac:dyDescent="0.25">
      <c r="A58">
        <v>59</v>
      </c>
      <c r="B58">
        <v>223</v>
      </c>
      <c r="C58">
        <v>13</v>
      </c>
      <c r="D58">
        <v>0</v>
      </c>
    </row>
    <row r="59" spans="1:4" x14ac:dyDescent="0.25">
      <c r="A59">
        <v>60</v>
      </c>
      <c r="B59">
        <v>170</v>
      </c>
      <c r="C59">
        <v>71</v>
      </c>
      <c r="D59">
        <v>0</v>
      </c>
    </row>
    <row r="60" spans="1:4" x14ac:dyDescent="0.25">
      <c r="A60" s="1">
        <v>61</v>
      </c>
      <c r="B60" s="1">
        <v>128</v>
      </c>
      <c r="C60" s="1">
        <v>90</v>
      </c>
      <c r="D60" s="1">
        <v>2</v>
      </c>
    </row>
    <row r="61" spans="1:4" x14ac:dyDescent="0.25">
      <c r="A61" s="1">
        <v>62</v>
      </c>
      <c r="B61" s="1">
        <v>205</v>
      </c>
      <c r="C61" s="1">
        <v>18</v>
      </c>
      <c r="D61" s="1">
        <v>0</v>
      </c>
    </row>
    <row r="62" spans="1:4" x14ac:dyDescent="0.25">
      <c r="A62">
        <v>63</v>
      </c>
      <c r="B62">
        <v>203</v>
      </c>
      <c r="C62">
        <v>11</v>
      </c>
      <c r="D62">
        <v>0</v>
      </c>
    </row>
    <row r="63" spans="1:4" x14ac:dyDescent="0.25">
      <c r="A63">
        <v>64</v>
      </c>
      <c r="B63">
        <v>219</v>
      </c>
      <c r="C63">
        <v>1</v>
      </c>
      <c r="D63">
        <v>0</v>
      </c>
    </row>
    <row r="64" spans="1:4" x14ac:dyDescent="0.25">
      <c r="A64">
        <v>65</v>
      </c>
      <c r="B64">
        <v>214</v>
      </c>
      <c r="C64">
        <v>14</v>
      </c>
      <c r="D64">
        <v>1</v>
      </c>
    </row>
    <row r="65" spans="1:4" x14ac:dyDescent="0.25">
      <c r="A65" s="1">
        <v>66</v>
      </c>
      <c r="B65" s="1">
        <v>89</v>
      </c>
      <c r="C65" s="1">
        <v>144</v>
      </c>
      <c r="D65" s="1">
        <v>0</v>
      </c>
    </row>
    <row r="66" spans="1:4" x14ac:dyDescent="0.25">
      <c r="A66">
        <v>67</v>
      </c>
      <c r="B66">
        <v>96</v>
      </c>
      <c r="C66">
        <v>153</v>
      </c>
      <c r="D66">
        <v>0</v>
      </c>
    </row>
    <row r="67" spans="1:4" x14ac:dyDescent="0.25">
      <c r="A67">
        <v>68</v>
      </c>
      <c r="B67">
        <v>220</v>
      </c>
      <c r="C67">
        <v>0</v>
      </c>
      <c r="D67">
        <v>0</v>
      </c>
    </row>
    <row r="68" spans="1:4" x14ac:dyDescent="0.25">
      <c r="A68" s="1">
        <v>69</v>
      </c>
      <c r="B68" s="1">
        <v>169</v>
      </c>
      <c r="C68" s="1">
        <v>66</v>
      </c>
      <c r="D68" s="1">
        <v>0</v>
      </c>
    </row>
    <row r="69" spans="1:4" x14ac:dyDescent="0.25">
      <c r="A69">
        <v>70</v>
      </c>
      <c r="B69">
        <v>200</v>
      </c>
      <c r="C69">
        <v>9</v>
      </c>
      <c r="D69">
        <v>0</v>
      </c>
    </row>
    <row r="70" spans="1:4" x14ac:dyDescent="0.25">
      <c r="A70" s="1">
        <v>71</v>
      </c>
      <c r="B70" s="1">
        <v>123</v>
      </c>
      <c r="C70" s="1">
        <v>102</v>
      </c>
      <c r="D70" s="1">
        <v>0</v>
      </c>
    </row>
    <row r="71" spans="1:4" x14ac:dyDescent="0.25">
      <c r="A71">
        <v>72</v>
      </c>
      <c r="B71">
        <v>220</v>
      </c>
      <c r="C71">
        <v>220</v>
      </c>
      <c r="D71">
        <v>1</v>
      </c>
    </row>
    <row r="72" spans="1:4" x14ac:dyDescent="0.25">
      <c r="A72">
        <v>73</v>
      </c>
      <c r="B72">
        <v>228</v>
      </c>
      <c r="C72">
        <v>228</v>
      </c>
      <c r="D72">
        <v>3</v>
      </c>
    </row>
    <row r="73" spans="1:4" x14ac:dyDescent="0.25">
      <c r="A73" s="1">
        <v>74</v>
      </c>
      <c r="B73" s="1">
        <v>21</v>
      </c>
      <c r="C73" s="1">
        <v>219</v>
      </c>
      <c r="D73" s="1">
        <v>0</v>
      </c>
    </row>
    <row r="74" spans="1:4" x14ac:dyDescent="0.25">
      <c r="A74" s="1">
        <v>75</v>
      </c>
      <c r="B74" s="1">
        <v>223</v>
      </c>
      <c r="C74" s="1">
        <v>223</v>
      </c>
      <c r="D74" s="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B3C0E-9890-4554-B9DA-6C3FB8F2E8BF}">
  <dimension ref="A1:O15"/>
  <sheetViews>
    <sheetView workbookViewId="0">
      <selection activeCell="L3" sqref="L3"/>
    </sheetView>
  </sheetViews>
  <sheetFormatPr defaultRowHeight="15" x14ac:dyDescent="0.25"/>
  <cols>
    <col min="1" max="1" width="7.7109375" customWidth="1"/>
    <col min="2" max="2" width="12.7109375" bestFit="1" customWidth="1"/>
    <col min="3" max="3" width="10.140625" customWidth="1"/>
    <col min="4" max="4" width="15.140625" customWidth="1"/>
    <col min="5" max="5" width="10.42578125" customWidth="1"/>
    <col min="8" max="8" width="14.85546875" bestFit="1" customWidth="1"/>
    <col min="9" max="9" width="11.5703125" customWidth="1"/>
    <col min="10" max="10" width="14.28515625" bestFit="1" customWidth="1"/>
    <col min="12" max="12" width="19.5703125" bestFit="1" customWidth="1"/>
    <col min="13" max="13" width="26.28515625" bestFit="1" customWidth="1"/>
    <col min="14" max="14" width="19.42578125" bestFit="1" customWidth="1"/>
  </cols>
  <sheetData>
    <row r="1" spans="1:15" x14ac:dyDescent="0.25">
      <c r="A1" s="4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6</v>
      </c>
      <c r="I2" t="s">
        <v>7</v>
      </c>
      <c r="J2" t="s">
        <v>8</v>
      </c>
      <c r="L2" t="s">
        <v>9</v>
      </c>
      <c r="M2" t="s">
        <v>10</v>
      </c>
      <c r="N2" t="s">
        <v>11</v>
      </c>
    </row>
    <row r="3" spans="1:15" x14ac:dyDescent="0.25">
      <c r="A3">
        <v>76</v>
      </c>
      <c r="B3">
        <v>289</v>
      </c>
      <c r="C3">
        <v>3</v>
      </c>
      <c r="D3">
        <v>5</v>
      </c>
      <c r="E3">
        <f>SUM(B3:D3)</f>
        <v>297</v>
      </c>
      <c r="H3">
        <f>B3/E3*100</f>
        <v>97.306397306397301</v>
      </c>
      <c r="I3">
        <f>C3/E3*100</f>
        <v>1.0101010101010102</v>
      </c>
      <c r="J3">
        <f>D3/E3*100</f>
        <v>1.6835016835016834</v>
      </c>
      <c r="L3">
        <f>B3/C3</f>
        <v>96.333333333333329</v>
      </c>
      <c r="M3">
        <f>B3/D3</f>
        <v>57.8</v>
      </c>
      <c r="N3">
        <f>C3/D3</f>
        <v>0.6</v>
      </c>
    </row>
    <row r="4" spans="1:15" x14ac:dyDescent="0.25">
      <c r="A4">
        <v>77</v>
      </c>
      <c r="B4">
        <v>209</v>
      </c>
      <c r="C4">
        <v>4</v>
      </c>
      <c r="D4">
        <v>5</v>
      </c>
      <c r="E4">
        <f>SUM(B4:D4)</f>
        <v>218</v>
      </c>
      <c r="H4">
        <f>B4/E4*100</f>
        <v>95.87155963302753</v>
      </c>
      <c r="I4">
        <f>C4/E4*100</f>
        <v>1.834862385321101</v>
      </c>
      <c r="J4">
        <f>D4/E4*100</f>
        <v>2.2935779816513762</v>
      </c>
      <c r="L4">
        <f>B4/C4</f>
        <v>52.25</v>
      </c>
      <c r="M4">
        <f>B4/D4</f>
        <v>41.8</v>
      </c>
      <c r="N4">
        <f>C4/D4</f>
        <v>0.8</v>
      </c>
    </row>
    <row r="5" spans="1:15" x14ac:dyDescent="0.25">
      <c r="A5">
        <v>78</v>
      </c>
      <c r="B5">
        <v>240</v>
      </c>
      <c r="C5">
        <v>3</v>
      </c>
      <c r="D5">
        <v>66</v>
      </c>
      <c r="E5">
        <f t="shared" ref="E5:E15" si="0">SUM(B5:D5)</f>
        <v>309</v>
      </c>
      <c r="H5">
        <f t="shared" ref="H5:H15" si="1">B5/E5*100</f>
        <v>77.669902912621353</v>
      </c>
      <c r="I5">
        <f t="shared" ref="I5:I15" si="2">C5/E5*100</f>
        <v>0.97087378640776689</v>
      </c>
      <c r="J5">
        <f t="shared" ref="J5:J15" si="3">D5/E5*100</f>
        <v>21.359223300970871</v>
      </c>
      <c r="L5">
        <f t="shared" ref="L5:L15" si="4">B5/C5</f>
        <v>80</v>
      </c>
      <c r="M5">
        <f t="shared" ref="M5:M15" si="5">B5/D5</f>
        <v>3.6363636363636362</v>
      </c>
      <c r="N5">
        <f t="shared" ref="N5:N15" si="6">C5/D5</f>
        <v>4.5454545454545456E-2</v>
      </c>
    </row>
    <row r="6" spans="1:15" x14ac:dyDescent="0.25">
      <c r="A6">
        <v>79</v>
      </c>
      <c r="B6">
        <v>305</v>
      </c>
      <c r="C6">
        <v>0</v>
      </c>
      <c r="D6">
        <v>6</v>
      </c>
      <c r="E6">
        <f t="shared" si="0"/>
        <v>311</v>
      </c>
      <c r="H6">
        <f t="shared" si="1"/>
        <v>98.070739549839232</v>
      </c>
      <c r="I6">
        <f t="shared" si="2"/>
        <v>0</v>
      </c>
      <c r="J6">
        <f t="shared" si="3"/>
        <v>1.929260450160772</v>
      </c>
      <c r="L6" t="e">
        <f t="shared" si="4"/>
        <v>#DIV/0!</v>
      </c>
      <c r="M6">
        <f t="shared" si="5"/>
        <v>50.833333333333336</v>
      </c>
      <c r="N6">
        <f t="shared" si="6"/>
        <v>0</v>
      </c>
    </row>
    <row r="7" spans="1:15" x14ac:dyDescent="0.25">
      <c r="A7">
        <v>81</v>
      </c>
      <c r="B7">
        <v>275</v>
      </c>
      <c r="C7">
        <v>5</v>
      </c>
      <c r="D7">
        <v>6</v>
      </c>
      <c r="E7">
        <f t="shared" si="0"/>
        <v>286</v>
      </c>
      <c r="H7">
        <f t="shared" si="1"/>
        <v>96.15384615384616</v>
      </c>
      <c r="I7">
        <f t="shared" si="2"/>
        <v>1.7482517482517483</v>
      </c>
      <c r="J7">
        <f t="shared" si="3"/>
        <v>2.0979020979020979</v>
      </c>
      <c r="L7">
        <f t="shared" si="4"/>
        <v>55</v>
      </c>
      <c r="M7">
        <f t="shared" si="5"/>
        <v>45.833333333333336</v>
      </c>
      <c r="N7">
        <f t="shared" si="6"/>
        <v>0.83333333333333337</v>
      </c>
    </row>
    <row r="8" spans="1:15" x14ac:dyDescent="0.25">
      <c r="A8">
        <v>82</v>
      </c>
      <c r="B8">
        <v>218</v>
      </c>
      <c r="C8">
        <v>14</v>
      </c>
      <c r="D8">
        <v>47</v>
      </c>
      <c r="E8">
        <f t="shared" si="0"/>
        <v>279</v>
      </c>
      <c r="H8">
        <f t="shared" si="1"/>
        <v>78.136200716845877</v>
      </c>
      <c r="I8">
        <f t="shared" si="2"/>
        <v>5.0179211469534053</v>
      </c>
      <c r="J8">
        <f t="shared" si="3"/>
        <v>16.845878136200717</v>
      </c>
      <c r="L8">
        <f t="shared" si="4"/>
        <v>15.571428571428571</v>
      </c>
      <c r="M8">
        <f t="shared" si="5"/>
        <v>4.6382978723404253</v>
      </c>
      <c r="N8">
        <f t="shared" si="6"/>
        <v>0.2978723404255319</v>
      </c>
    </row>
    <row r="9" spans="1:15" x14ac:dyDescent="0.25">
      <c r="A9">
        <v>84</v>
      </c>
      <c r="B9">
        <v>309</v>
      </c>
      <c r="C9">
        <v>3</v>
      </c>
      <c r="D9">
        <v>14</v>
      </c>
      <c r="E9">
        <f t="shared" si="0"/>
        <v>326</v>
      </c>
      <c r="H9">
        <f t="shared" si="1"/>
        <v>94.785276073619627</v>
      </c>
      <c r="I9">
        <f t="shared" si="2"/>
        <v>0.92024539877300615</v>
      </c>
      <c r="J9">
        <f t="shared" si="3"/>
        <v>4.294478527607362</v>
      </c>
      <c r="L9">
        <f t="shared" si="4"/>
        <v>103</v>
      </c>
      <c r="M9">
        <f t="shared" si="5"/>
        <v>22.071428571428573</v>
      </c>
      <c r="N9">
        <f t="shared" si="6"/>
        <v>0.21428571428571427</v>
      </c>
    </row>
    <row r="10" spans="1:15" x14ac:dyDescent="0.25">
      <c r="A10">
        <v>85</v>
      </c>
      <c r="B10">
        <v>217</v>
      </c>
      <c r="C10">
        <v>8</v>
      </c>
      <c r="D10">
        <v>55</v>
      </c>
      <c r="E10">
        <f t="shared" si="0"/>
        <v>280</v>
      </c>
      <c r="H10">
        <f t="shared" si="1"/>
        <v>77.5</v>
      </c>
      <c r="I10">
        <f t="shared" si="2"/>
        <v>2.8571428571428572</v>
      </c>
      <c r="J10">
        <f t="shared" si="3"/>
        <v>19.642857142857142</v>
      </c>
      <c r="L10">
        <f t="shared" si="4"/>
        <v>27.125</v>
      </c>
      <c r="M10">
        <f t="shared" si="5"/>
        <v>3.9454545454545453</v>
      </c>
      <c r="N10">
        <f t="shared" si="6"/>
        <v>0.14545454545454545</v>
      </c>
    </row>
    <row r="11" spans="1:15" x14ac:dyDescent="0.25">
      <c r="A11">
        <v>86</v>
      </c>
      <c r="B11">
        <v>319</v>
      </c>
      <c r="C11">
        <v>14</v>
      </c>
      <c r="D11">
        <v>3</v>
      </c>
      <c r="E11">
        <f t="shared" si="0"/>
        <v>336</v>
      </c>
      <c r="H11">
        <f t="shared" si="1"/>
        <v>94.94047619047619</v>
      </c>
      <c r="I11">
        <f t="shared" si="2"/>
        <v>4.1666666666666661</v>
      </c>
      <c r="J11">
        <f t="shared" si="3"/>
        <v>0.89285714285714279</v>
      </c>
      <c r="L11">
        <f t="shared" si="4"/>
        <v>22.785714285714285</v>
      </c>
      <c r="M11">
        <f t="shared" si="5"/>
        <v>106.33333333333333</v>
      </c>
      <c r="N11">
        <f t="shared" si="6"/>
        <v>4.666666666666667</v>
      </c>
    </row>
    <row r="12" spans="1:15" x14ac:dyDescent="0.25">
      <c r="A12">
        <v>87</v>
      </c>
      <c r="B12">
        <v>219</v>
      </c>
      <c r="C12">
        <v>1</v>
      </c>
      <c r="D12">
        <v>13</v>
      </c>
      <c r="E12">
        <f t="shared" si="0"/>
        <v>233</v>
      </c>
      <c r="H12">
        <f t="shared" si="1"/>
        <v>93.991416309012877</v>
      </c>
      <c r="I12">
        <f t="shared" si="2"/>
        <v>0.42918454935622319</v>
      </c>
      <c r="J12">
        <f t="shared" si="3"/>
        <v>5.5793991416309012</v>
      </c>
      <c r="L12">
        <f t="shared" si="4"/>
        <v>219</v>
      </c>
      <c r="M12">
        <f t="shared" si="5"/>
        <v>16.846153846153847</v>
      </c>
      <c r="N12">
        <f t="shared" si="6"/>
        <v>7.6923076923076927E-2</v>
      </c>
    </row>
    <row r="13" spans="1:15" x14ac:dyDescent="0.25">
      <c r="A13">
        <v>88</v>
      </c>
      <c r="B13">
        <v>260</v>
      </c>
      <c r="C13">
        <v>1</v>
      </c>
      <c r="D13">
        <v>1</v>
      </c>
      <c r="E13">
        <f t="shared" si="0"/>
        <v>262</v>
      </c>
      <c r="H13">
        <f t="shared" si="1"/>
        <v>99.236641221374043</v>
      </c>
      <c r="I13">
        <f t="shared" si="2"/>
        <v>0.38167938931297707</v>
      </c>
      <c r="J13">
        <f t="shared" si="3"/>
        <v>0.38167938931297707</v>
      </c>
      <c r="L13">
        <f t="shared" si="4"/>
        <v>260</v>
      </c>
      <c r="M13">
        <f t="shared" si="5"/>
        <v>260</v>
      </c>
      <c r="N13">
        <f t="shared" si="6"/>
        <v>1</v>
      </c>
    </row>
    <row r="14" spans="1:15" x14ac:dyDescent="0.25">
      <c r="A14">
        <v>89</v>
      </c>
      <c r="B14">
        <v>248</v>
      </c>
      <c r="C14">
        <v>21</v>
      </c>
      <c r="D14">
        <v>2</v>
      </c>
      <c r="E14">
        <f t="shared" si="0"/>
        <v>271</v>
      </c>
      <c r="H14">
        <f t="shared" si="1"/>
        <v>91.512915129151295</v>
      </c>
      <c r="I14">
        <f t="shared" si="2"/>
        <v>7.7490774907749085</v>
      </c>
      <c r="J14">
        <f t="shared" si="3"/>
        <v>0.73800738007380073</v>
      </c>
      <c r="L14">
        <f t="shared" si="4"/>
        <v>11.80952380952381</v>
      </c>
      <c r="M14">
        <f t="shared" si="5"/>
        <v>124</v>
      </c>
      <c r="N14">
        <f t="shared" si="6"/>
        <v>10.5</v>
      </c>
    </row>
    <row r="15" spans="1:15" x14ac:dyDescent="0.25">
      <c r="A15">
        <v>90</v>
      </c>
      <c r="B15">
        <v>256</v>
      </c>
      <c r="C15">
        <v>1</v>
      </c>
      <c r="D15">
        <v>6</v>
      </c>
      <c r="E15">
        <f t="shared" si="0"/>
        <v>263</v>
      </c>
      <c r="H15">
        <f t="shared" si="1"/>
        <v>97.338403041825089</v>
      </c>
      <c r="I15">
        <f t="shared" si="2"/>
        <v>0.38022813688212925</v>
      </c>
      <c r="J15">
        <f t="shared" si="3"/>
        <v>2.2813688212927756</v>
      </c>
      <c r="L15">
        <f t="shared" si="4"/>
        <v>256</v>
      </c>
      <c r="M15">
        <f t="shared" si="5"/>
        <v>42.666666666666664</v>
      </c>
      <c r="N15">
        <f t="shared" si="6"/>
        <v>0.16666666666666666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2CE8C-A03F-47AD-B4DC-E8885422152C}">
  <dimension ref="A1:O16"/>
  <sheetViews>
    <sheetView workbookViewId="0">
      <selection activeCell="A2" sqref="A2:D16"/>
    </sheetView>
  </sheetViews>
  <sheetFormatPr defaultRowHeight="15" x14ac:dyDescent="0.25"/>
  <cols>
    <col min="1" max="1" width="7.7109375" customWidth="1"/>
    <col min="2" max="2" width="12.7109375" bestFit="1" customWidth="1"/>
    <col min="3" max="3" width="10.140625" customWidth="1"/>
    <col min="4" max="4" width="15.140625" customWidth="1"/>
    <col min="5" max="5" width="10.42578125" customWidth="1"/>
    <col min="8" max="8" width="14.85546875" bestFit="1" customWidth="1"/>
    <col min="9" max="9" width="11.5703125" customWidth="1"/>
    <col min="10" max="10" width="14.28515625" bestFit="1" customWidth="1"/>
    <col min="12" max="12" width="19.5703125" bestFit="1" customWidth="1"/>
    <col min="13" max="13" width="26.28515625" bestFit="1" customWidth="1"/>
    <col min="14" max="14" width="19.42578125" bestFit="1" customWidth="1"/>
  </cols>
  <sheetData>
    <row r="1" spans="1:15" x14ac:dyDescent="0.25">
      <c r="A1" s="4" t="s">
        <v>15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6</v>
      </c>
      <c r="I2" t="s">
        <v>7</v>
      </c>
      <c r="J2" t="s">
        <v>8</v>
      </c>
      <c r="L2" t="s">
        <v>9</v>
      </c>
      <c r="M2" t="s">
        <v>10</v>
      </c>
      <c r="N2" t="s">
        <v>11</v>
      </c>
    </row>
    <row r="3" spans="1:15" x14ac:dyDescent="0.25">
      <c r="A3">
        <v>1</v>
      </c>
      <c r="B3">
        <v>266</v>
      </c>
      <c r="C3">
        <v>0</v>
      </c>
      <c r="D3">
        <v>0</v>
      </c>
      <c r="E3">
        <f>SUM(B3:D3)</f>
        <v>266</v>
      </c>
      <c r="H3">
        <f>B3/E3*100</f>
        <v>100</v>
      </c>
      <c r="I3">
        <f>C3/E3*100</f>
        <v>0</v>
      </c>
      <c r="J3">
        <f>D3/E3*100</f>
        <v>0</v>
      </c>
      <c r="L3" t="e">
        <f>B3/C3</f>
        <v>#DIV/0!</v>
      </c>
      <c r="M3" t="e">
        <f>B3/D3</f>
        <v>#DIV/0!</v>
      </c>
      <c r="N3" t="e">
        <f>C3/D3</f>
        <v>#DIV/0!</v>
      </c>
    </row>
    <row r="4" spans="1:15" x14ac:dyDescent="0.25">
      <c r="A4">
        <v>2</v>
      </c>
      <c r="B4">
        <v>307</v>
      </c>
      <c r="C4">
        <v>0</v>
      </c>
      <c r="D4">
        <v>0</v>
      </c>
      <c r="E4">
        <f t="shared" ref="E4:E16" si="0">SUM(B4:D4)</f>
        <v>307</v>
      </c>
      <c r="H4">
        <f t="shared" ref="H4:H16" si="1">B4/E4*100</f>
        <v>100</v>
      </c>
      <c r="I4">
        <f t="shared" ref="I4:I12" si="2">C4/E4*100</f>
        <v>0</v>
      </c>
      <c r="J4">
        <f t="shared" ref="J4:J16" si="3">D4/E4*100</f>
        <v>0</v>
      </c>
      <c r="L4" t="e">
        <f t="shared" ref="L4:L16" si="4">B4/C4</f>
        <v>#DIV/0!</v>
      </c>
      <c r="M4" t="e">
        <f t="shared" ref="M4:M16" si="5">B4/D4</f>
        <v>#DIV/0!</v>
      </c>
      <c r="N4" t="e">
        <f t="shared" ref="N4:N16" si="6">C4/D4</f>
        <v>#DIV/0!</v>
      </c>
    </row>
    <row r="5" spans="1:15" x14ac:dyDescent="0.25">
      <c r="A5">
        <v>3</v>
      </c>
      <c r="B5">
        <v>292</v>
      </c>
      <c r="C5">
        <v>0</v>
      </c>
      <c r="D5">
        <v>0</v>
      </c>
      <c r="E5">
        <f t="shared" si="0"/>
        <v>292</v>
      </c>
      <c r="H5">
        <f t="shared" si="1"/>
        <v>100</v>
      </c>
      <c r="I5">
        <f t="shared" si="2"/>
        <v>0</v>
      </c>
      <c r="J5">
        <f t="shared" si="3"/>
        <v>0</v>
      </c>
      <c r="L5" t="e">
        <f t="shared" si="4"/>
        <v>#DIV/0!</v>
      </c>
      <c r="M5" t="e">
        <f t="shared" si="5"/>
        <v>#DIV/0!</v>
      </c>
      <c r="N5" t="e">
        <f t="shared" si="6"/>
        <v>#DIV/0!</v>
      </c>
    </row>
    <row r="6" spans="1:15" x14ac:dyDescent="0.25">
      <c r="A6">
        <v>4</v>
      </c>
      <c r="B6">
        <v>275</v>
      </c>
      <c r="C6">
        <v>0</v>
      </c>
      <c r="D6">
        <v>0</v>
      </c>
      <c r="E6">
        <f t="shared" si="0"/>
        <v>275</v>
      </c>
      <c r="H6">
        <f t="shared" si="1"/>
        <v>100</v>
      </c>
      <c r="I6">
        <f t="shared" si="2"/>
        <v>0</v>
      </c>
      <c r="J6">
        <f t="shared" si="3"/>
        <v>0</v>
      </c>
      <c r="L6" t="e">
        <f t="shared" si="4"/>
        <v>#DIV/0!</v>
      </c>
      <c r="M6" t="e">
        <f t="shared" si="5"/>
        <v>#DIV/0!</v>
      </c>
      <c r="N6" t="e">
        <f t="shared" si="6"/>
        <v>#DIV/0!</v>
      </c>
    </row>
    <row r="7" spans="1:15" x14ac:dyDescent="0.25">
      <c r="A7">
        <v>6</v>
      </c>
      <c r="B7">
        <v>285</v>
      </c>
      <c r="C7">
        <v>0</v>
      </c>
      <c r="D7">
        <v>0</v>
      </c>
      <c r="E7">
        <f t="shared" si="0"/>
        <v>285</v>
      </c>
      <c r="H7">
        <f t="shared" si="1"/>
        <v>100</v>
      </c>
      <c r="I7">
        <f t="shared" si="2"/>
        <v>0</v>
      </c>
      <c r="J7">
        <f t="shared" si="3"/>
        <v>0</v>
      </c>
      <c r="L7" t="e">
        <f t="shared" si="4"/>
        <v>#DIV/0!</v>
      </c>
      <c r="M7" t="e">
        <f t="shared" si="5"/>
        <v>#DIV/0!</v>
      </c>
      <c r="N7" t="e">
        <f t="shared" si="6"/>
        <v>#DIV/0!</v>
      </c>
    </row>
    <row r="8" spans="1:15" x14ac:dyDescent="0.25">
      <c r="A8">
        <v>7</v>
      </c>
      <c r="B8">
        <v>291</v>
      </c>
      <c r="C8">
        <v>0</v>
      </c>
      <c r="D8">
        <v>0</v>
      </c>
      <c r="E8">
        <f t="shared" si="0"/>
        <v>291</v>
      </c>
      <c r="H8">
        <f t="shared" si="1"/>
        <v>100</v>
      </c>
      <c r="I8">
        <f t="shared" si="2"/>
        <v>0</v>
      </c>
      <c r="J8">
        <f t="shared" si="3"/>
        <v>0</v>
      </c>
      <c r="L8" t="e">
        <f t="shared" si="4"/>
        <v>#DIV/0!</v>
      </c>
      <c r="M8" t="e">
        <f t="shared" si="5"/>
        <v>#DIV/0!</v>
      </c>
      <c r="N8" t="e">
        <f t="shared" si="6"/>
        <v>#DIV/0!</v>
      </c>
    </row>
    <row r="9" spans="1:15" x14ac:dyDescent="0.25">
      <c r="A9">
        <v>8</v>
      </c>
      <c r="B9">
        <v>312</v>
      </c>
      <c r="C9">
        <v>0</v>
      </c>
      <c r="D9">
        <v>0</v>
      </c>
      <c r="E9">
        <f t="shared" si="0"/>
        <v>312</v>
      </c>
      <c r="H9">
        <f t="shared" si="1"/>
        <v>100</v>
      </c>
      <c r="I9">
        <f t="shared" si="2"/>
        <v>0</v>
      </c>
      <c r="J9">
        <f t="shared" si="3"/>
        <v>0</v>
      </c>
      <c r="L9" t="e">
        <f t="shared" si="4"/>
        <v>#DIV/0!</v>
      </c>
      <c r="M9" t="e">
        <f t="shared" si="5"/>
        <v>#DIV/0!</v>
      </c>
      <c r="N9" t="e">
        <f t="shared" si="6"/>
        <v>#DIV/0!</v>
      </c>
    </row>
    <row r="10" spans="1:15" x14ac:dyDescent="0.25">
      <c r="A10">
        <v>9</v>
      </c>
      <c r="B10">
        <v>269</v>
      </c>
      <c r="C10">
        <v>0</v>
      </c>
      <c r="D10">
        <v>0</v>
      </c>
      <c r="E10">
        <f t="shared" si="0"/>
        <v>269</v>
      </c>
      <c r="H10">
        <f t="shared" si="1"/>
        <v>100</v>
      </c>
      <c r="I10">
        <f t="shared" si="2"/>
        <v>0</v>
      </c>
      <c r="J10">
        <f t="shared" si="3"/>
        <v>0</v>
      </c>
      <c r="L10" t="e">
        <f t="shared" si="4"/>
        <v>#DIV/0!</v>
      </c>
      <c r="M10" t="e">
        <f t="shared" si="5"/>
        <v>#DIV/0!</v>
      </c>
      <c r="N10" t="e">
        <f t="shared" si="6"/>
        <v>#DIV/0!</v>
      </c>
    </row>
    <row r="11" spans="1:15" x14ac:dyDescent="0.25">
      <c r="A11">
        <v>10</v>
      </c>
      <c r="B11">
        <v>300</v>
      </c>
      <c r="C11">
        <v>0</v>
      </c>
      <c r="D11">
        <v>0</v>
      </c>
      <c r="E11">
        <f t="shared" si="0"/>
        <v>300</v>
      </c>
      <c r="H11">
        <f t="shared" si="1"/>
        <v>100</v>
      </c>
      <c r="I11">
        <f t="shared" si="2"/>
        <v>0</v>
      </c>
      <c r="J11">
        <f t="shared" si="3"/>
        <v>0</v>
      </c>
      <c r="L11" t="e">
        <f t="shared" si="4"/>
        <v>#DIV/0!</v>
      </c>
      <c r="M11" t="e">
        <f t="shared" si="5"/>
        <v>#DIV/0!</v>
      </c>
      <c r="N11" t="e">
        <f t="shared" si="6"/>
        <v>#DIV/0!</v>
      </c>
    </row>
    <row r="12" spans="1:15" x14ac:dyDescent="0.25">
      <c r="A12">
        <v>11</v>
      </c>
      <c r="B12">
        <v>312</v>
      </c>
      <c r="C12">
        <v>0</v>
      </c>
      <c r="D12">
        <v>0</v>
      </c>
      <c r="E12">
        <f t="shared" si="0"/>
        <v>312</v>
      </c>
      <c r="H12">
        <f t="shared" si="1"/>
        <v>100</v>
      </c>
      <c r="I12">
        <f t="shared" si="2"/>
        <v>0</v>
      </c>
      <c r="J12">
        <f t="shared" si="3"/>
        <v>0</v>
      </c>
      <c r="L12" t="e">
        <f t="shared" si="4"/>
        <v>#DIV/0!</v>
      </c>
      <c r="M12" t="e">
        <f t="shared" si="5"/>
        <v>#DIV/0!</v>
      </c>
      <c r="N12" t="e">
        <f t="shared" si="6"/>
        <v>#DIV/0!</v>
      </c>
    </row>
    <row r="13" spans="1:15" x14ac:dyDescent="0.25">
      <c r="A13">
        <v>12</v>
      </c>
      <c r="B13">
        <v>300</v>
      </c>
      <c r="C13">
        <v>0</v>
      </c>
      <c r="D13">
        <v>0</v>
      </c>
      <c r="E13">
        <f t="shared" si="0"/>
        <v>300</v>
      </c>
      <c r="H13">
        <f t="shared" si="1"/>
        <v>100</v>
      </c>
      <c r="I13">
        <f>C13/E13*100</f>
        <v>0</v>
      </c>
      <c r="J13">
        <f t="shared" si="3"/>
        <v>0</v>
      </c>
      <c r="L13" t="e">
        <f t="shared" si="4"/>
        <v>#DIV/0!</v>
      </c>
      <c r="M13" t="e">
        <f t="shared" si="5"/>
        <v>#DIV/0!</v>
      </c>
      <c r="N13" t="e">
        <f t="shared" si="6"/>
        <v>#DIV/0!</v>
      </c>
    </row>
    <row r="14" spans="1:15" x14ac:dyDescent="0.25">
      <c r="A14">
        <v>13</v>
      </c>
      <c r="B14">
        <v>256</v>
      </c>
      <c r="C14">
        <v>1</v>
      </c>
      <c r="D14">
        <v>0</v>
      </c>
      <c r="E14">
        <f t="shared" si="0"/>
        <v>257</v>
      </c>
      <c r="H14">
        <f t="shared" si="1"/>
        <v>99.610894941634243</v>
      </c>
      <c r="I14">
        <f t="shared" ref="I14:I16" si="7">C14/E14*100</f>
        <v>0.38910505836575876</v>
      </c>
      <c r="J14">
        <f>D14/E14*100</f>
        <v>0</v>
      </c>
      <c r="L14">
        <f t="shared" si="4"/>
        <v>256</v>
      </c>
      <c r="M14" t="e">
        <f t="shared" si="5"/>
        <v>#DIV/0!</v>
      </c>
      <c r="N14" t="e">
        <f t="shared" si="6"/>
        <v>#DIV/0!</v>
      </c>
    </row>
    <row r="15" spans="1:15" x14ac:dyDescent="0.25">
      <c r="A15">
        <v>14</v>
      </c>
      <c r="B15">
        <v>247</v>
      </c>
      <c r="C15">
        <v>2</v>
      </c>
      <c r="D15">
        <v>0</v>
      </c>
      <c r="E15">
        <f t="shared" si="0"/>
        <v>249</v>
      </c>
      <c r="H15">
        <f t="shared" si="1"/>
        <v>99.196787148594382</v>
      </c>
      <c r="I15">
        <f t="shared" si="7"/>
        <v>0.80321285140562237</v>
      </c>
      <c r="J15">
        <f t="shared" si="3"/>
        <v>0</v>
      </c>
      <c r="L15">
        <f t="shared" si="4"/>
        <v>123.5</v>
      </c>
      <c r="M15" t="e">
        <f t="shared" si="5"/>
        <v>#DIV/0!</v>
      </c>
      <c r="N15" t="e">
        <f t="shared" si="6"/>
        <v>#DIV/0!</v>
      </c>
    </row>
    <row r="16" spans="1:15" x14ac:dyDescent="0.25">
      <c r="A16">
        <v>14</v>
      </c>
      <c r="B16">
        <v>229</v>
      </c>
      <c r="C16">
        <v>0</v>
      </c>
      <c r="D16">
        <v>0</v>
      </c>
      <c r="E16">
        <f t="shared" si="0"/>
        <v>229</v>
      </c>
      <c r="H16">
        <f t="shared" si="1"/>
        <v>100</v>
      </c>
      <c r="I16">
        <f t="shared" si="7"/>
        <v>0</v>
      </c>
      <c r="J16">
        <f t="shared" si="3"/>
        <v>0</v>
      </c>
      <c r="L16" t="e">
        <f t="shared" si="4"/>
        <v>#DIV/0!</v>
      </c>
      <c r="M16" t="e">
        <f t="shared" si="5"/>
        <v>#DIV/0!</v>
      </c>
      <c r="N16" t="e">
        <f t="shared" si="6"/>
        <v>#DIV/0!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70C4-6F3F-4020-A782-F19BA220D94C}">
  <dimension ref="A1:N16"/>
  <sheetViews>
    <sheetView workbookViewId="0">
      <selection activeCell="A2" sqref="A2:D16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16</v>
      </c>
      <c r="B2">
        <v>218</v>
      </c>
      <c r="C2">
        <v>31</v>
      </c>
      <c r="D2">
        <v>0</v>
      </c>
      <c r="E2">
        <f>SUM(B2:D2)</f>
        <v>249</v>
      </c>
      <c r="H2">
        <f>100*B2/E2</f>
        <v>87.550200803212846</v>
      </c>
      <c r="I2">
        <f>100*C2/E2</f>
        <v>12.449799196787149</v>
      </c>
      <c r="J2">
        <f>100*D2/E2</f>
        <v>0</v>
      </c>
      <c r="L2">
        <f>B2/C2</f>
        <v>7.032258064516129</v>
      </c>
      <c r="M2" t="e">
        <f>B2/D2</f>
        <v>#DIV/0!</v>
      </c>
      <c r="N2" t="e">
        <f>C2/D2</f>
        <v>#DIV/0!</v>
      </c>
    </row>
    <row r="3" spans="1:14" x14ac:dyDescent="0.25">
      <c r="A3">
        <v>17</v>
      </c>
      <c r="B3">
        <v>108</v>
      </c>
      <c r="C3">
        <v>1</v>
      </c>
      <c r="D3">
        <v>3</v>
      </c>
      <c r="E3">
        <f t="shared" ref="E3:E14" si="0">SUM(B3:D3)</f>
        <v>112</v>
      </c>
      <c r="H3">
        <f t="shared" ref="H3:H15" si="1">100*B3/E3</f>
        <v>96.428571428571431</v>
      </c>
      <c r="I3">
        <f t="shared" ref="I3:I15" si="2">100*C3/E3</f>
        <v>0.8928571428571429</v>
      </c>
      <c r="J3">
        <f t="shared" ref="J3:J15" si="3">100*D3/E3</f>
        <v>2.6785714285714284</v>
      </c>
      <c r="L3">
        <f t="shared" ref="L3:L15" si="4">B3/C3</f>
        <v>108</v>
      </c>
      <c r="M3">
        <f t="shared" ref="M3:M15" si="5">B3/D3</f>
        <v>36</v>
      </c>
      <c r="N3">
        <f t="shared" ref="N3:N15" si="6">C3/D3</f>
        <v>0.33333333333333331</v>
      </c>
    </row>
    <row r="4" spans="1:14" s="1" customFormat="1" x14ac:dyDescent="0.25">
      <c r="A4" s="1">
        <v>18</v>
      </c>
      <c r="B4" s="1">
        <v>141</v>
      </c>
      <c r="C4" s="1">
        <v>109</v>
      </c>
      <c r="D4" s="1">
        <v>0</v>
      </c>
      <c r="E4" s="1">
        <f t="shared" si="0"/>
        <v>250</v>
      </c>
      <c r="H4" s="1">
        <f t="shared" si="1"/>
        <v>56.4</v>
      </c>
      <c r="I4" s="1">
        <f t="shared" si="2"/>
        <v>43.6</v>
      </c>
      <c r="J4" s="1">
        <f t="shared" si="3"/>
        <v>0</v>
      </c>
      <c r="L4" s="1">
        <f t="shared" si="4"/>
        <v>1.2935779816513762</v>
      </c>
      <c r="M4" s="1" t="e">
        <f t="shared" si="5"/>
        <v>#DIV/0!</v>
      </c>
      <c r="N4" s="1" t="e">
        <f t="shared" si="6"/>
        <v>#DIV/0!</v>
      </c>
    </row>
    <row r="5" spans="1:14" x14ac:dyDescent="0.25">
      <c r="A5">
        <v>19</v>
      </c>
      <c r="B5">
        <v>87</v>
      </c>
      <c r="C5">
        <v>145</v>
      </c>
      <c r="D5">
        <v>0</v>
      </c>
      <c r="E5">
        <f t="shared" si="0"/>
        <v>232</v>
      </c>
      <c r="H5">
        <f t="shared" si="1"/>
        <v>37.5</v>
      </c>
      <c r="I5">
        <f t="shared" si="2"/>
        <v>62.5</v>
      </c>
      <c r="J5">
        <f t="shared" si="3"/>
        <v>0</v>
      </c>
      <c r="L5">
        <f t="shared" si="4"/>
        <v>0.6</v>
      </c>
      <c r="M5" t="e">
        <f t="shared" si="5"/>
        <v>#DIV/0!</v>
      </c>
      <c r="N5" t="e">
        <f t="shared" si="6"/>
        <v>#DIV/0!</v>
      </c>
    </row>
    <row r="6" spans="1:14" s="1" customFormat="1" x14ac:dyDescent="0.25">
      <c r="A6" s="1">
        <v>20</v>
      </c>
      <c r="B6" s="1">
        <v>87</v>
      </c>
      <c r="C6" s="1">
        <v>123</v>
      </c>
      <c r="D6" s="1">
        <v>0</v>
      </c>
      <c r="E6" s="1">
        <f t="shared" si="0"/>
        <v>210</v>
      </c>
      <c r="H6" s="1">
        <f t="shared" si="1"/>
        <v>41.428571428571431</v>
      </c>
      <c r="I6" s="1">
        <f t="shared" si="2"/>
        <v>58.571428571428569</v>
      </c>
      <c r="J6" s="1">
        <f t="shared" si="3"/>
        <v>0</v>
      </c>
      <c r="L6" s="1">
        <f t="shared" si="4"/>
        <v>0.70731707317073167</v>
      </c>
      <c r="M6" s="1" t="e">
        <f t="shared" si="5"/>
        <v>#DIV/0!</v>
      </c>
      <c r="N6" s="1" t="e">
        <f t="shared" si="6"/>
        <v>#DIV/0!</v>
      </c>
    </row>
    <row r="7" spans="1:14" x14ac:dyDescent="0.25">
      <c r="A7">
        <v>21</v>
      </c>
      <c r="B7">
        <v>152</v>
      </c>
      <c r="C7">
        <v>87</v>
      </c>
      <c r="D7">
        <v>0</v>
      </c>
      <c r="E7">
        <f t="shared" si="0"/>
        <v>239</v>
      </c>
      <c r="H7">
        <f t="shared" si="1"/>
        <v>63.598326359832633</v>
      </c>
      <c r="I7">
        <f t="shared" si="2"/>
        <v>36.401673640167367</v>
      </c>
      <c r="J7">
        <f t="shared" si="3"/>
        <v>0</v>
      </c>
      <c r="L7">
        <f t="shared" si="4"/>
        <v>1.7471264367816093</v>
      </c>
      <c r="M7" t="e">
        <f t="shared" si="5"/>
        <v>#DIV/0!</v>
      </c>
      <c r="N7" t="e">
        <f t="shared" si="6"/>
        <v>#DIV/0!</v>
      </c>
    </row>
    <row r="8" spans="1:14" x14ac:dyDescent="0.25">
      <c r="A8">
        <v>22</v>
      </c>
      <c r="B8">
        <v>214</v>
      </c>
      <c r="C8">
        <v>20</v>
      </c>
      <c r="D8">
        <v>0</v>
      </c>
      <c r="E8">
        <f t="shared" si="0"/>
        <v>234</v>
      </c>
      <c r="H8">
        <f t="shared" si="1"/>
        <v>91.452991452991455</v>
      </c>
      <c r="I8">
        <f t="shared" si="2"/>
        <v>8.5470085470085468</v>
      </c>
      <c r="J8">
        <f t="shared" si="3"/>
        <v>0</v>
      </c>
      <c r="L8">
        <f t="shared" si="4"/>
        <v>10.7</v>
      </c>
      <c r="M8" t="e">
        <f t="shared" si="5"/>
        <v>#DIV/0!</v>
      </c>
      <c r="N8" t="e">
        <f t="shared" si="6"/>
        <v>#DIV/0!</v>
      </c>
    </row>
    <row r="9" spans="1:14" x14ac:dyDescent="0.25">
      <c r="A9">
        <v>23</v>
      </c>
      <c r="B9">
        <v>125</v>
      </c>
      <c r="C9">
        <v>89</v>
      </c>
      <c r="D9">
        <v>1</v>
      </c>
      <c r="E9">
        <f t="shared" si="0"/>
        <v>215</v>
      </c>
      <c r="H9">
        <f t="shared" si="1"/>
        <v>58.139534883720927</v>
      </c>
      <c r="I9">
        <f t="shared" si="2"/>
        <v>41.395348837209305</v>
      </c>
      <c r="J9">
        <f t="shared" si="3"/>
        <v>0.46511627906976744</v>
      </c>
      <c r="L9">
        <f t="shared" si="4"/>
        <v>1.404494382022472</v>
      </c>
      <c r="M9">
        <f t="shared" si="5"/>
        <v>125</v>
      </c>
      <c r="N9">
        <f t="shared" si="6"/>
        <v>89</v>
      </c>
    </row>
    <row r="10" spans="1:14" x14ac:dyDescent="0.25">
      <c r="A10">
        <v>24</v>
      </c>
      <c r="B10">
        <v>185</v>
      </c>
      <c r="C10">
        <v>35</v>
      </c>
      <c r="D10">
        <v>1</v>
      </c>
      <c r="E10">
        <f t="shared" si="0"/>
        <v>221</v>
      </c>
      <c r="H10">
        <f t="shared" si="1"/>
        <v>83.710407239819006</v>
      </c>
      <c r="I10">
        <f t="shared" si="2"/>
        <v>15.837104072398191</v>
      </c>
      <c r="J10">
        <f t="shared" si="3"/>
        <v>0.45248868778280543</v>
      </c>
      <c r="L10">
        <f t="shared" si="4"/>
        <v>5.2857142857142856</v>
      </c>
      <c r="M10">
        <f t="shared" si="5"/>
        <v>185</v>
      </c>
      <c r="N10">
        <f t="shared" si="6"/>
        <v>35</v>
      </c>
    </row>
    <row r="11" spans="1:14" x14ac:dyDescent="0.25">
      <c r="A11">
        <v>25</v>
      </c>
      <c r="B11">
        <v>154</v>
      </c>
      <c r="C11">
        <v>63</v>
      </c>
      <c r="D11">
        <v>6</v>
      </c>
      <c r="E11">
        <f t="shared" si="0"/>
        <v>223</v>
      </c>
      <c r="H11">
        <f t="shared" si="1"/>
        <v>69.058295964125563</v>
      </c>
      <c r="I11">
        <f t="shared" si="2"/>
        <v>28.251121076233183</v>
      </c>
      <c r="J11">
        <f t="shared" si="3"/>
        <v>2.6905829596412558</v>
      </c>
      <c r="L11">
        <f t="shared" si="4"/>
        <v>2.4444444444444446</v>
      </c>
      <c r="M11">
        <f t="shared" si="5"/>
        <v>25.666666666666668</v>
      </c>
      <c r="N11">
        <f t="shared" si="6"/>
        <v>10.5</v>
      </c>
    </row>
    <row r="12" spans="1:14" x14ac:dyDescent="0.25">
      <c r="A12">
        <v>26</v>
      </c>
      <c r="B12">
        <v>152</v>
      </c>
      <c r="C12">
        <v>57</v>
      </c>
      <c r="D12">
        <v>2</v>
      </c>
      <c r="E12">
        <f t="shared" si="0"/>
        <v>211</v>
      </c>
      <c r="H12">
        <f t="shared" si="1"/>
        <v>72.037914691943129</v>
      </c>
      <c r="I12">
        <f t="shared" si="2"/>
        <v>27.014218009478672</v>
      </c>
      <c r="J12">
        <f t="shared" si="3"/>
        <v>0.94786729857819907</v>
      </c>
      <c r="L12">
        <f t="shared" si="4"/>
        <v>2.6666666666666665</v>
      </c>
      <c r="M12">
        <f t="shared" si="5"/>
        <v>76</v>
      </c>
      <c r="N12">
        <f t="shared" si="6"/>
        <v>28.5</v>
      </c>
    </row>
    <row r="13" spans="1:14" x14ac:dyDescent="0.25">
      <c r="A13">
        <v>27</v>
      </c>
      <c r="B13">
        <v>223</v>
      </c>
      <c r="C13">
        <v>0</v>
      </c>
      <c r="D13">
        <v>4</v>
      </c>
      <c r="E13">
        <f t="shared" si="0"/>
        <v>227</v>
      </c>
      <c r="H13">
        <f t="shared" si="1"/>
        <v>98.23788546255507</v>
      </c>
      <c r="I13">
        <f t="shared" si="2"/>
        <v>0</v>
      </c>
      <c r="J13">
        <f t="shared" si="3"/>
        <v>1.7621145374449338</v>
      </c>
      <c r="L13" t="e">
        <f t="shared" si="4"/>
        <v>#DIV/0!</v>
      </c>
      <c r="M13">
        <f t="shared" si="5"/>
        <v>55.75</v>
      </c>
      <c r="N13">
        <f t="shared" si="6"/>
        <v>0</v>
      </c>
    </row>
    <row r="14" spans="1:14" s="1" customFormat="1" x14ac:dyDescent="0.25">
      <c r="A14" s="1">
        <v>28</v>
      </c>
      <c r="B14" s="1">
        <v>123</v>
      </c>
      <c r="C14" s="1">
        <v>98</v>
      </c>
      <c r="D14" s="1">
        <v>2</v>
      </c>
      <c r="E14" s="1">
        <f t="shared" si="0"/>
        <v>223</v>
      </c>
      <c r="H14" s="1">
        <f t="shared" si="1"/>
        <v>55.156950672645742</v>
      </c>
      <c r="I14" s="1">
        <f t="shared" si="2"/>
        <v>43.946188340807176</v>
      </c>
      <c r="J14" s="1">
        <f t="shared" si="3"/>
        <v>0.89686098654708524</v>
      </c>
      <c r="L14" s="1">
        <f t="shared" si="4"/>
        <v>1.2551020408163265</v>
      </c>
      <c r="M14" s="1">
        <f t="shared" si="5"/>
        <v>61.5</v>
      </c>
      <c r="N14" s="1">
        <f t="shared" si="6"/>
        <v>49</v>
      </c>
    </row>
    <row r="15" spans="1:14" s="1" customFormat="1" x14ac:dyDescent="0.25">
      <c r="A15" s="1">
        <v>29</v>
      </c>
      <c r="B15" s="1">
        <v>79</v>
      </c>
      <c r="C15" s="1">
        <v>158</v>
      </c>
      <c r="D15" s="1">
        <v>0</v>
      </c>
      <c r="E15" s="1">
        <f>SUM(B15:D15)</f>
        <v>237</v>
      </c>
      <c r="H15" s="1">
        <f t="shared" si="1"/>
        <v>33.333333333333336</v>
      </c>
      <c r="I15" s="1">
        <f t="shared" si="2"/>
        <v>66.666666666666671</v>
      </c>
      <c r="J15" s="1">
        <f t="shared" si="3"/>
        <v>0</v>
      </c>
      <c r="L15" s="1">
        <f t="shared" si="4"/>
        <v>0.5</v>
      </c>
      <c r="M15" s="1" t="e">
        <f t="shared" si="5"/>
        <v>#DIV/0!</v>
      </c>
      <c r="N15" s="1" t="e">
        <f t="shared" si="6"/>
        <v>#DIV/0!</v>
      </c>
    </row>
    <row r="16" spans="1:14" s="1" customFormat="1" x14ac:dyDescent="0.25">
      <c r="A16" s="1">
        <v>30</v>
      </c>
      <c r="B16" s="1">
        <v>148</v>
      </c>
      <c r="C16" s="1">
        <v>110</v>
      </c>
      <c r="D16" s="1">
        <v>1</v>
      </c>
      <c r="E16" s="1">
        <f>SUM(B16:D16)</f>
        <v>259</v>
      </c>
      <c r="H16" s="1">
        <f t="shared" ref="H16" si="7">100*B16/E16</f>
        <v>57.142857142857146</v>
      </c>
      <c r="I16" s="1">
        <f t="shared" ref="I16" si="8">100*C16/E16</f>
        <v>42.471042471042473</v>
      </c>
      <c r="J16" s="1">
        <f>100*D16/E16</f>
        <v>0.38610038610038611</v>
      </c>
      <c r="L16" s="1">
        <f>B16/C16</f>
        <v>1.3454545454545455</v>
      </c>
      <c r="M16" s="1">
        <f t="shared" ref="M16" si="9">B16/D16</f>
        <v>148</v>
      </c>
      <c r="N16" s="1">
        <f t="shared" ref="N16" si="10">C16/D16</f>
        <v>110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4AF0-DC19-46E7-B7B6-30DE3B52CE7D}">
  <dimension ref="A1:N18"/>
  <sheetViews>
    <sheetView workbookViewId="0">
      <selection activeCell="A2" sqref="A2:D15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31</v>
      </c>
      <c r="B2">
        <v>159</v>
      </c>
      <c r="C2">
        <v>49</v>
      </c>
      <c r="D2">
        <v>6</v>
      </c>
      <c r="E2">
        <f>SUM(B2:D2)</f>
        <v>214</v>
      </c>
      <c r="H2">
        <f>100*B2/E2</f>
        <v>74.299065420560751</v>
      </c>
      <c r="I2">
        <f>100*C2/E2</f>
        <v>22.897196261682243</v>
      </c>
      <c r="J2">
        <f>100*D2/E2</f>
        <v>2.8037383177570092</v>
      </c>
      <c r="L2">
        <f>B2/C2</f>
        <v>3.2448979591836733</v>
      </c>
      <c r="M2">
        <f>B2/D2</f>
        <v>26.5</v>
      </c>
      <c r="N2">
        <f>C2/D2</f>
        <v>8.1666666666666661</v>
      </c>
    </row>
    <row r="3" spans="1:14" s="1" customFormat="1" x14ac:dyDescent="0.25">
      <c r="A3" s="1">
        <v>32</v>
      </c>
      <c r="B3" s="1">
        <v>230</v>
      </c>
      <c r="C3" s="1">
        <v>1</v>
      </c>
      <c r="D3" s="1">
        <v>0</v>
      </c>
      <c r="E3" s="1">
        <f t="shared" ref="E3:E15" si="0">SUM(B3:D3)</f>
        <v>231</v>
      </c>
      <c r="H3" s="1">
        <f t="shared" ref="H3:H15" si="1">100*B3/E3</f>
        <v>99.567099567099561</v>
      </c>
      <c r="I3" s="1">
        <f t="shared" ref="I3:I15" si="2">100*C3/E3</f>
        <v>0.4329004329004329</v>
      </c>
      <c r="J3" s="1">
        <f t="shared" ref="J3:J15" si="3">100*D3/E3</f>
        <v>0</v>
      </c>
      <c r="L3" s="1">
        <f t="shared" ref="L3:L15" si="4">B3/C3</f>
        <v>230</v>
      </c>
      <c r="M3" s="1" t="e">
        <f t="shared" ref="M3:M15" si="5">B3/D3</f>
        <v>#DIV/0!</v>
      </c>
      <c r="N3" s="1" t="e">
        <f t="shared" ref="N3:N15" si="6">C3/D3</f>
        <v>#DIV/0!</v>
      </c>
    </row>
    <row r="4" spans="1:14" s="1" customFormat="1" x14ac:dyDescent="0.25">
      <c r="A4" s="1">
        <v>33</v>
      </c>
      <c r="B4" s="1">
        <v>194</v>
      </c>
      <c r="C4" s="1">
        <v>11</v>
      </c>
      <c r="D4" s="1">
        <v>1</v>
      </c>
      <c r="E4" s="1">
        <f t="shared" si="0"/>
        <v>206</v>
      </c>
      <c r="H4" s="1">
        <f t="shared" si="1"/>
        <v>94.174757281553397</v>
      </c>
      <c r="I4" s="1">
        <f t="shared" si="2"/>
        <v>5.3398058252427187</v>
      </c>
      <c r="J4" s="1">
        <f t="shared" si="3"/>
        <v>0.4854368932038835</v>
      </c>
      <c r="L4" s="1">
        <f t="shared" si="4"/>
        <v>17.636363636363637</v>
      </c>
      <c r="M4" s="1">
        <f t="shared" si="5"/>
        <v>194</v>
      </c>
      <c r="N4" s="1">
        <f t="shared" si="6"/>
        <v>11</v>
      </c>
    </row>
    <row r="5" spans="1:14" x14ac:dyDescent="0.25">
      <c r="A5">
        <v>34</v>
      </c>
      <c r="B5">
        <v>112</v>
      </c>
      <c r="C5">
        <v>125</v>
      </c>
      <c r="D5">
        <v>0</v>
      </c>
      <c r="E5">
        <f t="shared" si="0"/>
        <v>237</v>
      </c>
      <c r="H5">
        <f t="shared" si="1"/>
        <v>47.257383966244724</v>
      </c>
      <c r="I5">
        <f t="shared" si="2"/>
        <v>52.742616033755276</v>
      </c>
      <c r="J5">
        <f t="shared" si="3"/>
        <v>0</v>
      </c>
      <c r="L5">
        <f t="shared" si="4"/>
        <v>0.89600000000000002</v>
      </c>
      <c r="M5" t="e">
        <f t="shared" si="5"/>
        <v>#DIV/0!</v>
      </c>
      <c r="N5" t="e">
        <f t="shared" si="6"/>
        <v>#DIV/0!</v>
      </c>
    </row>
    <row r="6" spans="1:14" x14ac:dyDescent="0.25">
      <c r="A6">
        <v>35</v>
      </c>
      <c r="B6">
        <v>142</v>
      </c>
      <c r="C6">
        <v>85</v>
      </c>
      <c r="D6">
        <v>4</v>
      </c>
      <c r="E6">
        <f t="shared" si="0"/>
        <v>231</v>
      </c>
      <c r="H6">
        <f t="shared" si="1"/>
        <v>61.471861471861473</v>
      </c>
      <c r="I6">
        <f t="shared" si="2"/>
        <v>36.796536796536799</v>
      </c>
      <c r="J6">
        <f t="shared" si="3"/>
        <v>1.7316017316017316</v>
      </c>
      <c r="L6">
        <f t="shared" si="4"/>
        <v>1.6705882352941177</v>
      </c>
      <c r="M6">
        <f t="shared" si="5"/>
        <v>35.5</v>
      </c>
      <c r="N6">
        <f t="shared" si="6"/>
        <v>21.25</v>
      </c>
    </row>
    <row r="7" spans="1:14" x14ac:dyDescent="0.25">
      <c r="A7">
        <v>36</v>
      </c>
      <c r="B7">
        <v>202</v>
      </c>
      <c r="C7">
        <v>41</v>
      </c>
      <c r="D7">
        <v>5</v>
      </c>
      <c r="E7">
        <f t="shared" si="0"/>
        <v>248</v>
      </c>
      <c r="H7">
        <f t="shared" si="1"/>
        <v>81.451612903225808</v>
      </c>
      <c r="I7">
        <f t="shared" si="2"/>
        <v>16.532258064516128</v>
      </c>
      <c r="J7">
        <f t="shared" si="3"/>
        <v>2.0161290322580645</v>
      </c>
      <c r="L7">
        <f t="shared" si="4"/>
        <v>4.9268292682926829</v>
      </c>
      <c r="M7">
        <f t="shared" si="5"/>
        <v>40.4</v>
      </c>
      <c r="N7">
        <f t="shared" si="6"/>
        <v>8.1999999999999993</v>
      </c>
    </row>
    <row r="8" spans="1:14" x14ac:dyDescent="0.25">
      <c r="A8">
        <v>37</v>
      </c>
      <c r="B8">
        <v>190</v>
      </c>
      <c r="C8">
        <v>24</v>
      </c>
      <c r="D8">
        <v>7</v>
      </c>
      <c r="E8">
        <f t="shared" si="0"/>
        <v>221</v>
      </c>
      <c r="H8">
        <f t="shared" si="1"/>
        <v>85.972850678733025</v>
      </c>
      <c r="I8">
        <f t="shared" si="2"/>
        <v>10.859728506787331</v>
      </c>
      <c r="J8">
        <f t="shared" si="3"/>
        <v>3.1674208144796379</v>
      </c>
      <c r="L8">
        <f t="shared" si="4"/>
        <v>7.916666666666667</v>
      </c>
      <c r="M8">
        <f t="shared" si="5"/>
        <v>27.142857142857142</v>
      </c>
      <c r="N8">
        <f t="shared" si="6"/>
        <v>3.4285714285714284</v>
      </c>
    </row>
    <row r="9" spans="1:14" x14ac:dyDescent="0.25">
      <c r="A9">
        <v>38</v>
      </c>
      <c r="B9">
        <v>177</v>
      </c>
      <c r="C9">
        <v>74</v>
      </c>
      <c r="D9">
        <v>8</v>
      </c>
      <c r="E9">
        <f t="shared" si="0"/>
        <v>259</v>
      </c>
      <c r="H9">
        <f t="shared" si="1"/>
        <v>68.339768339768341</v>
      </c>
      <c r="I9">
        <f t="shared" si="2"/>
        <v>28.571428571428573</v>
      </c>
      <c r="J9">
        <f t="shared" si="3"/>
        <v>3.0888030888030888</v>
      </c>
      <c r="L9">
        <f t="shared" si="4"/>
        <v>2.3918918918918921</v>
      </c>
      <c r="M9">
        <f t="shared" si="5"/>
        <v>22.125</v>
      </c>
      <c r="N9">
        <f t="shared" si="6"/>
        <v>9.25</v>
      </c>
    </row>
    <row r="10" spans="1:14" x14ac:dyDescent="0.25">
      <c r="A10">
        <v>39</v>
      </c>
      <c r="B10">
        <v>253</v>
      </c>
      <c r="C10">
        <v>0</v>
      </c>
      <c r="D10">
        <v>2</v>
      </c>
      <c r="E10">
        <f t="shared" si="0"/>
        <v>255</v>
      </c>
      <c r="H10">
        <f t="shared" si="1"/>
        <v>99.215686274509807</v>
      </c>
      <c r="I10">
        <f t="shared" si="2"/>
        <v>0</v>
      </c>
      <c r="J10">
        <f t="shared" si="3"/>
        <v>0.78431372549019607</v>
      </c>
      <c r="L10" t="e">
        <f t="shared" si="4"/>
        <v>#DIV/0!</v>
      </c>
      <c r="M10">
        <f t="shared" si="5"/>
        <v>126.5</v>
      </c>
      <c r="N10">
        <f t="shared" si="6"/>
        <v>0</v>
      </c>
    </row>
    <row r="11" spans="1:14" s="1" customFormat="1" x14ac:dyDescent="0.25">
      <c r="A11" s="1">
        <v>40</v>
      </c>
      <c r="B11" s="1">
        <v>103</v>
      </c>
      <c r="C11" s="1">
        <v>164</v>
      </c>
      <c r="D11" s="1">
        <v>0</v>
      </c>
      <c r="E11" s="1">
        <f t="shared" si="0"/>
        <v>267</v>
      </c>
      <c r="H11" s="1">
        <f t="shared" si="1"/>
        <v>38.576779026217231</v>
      </c>
      <c r="I11" s="1">
        <f t="shared" si="2"/>
        <v>61.423220973782769</v>
      </c>
      <c r="J11" s="1">
        <f t="shared" si="3"/>
        <v>0</v>
      </c>
      <c r="L11" s="1">
        <f t="shared" si="4"/>
        <v>0.62804878048780488</v>
      </c>
      <c r="M11" s="1" t="e">
        <f t="shared" si="5"/>
        <v>#DIV/0!</v>
      </c>
      <c r="N11" s="1" t="e">
        <f t="shared" si="6"/>
        <v>#DIV/0!</v>
      </c>
    </row>
    <row r="12" spans="1:14" x14ac:dyDescent="0.25">
      <c r="A12">
        <v>41</v>
      </c>
      <c r="B12">
        <v>124</v>
      </c>
      <c r="C12">
        <v>130</v>
      </c>
      <c r="D12">
        <v>3</v>
      </c>
      <c r="E12">
        <f t="shared" si="0"/>
        <v>257</v>
      </c>
      <c r="H12">
        <f t="shared" si="1"/>
        <v>48.249027237354085</v>
      </c>
      <c r="I12">
        <f t="shared" si="2"/>
        <v>50.583657587548636</v>
      </c>
      <c r="J12">
        <f t="shared" si="3"/>
        <v>1.1673151750972763</v>
      </c>
      <c r="L12">
        <f t="shared" si="4"/>
        <v>0.9538461538461539</v>
      </c>
      <c r="M12">
        <f t="shared" si="5"/>
        <v>41.333333333333336</v>
      </c>
      <c r="N12">
        <f t="shared" si="6"/>
        <v>43.333333333333336</v>
      </c>
    </row>
    <row r="13" spans="1:14" x14ac:dyDescent="0.25">
      <c r="A13">
        <v>42</v>
      </c>
      <c r="B13">
        <v>163</v>
      </c>
      <c r="C13">
        <v>53</v>
      </c>
      <c r="D13">
        <v>1</v>
      </c>
      <c r="E13">
        <f t="shared" si="0"/>
        <v>217</v>
      </c>
      <c r="H13">
        <f t="shared" si="1"/>
        <v>75.115207373271886</v>
      </c>
      <c r="I13">
        <f t="shared" si="2"/>
        <v>24.423963133640552</v>
      </c>
      <c r="J13">
        <f t="shared" si="3"/>
        <v>0.46082949308755761</v>
      </c>
      <c r="L13">
        <f t="shared" si="4"/>
        <v>3.0754716981132075</v>
      </c>
      <c r="M13">
        <f t="shared" si="5"/>
        <v>163</v>
      </c>
      <c r="N13">
        <f t="shared" si="6"/>
        <v>53</v>
      </c>
    </row>
    <row r="14" spans="1:14" s="1" customFormat="1" x14ac:dyDescent="0.25">
      <c r="A14" s="1">
        <v>43</v>
      </c>
      <c r="B14" s="1">
        <v>165</v>
      </c>
      <c r="C14" s="1">
        <v>73</v>
      </c>
      <c r="D14" s="1">
        <v>4</v>
      </c>
      <c r="E14" s="1">
        <f t="shared" si="0"/>
        <v>242</v>
      </c>
      <c r="H14" s="1">
        <f t="shared" si="1"/>
        <v>68.181818181818187</v>
      </c>
      <c r="I14" s="1">
        <f t="shared" si="2"/>
        <v>30.165289256198346</v>
      </c>
      <c r="J14" s="1">
        <f t="shared" si="3"/>
        <v>1.6528925619834711</v>
      </c>
      <c r="L14" s="1">
        <f t="shared" si="4"/>
        <v>2.2602739726027399</v>
      </c>
      <c r="M14" s="1">
        <f t="shared" si="5"/>
        <v>41.25</v>
      </c>
      <c r="N14" s="1">
        <f t="shared" si="6"/>
        <v>18.25</v>
      </c>
    </row>
    <row r="15" spans="1:14" x14ac:dyDescent="0.25">
      <c r="A15">
        <v>45</v>
      </c>
      <c r="B15">
        <v>147</v>
      </c>
      <c r="C15">
        <v>93</v>
      </c>
      <c r="D15">
        <v>2</v>
      </c>
      <c r="E15">
        <f t="shared" si="0"/>
        <v>242</v>
      </c>
      <c r="H15">
        <f t="shared" si="1"/>
        <v>60.743801652892564</v>
      </c>
      <c r="I15">
        <f t="shared" si="2"/>
        <v>38.429752066115704</v>
      </c>
      <c r="J15">
        <f t="shared" si="3"/>
        <v>0.82644628099173556</v>
      </c>
      <c r="L15">
        <f t="shared" si="4"/>
        <v>1.5806451612903225</v>
      </c>
      <c r="M15">
        <f t="shared" si="5"/>
        <v>73.5</v>
      </c>
      <c r="N15">
        <f t="shared" si="6"/>
        <v>46.5</v>
      </c>
    </row>
    <row r="16" spans="1:14" x14ac:dyDescent="0.25">
      <c r="D16" s="1"/>
    </row>
    <row r="18" spans="1:1" x14ac:dyDescent="0.25">
      <c r="A18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9E0D8-05ED-4FCF-A702-5032D9F9E395}">
  <dimension ref="A1:N16"/>
  <sheetViews>
    <sheetView workbookViewId="0">
      <selection activeCell="A2" sqref="A2:D16"/>
    </sheetView>
  </sheetViews>
  <sheetFormatPr defaultRowHeight="15" x14ac:dyDescent="0.25"/>
  <cols>
    <col min="12" max="12" width="20" bestFit="1" customWidth="1"/>
  </cols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46</v>
      </c>
      <c r="B2">
        <v>124</v>
      </c>
      <c r="C2">
        <v>114</v>
      </c>
      <c r="D2">
        <v>10</v>
      </c>
      <c r="E2">
        <f>SUM(B2:D2)</f>
        <v>248</v>
      </c>
      <c r="H2">
        <f>100*B2/E2</f>
        <v>50</v>
      </c>
      <c r="I2">
        <f>100*C2/E2</f>
        <v>45.967741935483872</v>
      </c>
      <c r="J2">
        <f>100*D2/E2</f>
        <v>4.032258064516129</v>
      </c>
      <c r="L2">
        <f>B2/C2</f>
        <v>1.0877192982456141</v>
      </c>
      <c r="M2">
        <f>B2/D2</f>
        <v>12.4</v>
      </c>
      <c r="N2">
        <f>C2/D2</f>
        <v>11.4</v>
      </c>
    </row>
    <row r="3" spans="1:14" x14ac:dyDescent="0.25">
      <c r="A3">
        <v>47</v>
      </c>
      <c r="B3">
        <v>244</v>
      </c>
      <c r="C3">
        <v>10</v>
      </c>
      <c r="D3">
        <v>5</v>
      </c>
      <c r="E3">
        <f t="shared" ref="E3:E16" si="0">SUM(B3:D3)</f>
        <v>259</v>
      </c>
      <c r="H3">
        <f t="shared" ref="H3:H16" si="1">100*B3/E3</f>
        <v>94.208494208494201</v>
      </c>
      <c r="I3">
        <f t="shared" ref="I3:I16" si="2">100*C3/E3</f>
        <v>3.8610038610038608</v>
      </c>
      <c r="J3">
        <f t="shared" ref="J3:J16" si="3">100*D3/E3</f>
        <v>1.9305019305019304</v>
      </c>
      <c r="L3">
        <f t="shared" ref="L3:L16" si="4">B3/C3</f>
        <v>24.4</v>
      </c>
      <c r="M3">
        <f t="shared" ref="M3:M16" si="5">B3/D3</f>
        <v>48.8</v>
      </c>
      <c r="N3">
        <f t="shared" ref="N3:N16" si="6">C3/D3</f>
        <v>2</v>
      </c>
    </row>
    <row r="4" spans="1:14" x14ac:dyDescent="0.25">
      <c r="A4">
        <v>48</v>
      </c>
      <c r="B4">
        <v>202</v>
      </c>
      <c r="C4">
        <v>29</v>
      </c>
      <c r="D4">
        <v>3</v>
      </c>
      <c r="E4">
        <f t="shared" si="0"/>
        <v>234</v>
      </c>
      <c r="H4">
        <f t="shared" si="1"/>
        <v>86.324786324786331</v>
      </c>
      <c r="I4">
        <f t="shared" si="2"/>
        <v>12.393162393162394</v>
      </c>
      <c r="J4">
        <f t="shared" si="3"/>
        <v>1.2820512820512822</v>
      </c>
      <c r="L4">
        <f>B4/C4</f>
        <v>6.9655172413793105</v>
      </c>
      <c r="M4">
        <f t="shared" si="5"/>
        <v>67.333333333333329</v>
      </c>
      <c r="N4">
        <f t="shared" si="6"/>
        <v>9.6666666666666661</v>
      </c>
    </row>
    <row r="5" spans="1:14" x14ac:dyDescent="0.25">
      <c r="A5">
        <v>49</v>
      </c>
      <c r="B5">
        <v>90</v>
      </c>
      <c r="C5">
        <v>142</v>
      </c>
      <c r="D5">
        <v>5</v>
      </c>
      <c r="E5">
        <f t="shared" si="0"/>
        <v>237</v>
      </c>
      <c r="H5">
        <f t="shared" si="1"/>
        <v>37.974683544303801</v>
      </c>
      <c r="I5">
        <f t="shared" si="2"/>
        <v>59.915611814345993</v>
      </c>
      <c r="J5">
        <f t="shared" si="3"/>
        <v>2.109704641350211</v>
      </c>
      <c r="L5">
        <f t="shared" si="4"/>
        <v>0.63380281690140849</v>
      </c>
      <c r="M5">
        <f t="shared" si="5"/>
        <v>18</v>
      </c>
      <c r="N5">
        <f t="shared" si="6"/>
        <v>28.4</v>
      </c>
    </row>
    <row r="6" spans="1:14" x14ac:dyDescent="0.25">
      <c r="A6">
        <v>50</v>
      </c>
      <c r="B6">
        <v>103</v>
      </c>
      <c r="C6">
        <v>147</v>
      </c>
      <c r="D6">
        <v>3</v>
      </c>
      <c r="E6">
        <f t="shared" si="0"/>
        <v>253</v>
      </c>
      <c r="H6">
        <f t="shared" si="1"/>
        <v>40.711462450592883</v>
      </c>
      <c r="I6">
        <f t="shared" si="2"/>
        <v>58.102766798418969</v>
      </c>
      <c r="J6">
        <f t="shared" si="3"/>
        <v>1.1857707509881423</v>
      </c>
      <c r="L6">
        <f t="shared" si="4"/>
        <v>0.70068027210884354</v>
      </c>
      <c r="M6">
        <f t="shared" si="5"/>
        <v>34.333333333333336</v>
      </c>
      <c r="N6">
        <f t="shared" si="6"/>
        <v>49</v>
      </c>
    </row>
    <row r="7" spans="1:14" x14ac:dyDescent="0.25">
      <c r="A7">
        <v>51</v>
      </c>
      <c r="B7">
        <v>216</v>
      </c>
      <c r="C7">
        <v>61</v>
      </c>
      <c r="D7">
        <v>4</v>
      </c>
      <c r="E7">
        <f t="shared" si="0"/>
        <v>281</v>
      </c>
      <c r="H7">
        <f t="shared" si="1"/>
        <v>76.868327402135236</v>
      </c>
      <c r="I7">
        <f t="shared" si="2"/>
        <v>21.708185053380785</v>
      </c>
      <c r="J7">
        <f t="shared" si="3"/>
        <v>1.4234875444839858</v>
      </c>
      <c r="L7">
        <f t="shared" si="4"/>
        <v>3.540983606557377</v>
      </c>
      <c r="M7">
        <f t="shared" si="5"/>
        <v>54</v>
      </c>
      <c r="N7">
        <f t="shared" si="6"/>
        <v>15.25</v>
      </c>
    </row>
    <row r="8" spans="1:14" x14ac:dyDescent="0.25">
      <c r="A8">
        <v>52</v>
      </c>
      <c r="B8">
        <v>229</v>
      </c>
      <c r="C8">
        <v>16</v>
      </c>
      <c r="D8">
        <v>0</v>
      </c>
      <c r="E8">
        <f t="shared" si="0"/>
        <v>245</v>
      </c>
      <c r="H8">
        <f t="shared" si="1"/>
        <v>93.469387755102048</v>
      </c>
      <c r="I8">
        <f t="shared" si="2"/>
        <v>6.5306122448979593</v>
      </c>
      <c r="J8">
        <f t="shared" si="3"/>
        <v>0</v>
      </c>
      <c r="L8">
        <f t="shared" si="4"/>
        <v>14.3125</v>
      </c>
      <c r="M8" t="e">
        <f t="shared" si="5"/>
        <v>#DIV/0!</v>
      </c>
      <c r="N8" t="e">
        <f t="shared" si="6"/>
        <v>#DIV/0!</v>
      </c>
    </row>
    <row r="9" spans="1:14" x14ac:dyDescent="0.25">
      <c r="A9">
        <v>53</v>
      </c>
      <c r="B9">
        <v>224</v>
      </c>
      <c r="C9">
        <v>11</v>
      </c>
      <c r="D9">
        <v>1</v>
      </c>
      <c r="E9">
        <f t="shared" si="0"/>
        <v>236</v>
      </c>
      <c r="H9">
        <f t="shared" si="1"/>
        <v>94.915254237288138</v>
      </c>
      <c r="I9">
        <f t="shared" si="2"/>
        <v>4.6610169491525424</v>
      </c>
      <c r="J9">
        <f t="shared" si="3"/>
        <v>0.42372881355932202</v>
      </c>
      <c r="L9">
        <f t="shared" si="4"/>
        <v>20.363636363636363</v>
      </c>
      <c r="M9">
        <f t="shared" si="5"/>
        <v>224</v>
      </c>
      <c r="N9">
        <f t="shared" si="6"/>
        <v>11</v>
      </c>
    </row>
    <row r="10" spans="1:14" x14ac:dyDescent="0.25">
      <c r="A10">
        <v>54</v>
      </c>
      <c r="B10">
        <v>212</v>
      </c>
      <c r="C10">
        <v>18</v>
      </c>
      <c r="D10">
        <v>5</v>
      </c>
      <c r="E10">
        <f t="shared" si="0"/>
        <v>235</v>
      </c>
      <c r="H10">
        <f t="shared" si="1"/>
        <v>90.212765957446805</v>
      </c>
      <c r="I10">
        <f t="shared" si="2"/>
        <v>7.6595744680851068</v>
      </c>
      <c r="J10">
        <f t="shared" si="3"/>
        <v>2.1276595744680851</v>
      </c>
      <c r="L10">
        <f t="shared" si="4"/>
        <v>11.777777777777779</v>
      </c>
      <c r="M10">
        <f t="shared" si="5"/>
        <v>42.4</v>
      </c>
      <c r="N10">
        <f t="shared" si="6"/>
        <v>3.6</v>
      </c>
    </row>
    <row r="11" spans="1:14" x14ac:dyDescent="0.25">
      <c r="A11">
        <v>55</v>
      </c>
      <c r="B11">
        <v>137</v>
      </c>
      <c r="C11">
        <v>100</v>
      </c>
      <c r="D11">
        <v>0</v>
      </c>
      <c r="E11">
        <f t="shared" si="0"/>
        <v>237</v>
      </c>
      <c r="H11">
        <f t="shared" si="1"/>
        <v>57.805907172995781</v>
      </c>
      <c r="I11">
        <f t="shared" si="2"/>
        <v>42.194092827004219</v>
      </c>
      <c r="J11">
        <f t="shared" si="3"/>
        <v>0</v>
      </c>
      <c r="L11">
        <f t="shared" si="4"/>
        <v>1.37</v>
      </c>
      <c r="M11" t="e">
        <f t="shared" si="5"/>
        <v>#DIV/0!</v>
      </c>
      <c r="N11" t="e">
        <f t="shared" si="6"/>
        <v>#DIV/0!</v>
      </c>
    </row>
    <row r="12" spans="1:14" x14ac:dyDescent="0.25">
      <c r="A12">
        <v>56</v>
      </c>
      <c r="B12">
        <v>199</v>
      </c>
      <c r="C12">
        <v>3</v>
      </c>
      <c r="D12">
        <v>10</v>
      </c>
      <c r="E12">
        <f t="shared" si="0"/>
        <v>212</v>
      </c>
      <c r="H12">
        <f t="shared" si="1"/>
        <v>93.867924528301884</v>
      </c>
      <c r="I12">
        <f t="shared" si="2"/>
        <v>1.4150943396226414</v>
      </c>
      <c r="J12">
        <f t="shared" si="3"/>
        <v>4.716981132075472</v>
      </c>
      <c r="L12">
        <f t="shared" si="4"/>
        <v>66.333333333333329</v>
      </c>
      <c r="M12">
        <f t="shared" si="5"/>
        <v>19.899999999999999</v>
      </c>
      <c r="N12">
        <f t="shared" si="6"/>
        <v>0.3</v>
      </c>
    </row>
    <row r="13" spans="1:14" x14ac:dyDescent="0.25">
      <c r="A13">
        <v>57</v>
      </c>
      <c r="B13">
        <v>75</v>
      </c>
      <c r="C13">
        <v>170</v>
      </c>
      <c r="D13">
        <v>2</v>
      </c>
      <c r="E13">
        <f t="shared" si="0"/>
        <v>247</v>
      </c>
      <c r="H13">
        <f t="shared" si="1"/>
        <v>30.364372469635626</v>
      </c>
      <c r="I13">
        <f t="shared" si="2"/>
        <v>68.825910931174093</v>
      </c>
      <c r="J13">
        <f t="shared" si="3"/>
        <v>0.80971659919028338</v>
      </c>
      <c r="L13">
        <f t="shared" si="4"/>
        <v>0.44117647058823528</v>
      </c>
      <c r="M13">
        <f t="shared" si="5"/>
        <v>37.5</v>
      </c>
      <c r="N13">
        <f t="shared" si="6"/>
        <v>85</v>
      </c>
    </row>
    <row r="14" spans="1:14" x14ac:dyDescent="0.25">
      <c r="A14">
        <v>58</v>
      </c>
      <c r="B14">
        <v>241</v>
      </c>
      <c r="C14">
        <v>41</v>
      </c>
      <c r="D14">
        <v>0</v>
      </c>
      <c r="E14">
        <f t="shared" si="0"/>
        <v>282</v>
      </c>
      <c r="H14">
        <f t="shared" si="1"/>
        <v>85.460992907801412</v>
      </c>
      <c r="I14">
        <f t="shared" si="2"/>
        <v>14.539007092198581</v>
      </c>
      <c r="J14">
        <f t="shared" si="3"/>
        <v>0</v>
      </c>
      <c r="L14">
        <f t="shared" si="4"/>
        <v>5.8780487804878048</v>
      </c>
      <c r="M14" t="e">
        <f t="shared" si="5"/>
        <v>#DIV/0!</v>
      </c>
      <c r="N14" t="e">
        <f t="shared" si="6"/>
        <v>#DIV/0!</v>
      </c>
    </row>
    <row r="15" spans="1:14" x14ac:dyDescent="0.25">
      <c r="A15">
        <v>59</v>
      </c>
      <c r="B15">
        <v>229</v>
      </c>
      <c r="C15">
        <v>1</v>
      </c>
      <c r="D15">
        <v>1</v>
      </c>
      <c r="E15">
        <f t="shared" si="0"/>
        <v>231</v>
      </c>
      <c r="H15">
        <f t="shared" si="1"/>
        <v>99.134199134199136</v>
      </c>
      <c r="I15">
        <f t="shared" si="2"/>
        <v>0.4329004329004329</v>
      </c>
      <c r="J15">
        <f t="shared" si="3"/>
        <v>0.4329004329004329</v>
      </c>
      <c r="L15">
        <f t="shared" si="4"/>
        <v>229</v>
      </c>
      <c r="M15">
        <f t="shared" si="5"/>
        <v>229</v>
      </c>
      <c r="N15">
        <f t="shared" si="6"/>
        <v>1</v>
      </c>
    </row>
    <row r="16" spans="1:14" x14ac:dyDescent="0.25">
      <c r="A16">
        <v>60</v>
      </c>
      <c r="B16">
        <v>199</v>
      </c>
      <c r="C16">
        <v>17</v>
      </c>
      <c r="D16">
        <v>6</v>
      </c>
      <c r="E16">
        <f t="shared" si="0"/>
        <v>222</v>
      </c>
      <c r="H16">
        <f t="shared" si="1"/>
        <v>89.63963963963964</v>
      </c>
      <c r="I16">
        <f t="shared" si="2"/>
        <v>7.6576576576576576</v>
      </c>
      <c r="J16">
        <f t="shared" si="3"/>
        <v>2.7027027027027026</v>
      </c>
      <c r="L16">
        <f t="shared" si="4"/>
        <v>11.705882352941176</v>
      </c>
      <c r="M16">
        <f t="shared" si="5"/>
        <v>33.166666666666664</v>
      </c>
      <c r="N16">
        <f t="shared" si="6"/>
        <v>2.8333333333333335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05C9-F2A9-496D-B480-AB54AF6F1550}">
  <dimension ref="A1:N15"/>
  <sheetViews>
    <sheetView workbookViewId="0">
      <selection activeCell="A2" sqref="A2:D15"/>
    </sheetView>
  </sheetViews>
  <sheetFormatPr defaultRowHeight="15" x14ac:dyDescent="0.25"/>
  <sheetData>
    <row r="1" spans="1:14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H1" t="s">
        <v>6</v>
      </c>
      <c r="I1" t="s">
        <v>7</v>
      </c>
      <c r="J1" t="s">
        <v>8</v>
      </c>
      <c r="L1" t="s">
        <v>9</v>
      </c>
      <c r="M1" t="s">
        <v>10</v>
      </c>
      <c r="N1" t="s">
        <v>11</v>
      </c>
    </row>
    <row r="2" spans="1:14" s="1" customFormat="1" x14ac:dyDescent="0.25">
      <c r="A2" s="1">
        <v>61</v>
      </c>
      <c r="B2" s="1">
        <v>188</v>
      </c>
      <c r="C2" s="1">
        <v>28</v>
      </c>
      <c r="D2" s="1">
        <v>6</v>
      </c>
      <c r="E2" s="1">
        <f>SUM(B2:D2)</f>
        <v>222</v>
      </c>
      <c r="H2" s="1">
        <f>100*B2/E2</f>
        <v>84.684684684684683</v>
      </c>
      <c r="I2" s="1">
        <f>100*C2/E2</f>
        <v>12.612612612612613</v>
      </c>
      <c r="J2" s="1">
        <f>100*D2/E2</f>
        <v>2.7027027027027026</v>
      </c>
      <c r="L2" s="1">
        <f>B2/C2</f>
        <v>6.7142857142857144</v>
      </c>
      <c r="M2" s="1">
        <f>B2/D2</f>
        <v>31.333333333333332</v>
      </c>
      <c r="N2" s="1">
        <f>C2/D2</f>
        <v>4.666666666666667</v>
      </c>
    </row>
    <row r="3" spans="1:14" x14ac:dyDescent="0.25">
      <c r="A3">
        <v>62</v>
      </c>
      <c r="B3">
        <v>114</v>
      </c>
      <c r="C3">
        <v>76</v>
      </c>
      <c r="D3">
        <v>51</v>
      </c>
      <c r="E3">
        <f t="shared" ref="E3:E15" si="0">SUM(B3:D3)</f>
        <v>241</v>
      </c>
      <c r="H3">
        <f t="shared" ref="H3:H15" si="1">100*B3/E3</f>
        <v>47.302904564315355</v>
      </c>
      <c r="I3">
        <f t="shared" ref="I3:I15" si="2">100*C3/E3</f>
        <v>31.53526970954357</v>
      </c>
      <c r="J3">
        <f t="shared" ref="J3:J15" si="3">100*D3/E3</f>
        <v>21.161825726141078</v>
      </c>
      <c r="L3">
        <f t="shared" ref="L3:L15" si="4">B3/C3</f>
        <v>1.5</v>
      </c>
      <c r="M3">
        <f t="shared" ref="M3:M15" si="5">B3/D3</f>
        <v>2.2352941176470589</v>
      </c>
      <c r="N3">
        <f t="shared" ref="N3:N15" si="6">C3/D3</f>
        <v>1.4901960784313726</v>
      </c>
    </row>
    <row r="4" spans="1:14" x14ac:dyDescent="0.25">
      <c r="A4">
        <v>63</v>
      </c>
      <c r="B4">
        <v>109</v>
      </c>
      <c r="C4">
        <v>49</v>
      </c>
      <c r="D4">
        <v>67</v>
      </c>
      <c r="E4">
        <f t="shared" si="0"/>
        <v>225</v>
      </c>
      <c r="H4">
        <f t="shared" si="1"/>
        <v>48.444444444444443</v>
      </c>
      <c r="I4">
        <f t="shared" si="2"/>
        <v>21.777777777777779</v>
      </c>
      <c r="J4">
        <f t="shared" si="3"/>
        <v>29.777777777777779</v>
      </c>
      <c r="L4">
        <f t="shared" si="4"/>
        <v>2.2244897959183674</v>
      </c>
      <c r="M4">
        <f t="shared" si="5"/>
        <v>1.6268656716417911</v>
      </c>
      <c r="N4">
        <f t="shared" si="6"/>
        <v>0.73134328358208955</v>
      </c>
    </row>
    <row r="5" spans="1:14" s="1" customFormat="1" x14ac:dyDescent="0.25">
      <c r="A5" s="1">
        <v>64</v>
      </c>
      <c r="B5" s="1">
        <v>94</v>
      </c>
      <c r="C5" s="1">
        <v>15</v>
      </c>
      <c r="D5" s="1">
        <v>55</v>
      </c>
      <c r="E5" s="1">
        <f t="shared" si="0"/>
        <v>164</v>
      </c>
      <c r="H5" s="1">
        <f t="shared" si="1"/>
        <v>57.31707317073171</v>
      </c>
      <c r="I5" s="1">
        <f t="shared" si="2"/>
        <v>9.1463414634146343</v>
      </c>
      <c r="J5" s="1">
        <f t="shared" si="3"/>
        <v>33.536585365853661</v>
      </c>
      <c r="L5" s="1">
        <f t="shared" si="4"/>
        <v>6.2666666666666666</v>
      </c>
      <c r="M5" s="1">
        <f t="shared" si="5"/>
        <v>1.709090909090909</v>
      </c>
      <c r="N5" s="1">
        <f t="shared" si="6"/>
        <v>0.27272727272727271</v>
      </c>
    </row>
    <row r="6" spans="1:14" s="1" customFormat="1" x14ac:dyDescent="0.25">
      <c r="A6" s="1">
        <v>65</v>
      </c>
      <c r="B6" s="1">
        <v>208</v>
      </c>
      <c r="C6" s="1">
        <v>2</v>
      </c>
      <c r="D6" s="1">
        <v>3</v>
      </c>
      <c r="E6" s="1">
        <f t="shared" si="0"/>
        <v>213</v>
      </c>
      <c r="H6" s="1">
        <f t="shared" si="1"/>
        <v>97.652582159624416</v>
      </c>
      <c r="I6" s="1">
        <f t="shared" si="2"/>
        <v>0.93896713615023475</v>
      </c>
      <c r="J6" s="1">
        <f t="shared" si="3"/>
        <v>1.408450704225352</v>
      </c>
      <c r="L6" s="1">
        <f t="shared" si="4"/>
        <v>104</v>
      </c>
      <c r="M6" s="1">
        <f t="shared" si="5"/>
        <v>69.333333333333329</v>
      </c>
      <c r="N6" s="1">
        <f t="shared" si="6"/>
        <v>0.66666666666666663</v>
      </c>
    </row>
    <row r="7" spans="1:14" s="1" customFormat="1" x14ac:dyDescent="0.25">
      <c r="A7" s="1">
        <v>67</v>
      </c>
      <c r="B7" s="1">
        <v>146</v>
      </c>
      <c r="C7" s="1">
        <v>2</v>
      </c>
      <c r="D7" s="1">
        <v>2</v>
      </c>
      <c r="E7" s="1">
        <f t="shared" si="0"/>
        <v>150</v>
      </c>
      <c r="H7" s="1">
        <f t="shared" si="1"/>
        <v>97.333333333333329</v>
      </c>
      <c r="I7" s="1">
        <f t="shared" si="2"/>
        <v>1.3333333333333333</v>
      </c>
      <c r="J7" s="1">
        <f t="shared" si="3"/>
        <v>1.3333333333333333</v>
      </c>
      <c r="L7" s="1">
        <f t="shared" si="4"/>
        <v>73</v>
      </c>
      <c r="M7" s="1">
        <f t="shared" si="5"/>
        <v>73</v>
      </c>
      <c r="N7" s="1">
        <f t="shared" si="6"/>
        <v>1</v>
      </c>
    </row>
    <row r="8" spans="1:14" x14ac:dyDescent="0.25">
      <c r="A8">
        <v>68</v>
      </c>
      <c r="B8">
        <v>232</v>
      </c>
      <c r="C8">
        <v>2</v>
      </c>
      <c r="D8">
        <v>8</v>
      </c>
      <c r="E8">
        <f t="shared" si="0"/>
        <v>242</v>
      </c>
      <c r="H8">
        <f t="shared" si="1"/>
        <v>95.867768595041326</v>
      </c>
      <c r="I8">
        <f t="shared" si="2"/>
        <v>0.82644628099173556</v>
      </c>
      <c r="J8">
        <f t="shared" si="3"/>
        <v>3.3057851239669422</v>
      </c>
      <c r="L8">
        <f t="shared" si="4"/>
        <v>116</v>
      </c>
      <c r="M8">
        <f t="shared" si="5"/>
        <v>29</v>
      </c>
      <c r="N8">
        <f t="shared" si="6"/>
        <v>0.25</v>
      </c>
    </row>
    <row r="9" spans="1:14" x14ac:dyDescent="0.25">
      <c r="A9">
        <v>69</v>
      </c>
      <c r="B9">
        <v>157</v>
      </c>
      <c r="C9">
        <v>10</v>
      </c>
      <c r="D9">
        <v>52</v>
      </c>
      <c r="E9">
        <f t="shared" si="0"/>
        <v>219</v>
      </c>
      <c r="H9">
        <f t="shared" si="1"/>
        <v>71.689497716894977</v>
      </c>
      <c r="I9">
        <f t="shared" si="2"/>
        <v>4.5662100456621006</v>
      </c>
      <c r="J9">
        <f t="shared" si="3"/>
        <v>23.744292237442924</v>
      </c>
      <c r="L9">
        <f t="shared" si="4"/>
        <v>15.7</v>
      </c>
      <c r="M9">
        <f t="shared" si="5"/>
        <v>3.0192307692307692</v>
      </c>
      <c r="N9">
        <f t="shared" si="6"/>
        <v>0.19230769230769232</v>
      </c>
    </row>
    <row r="10" spans="1:14" x14ac:dyDescent="0.25">
      <c r="A10">
        <v>70</v>
      </c>
      <c r="B10">
        <v>111</v>
      </c>
      <c r="C10">
        <v>93</v>
      </c>
      <c r="D10">
        <v>21</v>
      </c>
      <c r="E10">
        <f t="shared" si="0"/>
        <v>225</v>
      </c>
      <c r="H10">
        <f t="shared" si="1"/>
        <v>49.333333333333336</v>
      </c>
      <c r="I10">
        <f t="shared" si="2"/>
        <v>41.333333333333336</v>
      </c>
      <c r="J10">
        <f t="shared" si="3"/>
        <v>9.3333333333333339</v>
      </c>
      <c r="L10">
        <f t="shared" si="4"/>
        <v>1.1935483870967742</v>
      </c>
      <c r="M10">
        <f t="shared" si="5"/>
        <v>5.2857142857142856</v>
      </c>
      <c r="N10">
        <f t="shared" si="6"/>
        <v>4.4285714285714288</v>
      </c>
    </row>
    <row r="11" spans="1:14" x14ac:dyDescent="0.25">
      <c r="A11">
        <v>71</v>
      </c>
      <c r="B11">
        <v>185</v>
      </c>
      <c r="C11">
        <v>14</v>
      </c>
      <c r="D11">
        <v>28</v>
      </c>
      <c r="E11">
        <f t="shared" si="0"/>
        <v>227</v>
      </c>
      <c r="H11">
        <f t="shared" si="1"/>
        <v>81.497797356828187</v>
      </c>
      <c r="I11">
        <f t="shared" si="2"/>
        <v>6.1674008810572687</v>
      </c>
      <c r="J11">
        <f t="shared" si="3"/>
        <v>12.334801762114537</v>
      </c>
      <c r="L11">
        <f t="shared" si="4"/>
        <v>13.214285714285714</v>
      </c>
      <c r="M11">
        <f t="shared" si="5"/>
        <v>6.6071428571428568</v>
      </c>
      <c r="N11">
        <f t="shared" si="6"/>
        <v>0.5</v>
      </c>
    </row>
    <row r="12" spans="1:14" x14ac:dyDescent="0.25">
      <c r="A12">
        <v>72</v>
      </c>
      <c r="B12">
        <v>196</v>
      </c>
      <c r="C12">
        <v>35</v>
      </c>
      <c r="D12">
        <v>5</v>
      </c>
      <c r="E12">
        <f t="shared" si="0"/>
        <v>236</v>
      </c>
      <c r="H12">
        <f t="shared" si="1"/>
        <v>83.050847457627114</v>
      </c>
      <c r="I12">
        <f t="shared" si="2"/>
        <v>14.830508474576272</v>
      </c>
      <c r="J12">
        <f t="shared" si="3"/>
        <v>2.1186440677966103</v>
      </c>
      <c r="L12">
        <f t="shared" si="4"/>
        <v>5.6</v>
      </c>
      <c r="M12">
        <f t="shared" si="5"/>
        <v>39.200000000000003</v>
      </c>
      <c r="N12">
        <f t="shared" si="6"/>
        <v>7</v>
      </c>
    </row>
    <row r="13" spans="1:14" x14ac:dyDescent="0.25">
      <c r="A13">
        <v>73</v>
      </c>
      <c r="B13">
        <v>218</v>
      </c>
      <c r="C13">
        <v>5</v>
      </c>
      <c r="D13">
        <v>0</v>
      </c>
      <c r="E13">
        <f t="shared" si="0"/>
        <v>223</v>
      </c>
      <c r="H13">
        <f t="shared" si="1"/>
        <v>97.757847533632287</v>
      </c>
      <c r="I13">
        <f t="shared" si="2"/>
        <v>2.2421524663677128</v>
      </c>
      <c r="J13">
        <f t="shared" si="3"/>
        <v>0</v>
      </c>
      <c r="L13">
        <f t="shared" si="4"/>
        <v>43.6</v>
      </c>
      <c r="M13" t="e">
        <f t="shared" si="5"/>
        <v>#DIV/0!</v>
      </c>
      <c r="N13" t="e">
        <f t="shared" si="6"/>
        <v>#DIV/0!</v>
      </c>
    </row>
    <row r="14" spans="1:14" s="1" customFormat="1" x14ac:dyDescent="0.25">
      <c r="A14" s="1">
        <v>74</v>
      </c>
      <c r="B14" s="1">
        <v>158</v>
      </c>
      <c r="C14" s="1">
        <v>69</v>
      </c>
      <c r="D14" s="1">
        <v>16</v>
      </c>
      <c r="E14" s="1">
        <f t="shared" si="0"/>
        <v>243</v>
      </c>
      <c r="H14" s="1">
        <f t="shared" si="1"/>
        <v>65.02057613168725</v>
      </c>
      <c r="I14" s="1">
        <f t="shared" si="2"/>
        <v>28.395061728395063</v>
      </c>
      <c r="J14" s="1">
        <f t="shared" si="3"/>
        <v>6.5843621399176957</v>
      </c>
      <c r="L14" s="1">
        <f t="shared" si="4"/>
        <v>2.2898550724637681</v>
      </c>
      <c r="M14" s="1">
        <f t="shared" si="5"/>
        <v>9.875</v>
      </c>
      <c r="N14" s="1">
        <f t="shared" si="6"/>
        <v>4.3125</v>
      </c>
    </row>
    <row r="15" spans="1:14" x14ac:dyDescent="0.25">
      <c r="A15">
        <v>75</v>
      </c>
      <c r="B15">
        <v>130</v>
      </c>
      <c r="C15">
        <v>31</v>
      </c>
      <c r="D15">
        <v>76</v>
      </c>
      <c r="E15">
        <f t="shared" si="0"/>
        <v>237</v>
      </c>
      <c r="H15">
        <f t="shared" si="1"/>
        <v>54.852320675105489</v>
      </c>
      <c r="I15">
        <f t="shared" si="2"/>
        <v>13.080168776371307</v>
      </c>
      <c r="J15">
        <f t="shared" si="3"/>
        <v>32.067510548523209</v>
      </c>
      <c r="L15">
        <f t="shared" si="4"/>
        <v>4.193548387096774</v>
      </c>
      <c r="M15">
        <f t="shared" si="5"/>
        <v>1.7105263157894737</v>
      </c>
      <c r="N15">
        <f t="shared" si="6"/>
        <v>0.40789473684210525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F9E63-0051-40CB-A8E4-7716C9ED94AD}">
  <dimension ref="A1:O16"/>
  <sheetViews>
    <sheetView workbookViewId="0">
      <selection activeCell="G19" sqref="G19"/>
    </sheetView>
  </sheetViews>
  <sheetFormatPr defaultRowHeight="15" x14ac:dyDescent="0.25"/>
  <cols>
    <col min="1" max="1" width="7.7109375" customWidth="1"/>
    <col min="2" max="2" width="12.7109375" bestFit="1" customWidth="1"/>
    <col min="3" max="3" width="10.140625" customWidth="1"/>
    <col min="4" max="4" width="15.140625" customWidth="1"/>
    <col min="5" max="5" width="10.42578125" customWidth="1"/>
    <col min="8" max="8" width="14.85546875" bestFit="1" customWidth="1"/>
    <col min="9" max="9" width="11.5703125" customWidth="1"/>
    <col min="10" max="10" width="14.28515625" bestFit="1" customWidth="1"/>
    <col min="12" max="12" width="19.5703125" bestFit="1" customWidth="1"/>
    <col min="13" max="13" width="26.28515625" bestFit="1" customWidth="1"/>
    <col min="14" max="14" width="19.42578125" bestFit="1" customWidth="1"/>
  </cols>
  <sheetData>
    <row r="1" spans="1:15" x14ac:dyDescent="0.2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H2" t="s">
        <v>6</v>
      </c>
      <c r="I2" t="s">
        <v>7</v>
      </c>
      <c r="J2" t="s">
        <v>8</v>
      </c>
      <c r="L2" t="s">
        <v>9</v>
      </c>
      <c r="M2" t="s">
        <v>10</v>
      </c>
      <c r="N2" t="s">
        <v>11</v>
      </c>
    </row>
    <row r="3" spans="1:15" x14ac:dyDescent="0.25">
      <c r="A3">
        <v>76</v>
      </c>
      <c r="B3">
        <v>297</v>
      </c>
      <c r="C3">
        <v>2</v>
      </c>
      <c r="D3">
        <v>0</v>
      </c>
      <c r="E3">
        <f>SUM(B3:D3)</f>
        <v>299</v>
      </c>
      <c r="H3">
        <f>B3/E3*100</f>
        <v>99.331103678929765</v>
      </c>
      <c r="I3">
        <f>C3/E3*100</f>
        <v>0.66889632107023411</v>
      </c>
      <c r="J3">
        <f>D3/E3*100</f>
        <v>0</v>
      </c>
      <c r="L3">
        <f>B3/C3</f>
        <v>148.5</v>
      </c>
      <c r="M3" s="2" t="e">
        <f>B3/D3</f>
        <v>#DIV/0!</v>
      </c>
      <c r="N3" t="e">
        <f>C3/D3</f>
        <v>#DIV/0!</v>
      </c>
    </row>
    <row r="4" spans="1:15" x14ac:dyDescent="0.25">
      <c r="A4">
        <v>77</v>
      </c>
      <c r="B4">
        <v>260</v>
      </c>
      <c r="C4">
        <v>0</v>
      </c>
      <c r="D4">
        <v>1</v>
      </c>
      <c r="E4">
        <f t="shared" ref="E4:E16" si="0">SUM(B4:D4)</f>
        <v>261</v>
      </c>
      <c r="H4">
        <f t="shared" ref="H4:H16" si="1">B4/E4*100</f>
        <v>99.616858237547888</v>
      </c>
      <c r="I4">
        <f t="shared" ref="I4:I16" si="2">C4/E4*100</f>
        <v>0</v>
      </c>
      <c r="J4">
        <f t="shared" ref="J4:J16" si="3">D4/E4*100</f>
        <v>0.38314176245210724</v>
      </c>
      <c r="L4" t="e">
        <f t="shared" ref="L4:L16" si="4">B4/C4</f>
        <v>#DIV/0!</v>
      </c>
      <c r="M4" s="2">
        <f t="shared" ref="M4:M16" si="5">B4/D4</f>
        <v>260</v>
      </c>
      <c r="N4">
        <f t="shared" ref="N4:N16" si="6">C4/D4</f>
        <v>0</v>
      </c>
    </row>
    <row r="5" spans="1:15" x14ac:dyDescent="0.25">
      <c r="A5">
        <v>79</v>
      </c>
      <c r="B5">
        <v>275</v>
      </c>
      <c r="C5">
        <v>6</v>
      </c>
      <c r="D5">
        <v>0</v>
      </c>
      <c r="E5">
        <f t="shared" si="0"/>
        <v>281</v>
      </c>
      <c r="H5">
        <f t="shared" si="1"/>
        <v>97.864768683274022</v>
      </c>
      <c r="I5">
        <f t="shared" si="2"/>
        <v>2.1352313167259789</v>
      </c>
      <c r="J5">
        <f t="shared" si="3"/>
        <v>0</v>
      </c>
      <c r="L5">
        <f t="shared" si="4"/>
        <v>45.833333333333336</v>
      </c>
      <c r="M5" s="2" t="e">
        <f t="shared" si="5"/>
        <v>#DIV/0!</v>
      </c>
      <c r="N5" t="e">
        <f t="shared" si="6"/>
        <v>#DIV/0!</v>
      </c>
    </row>
    <row r="6" spans="1:15" x14ac:dyDescent="0.25">
      <c r="A6">
        <v>80</v>
      </c>
      <c r="B6">
        <v>241</v>
      </c>
      <c r="C6">
        <v>38</v>
      </c>
      <c r="D6">
        <v>3</v>
      </c>
      <c r="E6">
        <f t="shared" si="0"/>
        <v>282</v>
      </c>
      <c r="H6">
        <f t="shared" si="1"/>
        <v>85.460992907801412</v>
      </c>
      <c r="I6">
        <f t="shared" si="2"/>
        <v>13.475177304964539</v>
      </c>
      <c r="J6">
        <f t="shared" si="3"/>
        <v>1.0638297872340425</v>
      </c>
      <c r="L6">
        <f t="shared" si="4"/>
        <v>6.3421052631578947</v>
      </c>
      <c r="M6" s="2">
        <f t="shared" si="5"/>
        <v>80.333333333333329</v>
      </c>
      <c r="N6">
        <f>C6/D6</f>
        <v>12.666666666666666</v>
      </c>
    </row>
    <row r="7" spans="1:15" x14ac:dyDescent="0.25">
      <c r="A7">
        <v>81</v>
      </c>
      <c r="B7">
        <v>299</v>
      </c>
      <c r="C7">
        <v>6</v>
      </c>
      <c r="D7">
        <v>2</v>
      </c>
      <c r="E7">
        <f t="shared" si="0"/>
        <v>307</v>
      </c>
      <c r="H7">
        <f t="shared" si="1"/>
        <v>97.394136807817588</v>
      </c>
      <c r="I7">
        <f t="shared" si="2"/>
        <v>1.9543973941368076</v>
      </c>
      <c r="J7">
        <f t="shared" si="3"/>
        <v>0.65146579804560267</v>
      </c>
      <c r="L7">
        <f t="shared" si="4"/>
        <v>49.833333333333336</v>
      </c>
      <c r="M7" s="2">
        <f t="shared" si="5"/>
        <v>149.5</v>
      </c>
      <c r="N7">
        <f t="shared" si="6"/>
        <v>3</v>
      </c>
    </row>
    <row r="8" spans="1:15" x14ac:dyDescent="0.25">
      <c r="A8">
        <v>82</v>
      </c>
      <c r="B8">
        <v>227</v>
      </c>
      <c r="C8">
        <v>0</v>
      </c>
      <c r="D8">
        <v>0</v>
      </c>
      <c r="E8">
        <f t="shared" si="0"/>
        <v>227</v>
      </c>
      <c r="H8">
        <f t="shared" si="1"/>
        <v>100</v>
      </c>
      <c r="I8">
        <f t="shared" si="2"/>
        <v>0</v>
      </c>
      <c r="J8">
        <f t="shared" si="3"/>
        <v>0</v>
      </c>
      <c r="L8" t="e">
        <f t="shared" si="4"/>
        <v>#DIV/0!</v>
      </c>
      <c r="M8" s="2" t="e">
        <f t="shared" si="5"/>
        <v>#DIV/0!</v>
      </c>
      <c r="N8" t="e">
        <f t="shared" si="6"/>
        <v>#DIV/0!</v>
      </c>
    </row>
    <row r="9" spans="1:15" x14ac:dyDescent="0.25">
      <c r="A9">
        <v>83</v>
      </c>
      <c r="B9" s="3">
        <v>228</v>
      </c>
      <c r="C9" s="3">
        <v>33</v>
      </c>
      <c r="D9" s="3">
        <v>2</v>
      </c>
      <c r="E9" s="3">
        <f t="shared" si="0"/>
        <v>263</v>
      </c>
      <c r="F9" s="3"/>
      <c r="G9" s="3"/>
      <c r="H9" s="3">
        <f t="shared" si="1"/>
        <v>86.692015209125472</v>
      </c>
      <c r="I9" s="3">
        <f t="shared" si="2"/>
        <v>12.547528517110266</v>
      </c>
      <c r="J9" s="3">
        <f t="shared" si="3"/>
        <v>0.76045627376425851</v>
      </c>
      <c r="L9">
        <f t="shared" si="4"/>
        <v>6.9090909090909092</v>
      </c>
      <c r="M9" s="2">
        <f t="shared" si="5"/>
        <v>114</v>
      </c>
      <c r="N9">
        <f t="shared" si="6"/>
        <v>16.5</v>
      </c>
    </row>
    <row r="10" spans="1:15" s="1" customFormat="1" x14ac:dyDescent="0.25">
      <c r="A10" s="1">
        <v>84</v>
      </c>
      <c r="B10" s="3">
        <v>116</v>
      </c>
      <c r="C10" s="3">
        <v>140</v>
      </c>
      <c r="D10" s="3">
        <v>23</v>
      </c>
      <c r="E10" s="3">
        <f t="shared" si="0"/>
        <v>279</v>
      </c>
      <c r="F10" s="3"/>
      <c r="G10" s="3"/>
      <c r="H10" s="3">
        <f t="shared" si="1"/>
        <v>41.577060931899638</v>
      </c>
      <c r="I10" s="3">
        <f t="shared" si="2"/>
        <v>50.179211469534046</v>
      </c>
      <c r="J10" s="3">
        <f t="shared" si="3"/>
        <v>8.2437275985663092</v>
      </c>
      <c r="L10">
        <f t="shared" si="4"/>
        <v>0.82857142857142863</v>
      </c>
      <c r="M10" s="2">
        <f t="shared" si="5"/>
        <v>5.0434782608695654</v>
      </c>
      <c r="N10">
        <f t="shared" si="6"/>
        <v>6.0869565217391308</v>
      </c>
    </row>
    <row r="11" spans="1:15" x14ac:dyDescent="0.25">
      <c r="A11">
        <v>85</v>
      </c>
      <c r="B11" s="3">
        <v>199</v>
      </c>
      <c r="C11" s="3">
        <v>9</v>
      </c>
      <c r="D11" s="3">
        <v>25</v>
      </c>
      <c r="E11" s="3">
        <f t="shared" si="0"/>
        <v>233</v>
      </c>
      <c r="F11" s="3"/>
      <c r="G11" s="3"/>
      <c r="H11" s="3">
        <f t="shared" si="1"/>
        <v>85.407725321888421</v>
      </c>
      <c r="I11" s="3">
        <f t="shared" si="2"/>
        <v>3.8626609442060089</v>
      </c>
      <c r="J11" s="3">
        <f t="shared" si="3"/>
        <v>10.72961373390558</v>
      </c>
      <c r="L11">
        <f t="shared" si="4"/>
        <v>22.111111111111111</v>
      </c>
      <c r="M11" s="2">
        <f t="shared" si="5"/>
        <v>7.96</v>
      </c>
      <c r="N11">
        <f t="shared" si="6"/>
        <v>0.36</v>
      </c>
    </row>
    <row r="12" spans="1:15" x14ac:dyDescent="0.25">
      <c r="A12">
        <v>86</v>
      </c>
      <c r="B12">
        <v>297</v>
      </c>
      <c r="C12">
        <v>14</v>
      </c>
      <c r="D12">
        <v>5</v>
      </c>
      <c r="E12">
        <f t="shared" si="0"/>
        <v>316</v>
      </c>
      <c r="H12">
        <f t="shared" si="1"/>
        <v>93.987341772151893</v>
      </c>
      <c r="I12">
        <f t="shared" si="2"/>
        <v>4.4303797468354427</v>
      </c>
      <c r="J12">
        <f t="shared" si="3"/>
        <v>1.5822784810126582</v>
      </c>
      <c r="L12">
        <f t="shared" si="4"/>
        <v>21.214285714285715</v>
      </c>
      <c r="M12" s="2">
        <f t="shared" si="5"/>
        <v>59.4</v>
      </c>
      <c r="N12">
        <f t="shared" si="6"/>
        <v>2.8</v>
      </c>
    </row>
    <row r="13" spans="1:15" x14ac:dyDescent="0.25">
      <c r="A13">
        <v>87</v>
      </c>
      <c r="B13">
        <v>247</v>
      </c>
      <c r="C13">
        <v>0</v>
      </c>
      <c r="D13">
        <v>1</v>
      </c>
      <c r="E13">
        <f t="shared" si="0"/>
        <v>248</v>
      </c>
      <c r="H13">
        <f t="shared" si="1"/>
        <v>99.596774193548384</v>
      </c>
      <c r="I13">
        <f t="shared" si="2"/>
        <v>0</v>
      </c>
      <c r="J13">
        <f t="shared" si="3"/>
        <v>0.40322580645161288</v>
      </c>
      <c r="L13" t="e">
        <f t="shared" si="4"/>
        <v>#DIV/0!</v>
      </c>
      <c r="M13" s="2">
        <f t="shared" si="5"/>
        <v>247</v>
      </c>
      <c r="N13">
        <f t="shared" si="6"/>
        <v>0</v>
      </c>
    </row>
    <row r="14" spans="1:15" x14ac:dyDescent="0.25">
      <c r="A14">
        <v>88</v>
      </c>
      <c r="B14">
        <v>253</v>
      </c>
      <c r="C14">
        <v>2</v>
      </c>
      <c r="D14">
        <v>3</v>
      </c>
      <c r="E14">
        <f>SUM(B14:D14)</f>
        <v>258</v>
      </c>
      <c r="H14">
        <f t="shared" si="1"/>
        <v>98.062015503875969</v>
      </c>
      <c r="I14">
        <f t="shared" si="2"/>
        <v>0.77519379844961245</v>
      </c>
      <c r="J14">
        <f t="shared" si="3"/>
        <v>1.1627906976744187</v>
      </c>
      <c r="L14">
        <f t="shared" si="4"/>
        <v>126.5</v>
      </c>
      <c r="M14" s="2">
        <f t="shared" si="5"/>
        <v>84.333333333333329</v>
      </c>
      <c r="N14">
        <f t="shared" si="6"/>
        <v>0.66666666666666663</v>
      </c>
    </row>
    <row r="15" spans="1:15" x14ac:dyDescent="0.25">
      <c r="A15">
        <v>89</v>
      </c>
      <c r="B15">
        <v>249</v>
      </c>
      <c r="C15">
        <v>2</v>
      </c>
      <c r="D15">
        <v>1</v>
      </c>
      <c r="E15">
        <f t="shared" si="0"/>
        <v>252</v>
      </c>
      <c r="H15">
        <f t="shared" si="1"/>
        <v>98.80952380952381</v>
      </c>
      <c r="I15">
        <f t="shared" si="2"/>
        <v>0.79365079365079361</v>
      </c>
      <c r="J15">
        <f t="shared" si="3"/>
        <v>0.3968253968253968</v>
      </c>
      <c r="L15">
        <f t="shared" si="4"/>
        <v>124.5</v>
      </c>
      <c r="M15" s="2">
        <f t="shared" si="5"/>
        <v>249</v>
      </c>
      <c r="N15">
        <f t="shared" si="6"/>
        <v>2</v>
      </c>
    </row>
    <row r="16" spans="1:15" x14ac:dyDescent="0.25">
      <c r="A16">
        <v>90</v>
      </c>
      <c r="B16">
        <v>249</v>
      </c>
      <c r="C16">
        <v>8</v>
      </c>
      <c r="D16">
        <v>0</v>
      </c>
      <c r="E16">
        <f t="shared" si="0"/>
        <v>257</v>
      </c>
      <c r="H16">
        <f t="shared" si="1"/>
        <v>96.887159533073927</v>
      </c>
      <c r="I16">
        <f t="shared" si="2"/>
        <v>3.1128404669260701</v>
      </c>
      <c r="J16">
        <f t="shared" si="3"/>
        <v>0</v>
      </c>
      <c r="L16">
        <f t="shared" si="4"/>
        <v>31.125</v>
      </c>
      <c r="M16" s="2" t="e">
        <f t="shared" si="5"/>
        <v>#DIV/0!</v>
      </c>
      <c r="N16" t="e">
        <f t="shared" si="6"/>
        <v>#DIV/0!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1801A-7D4F-4579-824D-09064B9B1E79}">
  <dimension ref="A1:D73"/>
  <sheetViews>
    <sheetView tabSelected="1" workbookViewId="0">
      <selection activeCell="G56" sqref="G56"/>
    </sheetView>
  </sheetViews>
  <sheetFormatPr defaultRowHeight="15" x14ac:dyDescent="0.25"/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>
        <v>1</v>
      </c>
      <c r="B2">
        <v>266</v>
      </c>
      <c r="C2">
        <v>0</v>
      </c>
      <c r="D2">
        <v>0</v>
      </c>
    </row>
    <row r="3" spans="1:4" x14ac:dyDescent="0.25">
      <c r="A3">
        <v>2</v>
      </c>
      <c r="B3">
        <v>307</v>
      </c>
      <c r="C3">
        <v>0</v>
      </c>
      <c r="D3">
        <v>0</v>
      </c>
    </row>
    <row r="4" spans="1:4" x14ac:dyDescent="0.25">
      <c r="A4">
        <v>3</v>
      </c>
      <c r="B4">
        <v>292</v>
      </c>
      <c r="C4">
        <v>0</v>
      </c>
      <c r="D4">
        <v>0</v>
      </c>
    </row>
    <row r="5" spans="1:4" x14ac:dyDescent="0.25">
      <c r="A5">
        <v>4</v>
      </c>
      <c r="B5">
        <v>275</v>
      </c>
      <c r="C5">
        <v>0</v>
      </c>
      <c r="D5">
        <v>0</v>
      </c>
    </row>
    <row r="6" spans="1:4" x14ac:dyDescent="0.25">
      <c r="A6">
        <v>6</v>
      </c>
      <c r="B6">
        <v>285</v>
      </c>
      <c r="C6">
        <v>0</v>
      </c>
      <c r="D6">
        <v>0</v>
      </c>
    </row>
    <row r="7" spans="1:4" x14ac:dyDescent="0.25">
      <c r="A7">
        <v>7</v>
      </c>
      <c r="B7">
        <v>291</v>
      </c>
      <c r="C7">
        <v>0</v>
      </c>
      <c r="D7">
        <v>0</v>
      </c>
    </row>
    <row r="8" spans="1:4" x14ac:dyDescent="0.25">
      <c r="A8">
        <v>8</v>
      </c>
      <c r="B8">
        <v>312</v>
      </c>
      <c r="C8">
        <v>0</v>
      </c>
      <c r="D8">
        <v>0</v>
      </c>
    </row>
    <row r="9" spans="1:4" x14ac:dyDescent="0.25">
      <c r="A9">
        <v>9</v>
      </c>
      <c r="B9">
        <v>269</v>
      </c>
      <c r="C9">
        <v>0</v>
      </c>
      <c r="D9">
        <v>0</v>
      </c>
    </row>
    <row r="10" spans="1:4" x14ac:dyDescent="0.25">
      <c r="A10">
        <v>10</v>
      </c>
      <c r="B10">
        <v>300</v>
      </c>
      <c r="C10">
        <v>0</v>
      </c>
      <c r="D10">
        <v>0</v>
      </c>
    </row>
    <row r="11" spans="1:4" x14ac:dyDescent="0.25">
      <c r="A11">
        <v>11</v>
      </c>
      <c r="B11">
        <v>312</v>
      </c>
      <c r="C11">
        <v>0</v>
      </c>
      <c r="D11">
        <v>0</v>
      </c>
    </row>
    <row r="12" spans="1:4" x14ac:dyDescent="0.25">
      <c r="A12">
        <v>12</v>
      </c>
      <c r="B12">
        <v>300</v>
      </c>
      <c r="C12">
        <v>0</v>
      </c>
      <c r="D12">
        <v>0</v>
      </c>
    </row>
    <row r="13" spans="1:4" x14ac:dyDescent="0.25">
      <c r="A13">
        <v>13</v>
      </c>
      <c r="B13">
        <v>256</v>
      </c>
      <c r="C13">
        <v>1</v>
      </c>
      <c r="D13">
        <v>0</v>
      </c>
    </row>
    <row r="14" spans="1:4" x14ac:dyDescent="0.25">
      <c r="A14">
        <v>14</v>
      </c>
      <c r="B14">
        <v>247</v>
      </c>
      <c r="C14">
        <v>2</v>
      </c>
      <c r="D14">
        <v>0</v>
      </c>
    </row>
    <row r="15" spans="1:4" x14ac:dyDescent="0.25">
      <c r="A15">
        <v>14</v>
      </c>
      <c r="B15">
        <v>229</v>
      </c>
      <c r="C15">
        <v>0</v>
      </c>
      <c r="D15">
        <v>0</v>
      </c>
    </row>
    <row r="16" spans="1:4" x14ac:dyDescent="0.25">
      <c r="A16">
        <v>16</v>
      </c>
      <c r="B16">
        <v>218</v>
      </c>
      <c r="C16">
        <v>31</v>
      </c>
      <c r="D16">
        <v>0</v>
      </c>
    </row>
    <row r="17" spans="1:4" x14ac:dyDescent="0.25">
      <c r="A17">
        <v>17</v>
      </c>
      <c r="B17">
        <v>108</v>
      </c>
      <c r="C17">
        <v>1</v>
      </c>
      <c r="D17">
        <v>3</v>
      </c>
    </row>
    <row r="18" spans="1:4" x14ac:dyDescent="0.25">
      <c r="A18" s="1">
        <v>18</v>
      </c>
      <c r="B18" s="1">
        <v>141</v>
      </c>
      <c r="C18" s="1">
        <v>109</v>
      </c>
      <c r="D18" s="1">
        <v>0</v>
      </c>
    </row>
    <row r="19" spans="1:4" x14ac:dyDescent="0.25">
      <c r="A19">
        <v>19</v>
      </c>
      <c r="B19">
        <v>87</v>
      </c>
      <c r="C19">
        <v>145</v>
      </c>
      <c r="D19">
        <v>0</v>
      </c>
    </row>
    <row r="20" spans="1:4" x14ac:dyDescent="0.25">
      <c r="A20" s="1">
        <v>20</v>
      </c>
      <c r="B20" s="1">
        <v>87</v>
      </c>
      <c r="C20" s="1">
        <v>123</v>
      </c>
      <c r="D20" s="1">
        <v>0</v>
      </c>
    </row>
    <row r="21" spans="1:4" x14ac:dyDescent="0.25">
      <c r="A21">
        <v>21</v>
      </c>
      <c r="B21">
        <v>152</v>
      </c>
      <c r="C21">
        <v>87</v>
      </c>
      <c r="D21">
        <v>0</v>
      </c>
    </row>
    <row r="22" spans="1:4" x14ac:dyDescent="0.25">
      <c r="A22">
        <v>22</v>
      </c>
      <c r="B22">
        <v>214</v>
      </c>
      <c r="C22">
        <v>20</v>
      </c>
      <c r="D22">
        <v>0</v>
      </c>
    </row>
    <row r="23" spans="1:4" x14ac:dyDescent="0.25">
      <c r="A23">
        <v>23</v>
      </c>
      <c r="B23">
        <v>125</v>
      </c>
      <c r="C23">
        <v>89</v>
      </c>
      <c r="D23">
        <v>1</v>
      </c>
    </row>
    <row r="24" spans="1:4" x14ac:dyDescent="0.25">
      <c r="A24">
        <v>24</v>
      </c>
      <c r="B24">
        <v>185</v>
      </c>
      <c r="C24">
        <v>35</v>
      </c>
      <c r="D24">
        <v>1</v>
      </c>
    </row>
    <row r="25" spans="1:4" x14ac:dyDescent="0.25">
      <c r="A25">
        <v>25</v>
      </c>
      <c r="B25">
        <v>154</v>
      </c>
      <c r="C25">
        <v>63</v>
      </c>
      <c r="D25">
        <v>6</v>
      </c>
    </row>
    <row r="26" spans="1:4" x14ac:dyDescent="0.25">
      <c r="A26">
        <v>26</v>
      </c>
      <c r="B26">
        <v>152</v>
      </c>
      <c r="C26">
        <v>57</v>
      </c>
      <c r="D26">
        <v>2</v>
      </c>
    </row>
    <row r="27" spans="1:4" x14ac:dyDescent="0.25">
      <c r="A27">
        <v>27</v>
      </c>
      <c r="B27">
        <v>223</v>
      </c>
      <c r="C27">
        <v>0</v>
      </c>
      <c r="D27">
        <v>4</v>
      </c>
    </row>
    <row r="28" spans="1:4" x14ac:dyDescent="0.25">
      <c r="A28" s="1">
        <v>28</v>
      </c>
      <c r="B28" s="1">
        <v>123</v>
      </c>
      <c r="C28" s="1">
        <v>98</v>
      </c>
      <c r="D28" s="1">
        <v>2</v>
      </c>
    </row>
    <row r="29" spans="1:4" x14ac:dyDescent="0.25">
      <c r="A29" s="1">
        <v>29</v>
      </c>
      <c r="B29" s="1">
        <v>79</v>
      </c>
      <c r="C29" s="1">
        <v>158</v>
      </c>
      <c r="D29" s="1">
        <v>0</v>
      </c>
    </row>
    <row r="30" spans="1:4" x14ac:dyDescent="0.25">
      <c r="A30" s="1">
        <v>30</v>
      </c>
      <c r="B30" s="1">
        <v>148</v>
      </c>
      <c r="C30" s="1">
        <v>110</v>
      </c>
      <c r="D30" s="1">
        <v>1</v>
      </c>
    </row>
    <row r="31" spans="1:4" x14ac:dyDescent="0.25">
      <c r="A31">
        <v>31</v>
      </c>
      <c r="B31">
        <v>159</v>
      </c>
      <c r="C31">
        <v>49</v>
      </c>
      <c r="D31">
        <v>6</v>
      </c>
    </row>
    <row r="32" spans="1:4" x14ac:dyDescent="0.25">
      <c r="A32" s="1">
        <v>32</v>
      </c>
      <c r="B32" s="1">
        <v>230</v>
      </c>
      <c r="C32" s="1">
        <v>1</v>
      </c>
      <c r="D32" s="1">
        <v>0</v>
      </c>
    </row>
    <row r="33" spans="1:4" x14ac:dyDescent="0.25">
      <c r="A33" s="1">
        <v>33</v>
      </c>
      <c r="B33" s="1">
        <v>194</v>
      </c>
      <c r="C33" s="1">
        <v>11</v>
      </c>
      <c r="D33" s="1">
        <v>1</v>
      </c>
    </row>
    <row r="34" spans="1:4" x14ac:dyDescent="0.25">
      <c r="A34">
        <v>34</v>
      </c>
      <c r="B34">
        <v>112</v>
      </c>
      <c r="C34">
        <v>125</v>
      </c>
      <c r="D34">
        <v>0</v>
      </c>
    </row>
    <row r="35" spans="1:4" x14ac:dyDescent="0.25">
      <c r="A35">
        <v>35</v>
      </c>
      <c r="B35">
        <v>142</v>
      </c>
      <c r="C35">
        <v>85</v>
      </c>
      <c r="D35">
        <v>4</v>
      </c>
    </row>
    <row r="36" spans="1:4" x14ac:dyDescent="0.25">
      <c r="A36">
        <v>36</v>
      </c>
      <c r="B36">
        <v>202</v>
      </c>
      <c r="C36">
        <v>41</v>
      </c>
      <c r="D36">
        <v>5</v>
      </c>
    </row>
    <row r="37" spans="1:4" x14ac:dyDescent="0.25">
      <c r="A37">
        <v>37</v>
      </c>
      <c r="B37">
        <v>190</v>
      </c>
      <c r="C37">
        <v>24</v>
      </c>
      <c r="D37">
        <v>7</v>
      </c>
    </row>
    <row r="38" spans="1:4" x14ac:dyDescent="0.25">
      <c r="A38">
        <v>38</v>
      </c>
      <c r="B38">
        <v>177</v>
      </c>
      <c r="C38">
        <v>74</v>
      </c>
      <c r="D38">
        <v>8</v>
      </c>
    </row>
    <row r="39" spans="1:4" x14ac:dyDescent="0.25">
      <c r="A39">
        <v>39</v>
      </c>
      <c r="B39">
        <v>253</v>
      </c>
      <c r="C39">
        <v>0</v>
      </c>
      <c r="D39">
        <v>2</v>
      </c>
    </row>
    <row r="40" spans="1:4" x14ac:dyDescent="0.25">
      <c r="A40" s="1">
        <v>40</v>
      </c>
      <c r="B40" s="1">
        <v>103</v>
      </c>
      <c r="C40" s="1">
        <v>164</v>
      </c>
      <c r="D40" s="1">
        <v>0</v>
      </c>
    </row>
    <row r="41" spans="1:4" x14ac:dyDescent="0.25">
      <c r="A41">
        <v>41</v>
      </c>
      <c r="B41">
        <v>124</v>
      </c>
      <c r="C41">
        <v>130</v>
      </c>
      <c r="D41">
        <v>3</v>
      </c>
    </row>
    <row r="42" spans="1:4" x14ac:dyDescent="0.25">
      <c r="A42">
        <v>42</v>
      </c>
      <c r="B42">
        <v>163</v>
      </c>
      <c r="C42">
        <v>53</v>
      </c>
      <c r="D42">
        <v>1</v>
      </c>
    </row>
    <row r="43" spans="1:4" x14ac:dyDescent="0.25">
      <c r="A43" s="1">
        <v>43</v>
      </c>
      <c r="B43" s="1">
        <v>165</v>
      </c>
      <c r="C43" s="1">
        <v>73</v>
      </c>
      <c r="D43" s="1">
        <v>4</v>
      </c>
    </row>
    <row r="44" spans="1:4" x14ac:dyDescent="0.25">
      <c r="A44">
        <v>45</v>
      </c>
      <c r="B44">
        <v>147</v>
      </c>
      <c r="C44">
        <v>93</v>
      </c>
      <c r="D44">
        <v>2</v>
      </c>
    </row>
    <row r="45" spans="1:4" x14ac:dyDescent="0.25">
      <c r="A45">
        <v>46</v>
      </c>
      <c r="B45">
        <v>124</v>
      </c>
      <c r="C45">
        <v>114</v>
      </c>
      <c r="D45">
        <v>10</v>
      </c>
    </row>
    <row r="46" spans="1:4" x14ac:dyDescent="0.25">
      <c r="A46">
        <v>47</v>
      </c>
      <c r="B46">
        <v>244</v>
      </c>
      <c r="C46">
        <v>10</v>
      </c>
      <c r="D46">
        <v>5</v>
      </c>
    </row>
    <row r="47" spans="1:4" x14ac:dyDescent="0.25">
      <c r="A47">
        <v>48</v>
      </c>
      <c r="B47">
        <v>202</v>
      </c>
      <c r="C47">
        <v>29</v>
      </c>
      <c r="D47">
        <v>3</v>
      </c>
    </row>
    <row r="48" spans="1:4" x14ac:dyDescent="0.25">
      <c r="A48">
        <v>49</v>
      </c>
      <c r="B48">
        <v>90</v>
      </c>
      <c r="C48">
        <v>142</v>
      </c>
      <c r="D48">
        <v>5</v>
      </c>
    </row>
    <row r="49" spans="1:4" x14ac:dyDescent="0.25">
      <c r="A49">
        <v>50</v>
      </c>
      <c r="B49">
        <v>103</v>
      </c>
      <c r="C49">
        <v>147</v>
      </c>
      <c r="D49">
        <v>3</v>
      </c>
    </row>
    <row r="50" spans="1:4" x14ac:dyDescent="0.25">
      <c r="A50">
        <v>51</v>
      </c>
      <c r="B50">
        <v>216</v>
      </c>
      <c r="C50">
        <v>61</v>
      </c>
      <c r="D50">
        <v>4</v>
      </c>
    </row>
    <row r="51" spans="1:4" x14ac:dyDescent="0.25">
      <c r="A51">
        <v>52</v>
      </c>
      <c r="B51">
        <v>229</v>
      </c>
      <c r="C51">
        <v>16</v>
      </c>
      <c r="D51">
        <v>0</v>
      </c>
    </row>
    <row r="52" spans="1:4" x14ac:dyDescent="0.25">
      <c r="A52">
        <v>53</v>
      </c>
      <c r="B52">
        <v>224</v>
      </c>
      <c r="C52">
        <v>11</v>
      </c>
      <c r="D52">
        <v>1</v>
      </c>
    </row>
    <row r="53" spans="1:4" x14ac:dyDescent="0.25">
      <c r="A53">
        <v>54</v>
      </c>
      <c r="B53">
        <v>212</v>
      </c>
      <c r="C53">
        <v>18</v>
      </c>
      <c r="D53">
        <v>5</v>
      </c>
    </row>
    <row r="54" spans="1:4" x14ac:dyDescent="0.25">
      <c r="A54">
        <v>55</v>
      </c>
      <c r="B54">
        <v>137</v>
      </c>
      <c r="C54">
        <v>100</v>
      </c>
      <c r="D54">
        <v>0</v>
      </c>
    </row>
    <row r="55" spans="1:4" x14ac:dyDescent="0.25">
      <c r="A55">
        <v>56</v>
      </c>
      <c r="B55">
        <v>199</v>
      </c>
      <c r="C55">
        <v>3</v>
      </c>
      <c r="D55">
        <v>10</v>
      </c>
    </row>
    <row r="56" spans="1:4" x14ac:dyDescent="0.25">
      <c r="A56">
        <v>57</v>
      </c>
      <c r="B56">
        <v>75</v>
      </c>
      <c r="C56">
        <v>170</v>
      </c>
      <c r="D56">
        <v>2</v>
      </c>
    </row>
    <row r="57" spans="1:4" x14ac:dyDescent="0.25">
      <c r="A57">
        <v>58</v>
      </c>
      <c r="B57">
        <v>241</v>
      </c>
      <c r="C57">
        <v>41</v>
      </c>
      <c r="D57">
        <v>0</v>
      </c>
    </row>
    <row r="58" spans="1:4" x14ac:dyDescent="0.25">
      <c r="A58">
        <v>59</v>
      </c>
      <c r="B58">
        <v>229</v>
      </c>
      <c r="C58">
        <v>1</v>
      </c>
      <c r="D58">
        <v>1</v>
      </c>
    </row>
    <row r="59" spans="1:4" x14ac:dyDescent="0.25">
      <c r="A59">
        <v>60</v>
      </c>
      <c r="B59">
        <v>199</v>
      </c>
      <c r="C59">
        <v>17</v>
      </c>
      <c r="D59">
        <v>6</v>
      </c>
    </row>
    <row r="60" spans="1:4" x14ac:dyDescent="0.25">
      <c r="A60" s="1">
        <v>61</v>
      </c>
      <c r="B60" s="1">
        <v>188</v>
      </c>
      <c r="C60" s="1">
        <v>28</v>
      </c>
      <c r="D60" s="1">
        <v>6</v>
      </c>
    </row>
    <row r="61" spans="1:4" x14ac:dyDescent="0.25">
      <c r="A61">
        <v>62</v>
      </c>
      <c r="B61">
        <v>114</v>
      </c>
      <c r="C61">
        <v>76</v>
      </c>
      <c r="D61">
        <v>51</v>
      </c>
    </row>
    <row r="62" spans="1:4" x14ac:dyDescent="0.25">
      <c r="A62">
        <v>63</v>
      </c>
      <c r="B62">
        <v>109</v>
      </c>
      <c r="C62">
        <v>49</v>
      </c>
      <c r="D62">
        <v>67</v>
      </c>
    </row>
    <row r="63" spans="1:4" x14ac:dyDescent="0.25">
      <c r="A63" s="1">
        <v>64</v>
      </c>
      <c r="B63" s="1">
        <v>94</v>
      </c>
      <c r="C63" s="1">
        <v>15</v>
      </c>
      <c r="D63" s="1">
        <v>55</v>
      </c>
    </row>
    <row r="64" spans="1:4" x14ac:dyDescent="0.25">
      <c r="A64" s="1">
        <v>65</v>
      </c>
      <c r="B64" s="1">
        <v>208</v>
      </c>
      <c r="C64" s="1">
        <v>2</v>
      </c>
      <c r="D64" s="1">
        <v>3</v>
      </c>
    </row>
    <row r="65" spans="1:4" x14ac:dyDescent="0.25">
      <c r="A65" s="1">
        <v>67</v>
      </c>
      <c r="B65" s="1">
        <v>146</v>
      </c>
      <c r="C65" s="1">
        <v>2</v>
      </c>
      <c r="D65" s="1">
        <v>2</v>
      </c>
    </row>
    <row r="66" spans="1:4" x14ac:dyDescent="0.25">
      <c r="A66">
        <v>68</v>
      </c>
      <c r="B66">
        <v>232</v>
      </c>
      <c r="C66">
        <v>2</v>
      </c>
      <c r="D66">
        <v>8</v>
      </c>
    </row>
    <row r="67" spans="1:4" x14ac:dyDescent="0.25">
      <c r="A67">
        <v>69</v>
      </c>
      <c r="B67">
        <v>157</v>
      </c>
      <c r="C67">
        <v>10</v>
      </c>
      <c r="D67">
        <v>52</v>
      </c>
    </row>
    <row r="68" spans="1:4" x14ac:dyDescent="0.25">
      <c r="A68">
        <v>70</v>
      </c>
      <c r="B68">
        <v>111</v>
      </c>
      <c r="C68">
        <v>93</v>
      </c>
      <c r="D68">
        <v>21</v>
      </c>
    </row>
    <row r="69" spans="1:4" x14ac:dyDescent="0.25">
      <c r="A69">
        <v>71</v>
      </c>
      <c r="B69">
        <v>185</v>
      </c>
      <c r="C69">
        <v>14</v>
      </c>
      <c r="D69">
        <v>28</v>
      </c>
    </row>
    <row r="70" spans="1:4" x14ac:dyDescent="0.25">
      <c r="A70">
        <v>72</v>
      </c>
      <c r="B70">
        <v>196</v>
      </c>
      <c r="C70">
        <v>35</v>
      </c>
      <c r="D70">
        <v>5</v>
      </c>
    </row>
    <row r="71" spans="1:4" x14ac:dyDescent="0.25">
      <c r="A71">
        <v>73</v>
      </c>
      <c r="B71">
        <v>218</v>
      </c>
      <c r="C71">
        <v>5</v>
      </c>
      <c r="D71">
        <v>0</v>
      </c>
    </row>
    <row r="72" spans="1:4" x14ac:dyDescent="0.25">
      <c r="A72" s="1">
        <v>74</v>
      </c>
      <c r="B72" s="1">
        <v>158</v>
      </c>
      <c r="C72" s="1">
        <v>69</v>
      </c>
      <c r="D72" s="1">
        <v>16</v>
      </c>
    </row>
    <row r="73" spans="1:4" x14ac:dyDescent="0.25">
      <c r="A73">
        <v>75</v>
      </c>
      <c r="B73">
        <v>130</v>
      </c>
      <c r="C73">
        <v>31</v>
      </c>
      <c r="D73">
        <v>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7DEDB721378F4ABE01DF43C082BF72" ma:contentTypeVersion="4" ma:contentTypeDescription="Create a new document." ma:contentTypeScope="" ma:versionID="ab235ce3fdfaabc05946528347d3c446">
  <xsd:schema xmlns:xsd="http://www.w3.org/2001/XMLSchema" xmlns:xs="http://www.w3.org/2001/XMLSchema" xmlns:p="http://schemas.microsoft.com/office/2006/metadata/properties" xmlns:ns2="8b164f46-aaef-4c2e-9818-4011414ce37c" targetNamespace="http://schemas.microsoft.com/office/2006/metadata/properties" ma:root="true" ma:fieldsID="c7be0201ea5b6252b9cc4f2737abd279" ns2:_="">
    <xsd:import namespace="8b164f46-aaef-4c2e-9818-4011414ce3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164f46-aaef-4c2e-9818-4011414ce3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DA219-7E12-406B-8ED4-54D622D25A28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D58F9F-898E-484D-A98D-F967FF92D7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B80991-539E-4286-8A7B-A44AA3448F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164f46-aaef-4c2e-9818-4011414ce3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D0 Males</vt:lpstr>
      <vt:lpstr>D3 Males</vt:lpstr>
      <vt:lpstr>D4 Males</vt:lpstr>
      <vt:lpstr>D5 Males</vt:lpstr>
      <vt:lpstr>D8 Males</vt:lpstr>
      <vt:lpstr>Data_Reordered_Male</vt:lpstr>
      <vt:lpstr>D21 Males</vt:lpstr>
      <vt:lpstr>D0 Females</vt:lpstr>
      <vt:lpstr>D3 Females</vt:lpstr>
      <vt:lpstr>D4 Females</vt:lpstr>
      <vt:lpstr>D5 Females</vt:lpstr>
      <vt:lpstr>D8 Females</vt:lpstr>
      <vt:lpstr>D21 Females</vt:lpstr>
      <vt:lpstr>Data_Reordered_Female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Kelly</dc:creator>
  <cp:keywords/>
  <dc:description/>
  <cp:lastModifiedBy>Suresh, Ramakrishna</cp:lastModifiedBy>
  <cp:revision/>
  <dcterms:created xsi:type="dcterms:W3CDTF">2023-03-17T18:39:50Z</dcterms:created>
  <dcterms:modified xsi:type="dcterms:W3CDTF">2024-03-18T21:32:08Z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0x0101004D7DEDB721378F4ABE01DF43C082BF72</vt:lpwstr>
  </property>
</Properties>
</file>