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itt-my.sharepoint.com/personal/ras365_pitt_edu/Documents/Documents/Research/JDO Project/Data Copy/"/>
    </mc:Choice>
  </mc:AlternateContent>
  <xr:revisionPtr revIDLastSave="3" documentId="13_ncr:1_{D3DEB77A-DAFA-45B0-AAD1-61FD08A7E6DB}" xr6:coauthVersionLast="47" xr6:coauthVersionMax="47" xr10:uidLastSave="{B3A1C3D7-7164-4644-BC6B-4CE8922F1B3D}"/>
  <bookViews>
    <workbookView xWindow="-120" yWindow="-120" windowWidth="29040" windowHeight="15720" xr2:uid="{73FEE3DE-775B-2C4D-AEDE-D21CF8E38D83}"/>
  </bookViews>
  <sheets>
    <sheet name="severity index" sheetId="1" r:id="rId1"/>
    <sheet name="Data_Reordered_Viral_Burden" sheetId="4" r:id="rId2"/>
    <sheet name="Severe mild Day 0 to 8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42" i="1" l="1"/>
  <c r="C48" i="1"/>
  <c r="R41" i="1"/>
  <c r="AF41" i="1"/>
  <c r="AU41" i="1"/>
  <c r="BJ41" i="1"/>
  <c r="C41" i="1"/>
  <c r="H42" i="1"/>
  <c r="H43" i="1"/>
  <c r="G43" i="1"/>
  <c r="G42" i="1"/>
  <c r="F42" i="1"/>
  <c r="F43" i="1"/>
  <c r="E43" i="1"/>
  <c r="E42" i="1"/>
  <c r="D42" i="1"/>
  <c r="D43" i="1"/>
  <c r="C43" i="1"/>
  <c r="C42" i="1"/>
  <c r="H40" i="1"/>
  <c r="G40" i="1"/>
  <c r="F40" i="1"/>
  <c r="E40" i="1"/>
  <c r="D40" i="1"/>
  <c r="C40" i="1"/>
  <c r="E41" i="1"/>
  <c r="H41" i="1"/>
  <c r="G41" i="1"/>
  <c r="F41" i="1"/>
  <c r="D41" i="1"/>
  <c r="BY33" i="1" l="1"/>
  <c r="AF33" i="1"/>
  <c r="R38" i="1"/>
  <c r="R37" i="1"/>
  <c r="R36" i="1"/>
  <c r="R35" i="1"/>
  <c r="R34" i="1"/>
  <c r="R33" i="1"/>
  <c r="BY35" i="1"/>
  <c r="BY34" i="1"/>
  <c r="BY38" i="1"/>
  <c r="BY37" i="1"/>
  <c r="BY36" i="1"/>
  <c r="BJ38" i="1"/>
  <c r="BJ37" i="1"/>
  <c r="BJ36" i="1"/>
  <c r="BJ35" i="1"/>
  <c r="BJ34" i="1"/>
  <c r="BJ33" i="1"/>
  <c r="AU38" i="1"/>
  <c r="AU37" i="1"/>
  <c r="AU36" i="1"/>
  <c r="AU35" i="1"/>
  <c r="AU34" i="1"/>
  <c r="AU33" i="1"/>
  <c r="AF38" i="1"/>
  <c r="AF37" i="1"/>
  <c r="AF36" i="1"/>
  <c r="AF35" i="1"/>
  <c r="AF34" i="1"/>
  <c r="C33" i="1"/>
  <c r="C38" i="1"/>
  <c r="C37" i="1"/>
  <c r="C36" i="1"/>
  <c r="C35" i="1"/>
  <c r="C34" i="1"/>
</calcChain>
</file>

<file path=xl/sharedStrings.xml><?xml version="1.0" encoding="utf-8"?>
<sst xmlns="http://schemas.openxmlformats.org/spreadsheetml/2006/main" count="254" uniqueCount="59">
  <si>
    <t xml:space="preserve">Day </t>
  </si>
  <si>
    <t>Day 0</t>
  </si>
  <si>
    <t>Day 3</t>
  </si>
  <si>
    <t>Day 4</t>
  </si>
  <si>
    <t>Day 5</t>
  </si>
  <si>
    <t>Day 8</t>
  </si>
  <si>
    <t>Day 21</t>
  </si>
  <si>
    <t>MOUSE ID</t>
  </si>
  <si>
    <t xml:space="preserve">BAL Cell counts </t>
  </si>
  <si>
    <t>Hysteresis</t>
  </si>
  <si>
    <t>BAL protein</t>
  </si>
  <si>
    <t>Viral Burden</t>
  </si>
  <si>
    <t>Eotaxin (74)</t>
  </si>
  <si>
    <t>G-CSF (54)</t>
  </si>
  <si>
    <t>GM-CSF (73)</t>
  </si>
  <si>
    <t>IFN-y (34)</t>
  </si>
  <si>
    <t>Il 10 (56)</t>
  </si>
  <si>
    <t>Il 12p40 (76)</t>
  </si>
  <si>
    <t>Il 12p70 (78)</t>
  </si>
  <si>
    <t>Il 13 (37)</t>
  </si>
  <si>
    <t>Il 17A (72)</t>
  </si>
  <si>
    <t>Il 1b (19)</t>
  </si>
  <si>
    <t>Il 2 (36)</t>
  </si>
  <si>
    <t>Il 3 (18)</t>
  </si>
  <si>
    <t>Il 4 (39)</t>
  </si>
  <si>
    <t>Il 5 (52)</t>
  </si>
  <si>
    <t>Il 6 (38)</t>
  </si>
  <si>
    <t>Il 9 (33)</t>
  </si>
  <si>
    <t>Il1 l (53)</t>
  </si>
  <si>
    <t>KC (57)</t>
  </si>
  <si>
    <t>MCP-1 (51)</t>
  </si>
  <si>
    <t>MIP-1b (75)</t>
  </si>
  <si>
    <t>MIP-1l (77)</t>
  </si>
  <si>
    <t>Rantes (55)</t>
  </si>
  <si>
    <t>TNF-l (21)</t>
  </si>
  <si>
    <t>Composite score (how many red boxes)</t>
  </si>
  <si>
    <t>Pearson</t>
  </si>
  <si>
    <t>Hysteresis v Burden</t>
  </si>
  <si>
    <t>Hysteresis v Cell count</t>
  </si>
  <si>
    <t>Hysteresis v protein</t>
  </si>
  <si>
    <t>Cell count v protein</t>
  </si>
  <si>
    <t>cell count v burden</t>
  </si>
  <si>
    <t xml:space="preserve">burden v protein </t>
  </si>
  <si>
    <t>AVG value</t>
  </si>
  <si>
    <t>Dy 4</t>
  </si>
  <si>
    <t>&lt;&lt; these are median values for each parameter used in composite score calculation</t>
  </si>
  <si>
    <t xml:space="preserve">Hysteresis </t>
  </si>
  <si>
    <t>average composite score</t>
  </si>
  <si>
    <t>Burden</t>
  </si>
  <si>
    <t>Cell count</t>
  </si>
  <si>
    <t xml:space="preserve">Protein </t>
  </si>
  <si>
    <t>day 0 average composite score</t>
  </si>
  <si>
    <t>Severe mice with composite score &gt; than average for day highlighted in blue</t>
  </si>
  <si>
    <t xml:space="preserve">ID </t>
  </si>
  <si>
    <t>Day</t>
  </si>
  <si>
    <t>mild</t>
  </si>
  <si>
    <t>severe</t>
  </si>
  <si>
    <t>Mouse_ID</t>
  </si>
  <si>
    <t>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</si>
</sst>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0" fillId="3" borderId="0" xfId="0" applyFill="1"/>
    <xf numFmtId="2" fontId="0" fillId="0" borderId="0" xfId="0" applyNumberFormat="1"/>
    <xf numFmtId="0" fontId="0" fillId="4" borderId="0" xfId="0" applyFill="1"/>
    <xf numFmtId="0" fontId="0" fillId="0" borderId="1" xfId="0" applyBorder="1"/>
    <xf numFmtId="2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6" xfId="0" applyNumberFormat="1" applyBorder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2" fontId="0" fillId="0" borderId="9" xfId="0" applyNumberFormat="1" applyBorder="1"/>
    <xf numFmtId="0" fontId="0" fillId="0" borderId="10" xfId="0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F44AF-4860-1443-87D6-A541830C2585}">
  <dimension ref="B2:CN52"/>
  <sheetViews>
    <sheetView tabSelected="1" topLeftCell="J4" zoomScale="75" zoomScaleNormal="50" workbookViewId="0">
      <selection activeCell="AD4" sqref="AD4:AD7"/>
    </sheetView>
  </sheetViews>
  <sheetFormatPr defaultColWidth="11" defaultRowHeight="15.75" x14ac:dyDescent="0.25"/>
  <cols>
    <col min="2" max="2" width="29.125" customWidth="1"/>
    <col min="3" max="4" width="11" bestFit="1" customWidth="1"/>
    <col min="5" max="5" width="14.5" bestFit="1" customWidth="1"/>
    <col min="6" max="6" width="16.375" customWidth="1"/>
    <col min="7" max="7" width="14.625" customWidth="1"/>
    <col min="8" max="16" width="11" bestFit="1" customWidth="1"/>
    <col min="17" max="17" width="20" bestFit="1" customWidth="1"/>
    <col min="18" max="19" width="11" style="1" bestFit="1" customWidth="1"/>
    <col min="20" max="20" width="11.875" style="1" bestFit="1" customWidth="1"/>
    <col min="21" max="24" width="11" style="1" bestFit="1" customWidth="1"/>
    <col min="25" max="26" width="11.875" style="1" bestFit="1" customWidth="1"/>
    <col min="27" max="29" width="11" style="1" bestFit="1" customWidth="1"/>
    <col min="30" max="30" width="11.875" style="1" bestFit="1" customWidth="1"/>
    <col min="31" max="31" width="30.375" style="1" customWidth="1"/>
    <col min="32" max="32" width="11.875" bestFit="1" customWidth="1"/>
    <col min="33" max="35" width="11" bestFit="1" customWidth="1"/>
    <col min="36" max="36" width="12.875" bestFit="1" customWidth="1"/>
    <col min="37" max="38" width="11.875" bestFit="1" customWidth="1"/>
    <col min="39" max="43" width="11" bestFit="1" customWidth="1"/>
    <col min="44" max="44" width="12.875" bestFit="1" customWidth="1"/>
    <col min="45" max="45" width="11" bestFit="1" customWidth="1"/>
    <col min="46" max="46" width="19.125" customWidth="1"/>
    <col min="47" max="47" width="11.875" style="1" bestFit="1" customWidth="1"/>
    <col min="48" max="50" width="11" style="1" bestFit="1" customWidth="1"/>
    <col min="51" max="51" width="11.875" style="1" bestFit="1" customWidth="1"/>
    <col min="52" max="57" width="11" style="1" bestFit="1" customWidth="1"/>
    <col min="58" max="58" width="11.875" style="1" bestFit="1" customWidth="1"/>
    <col min="59" max="60" width="11" style="1" bestFit="1" customWidth="1"/>
    <col min="61" max="61" width="11.875" style="1" bestFit="1" customWidth="1"/>
    <col min="62" max="62" width="11" bestFit="1" customWidth="1"/>
    <col min="63" max="63" width="11.875" bestFit="1" customWidth="1"/>
    <col min="64" max="75" width="11" bestFit="1" customWidth="1"/>
    <col min="76" max="76" width="19.375" customWidth="1"/>
    <col min="77" max="89" width="11" style="1" bestFit="1" customWidth="1"/>
  </cols>
  <sheetData>
    <row r="2" spans="2:92" x14ac:dyDescent="0.25">
      <c r="B2" t="s">
        <v>0</v>
      </c>
      <c r="C2" s="22" t="s">
        <v>1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1" t="s">
        <v>2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2" t="s">
        <v>3</v>
      </c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1" t="s">
        <v>4</v>
      </c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2" t="s">
        <v>5</v>
      </c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1" t="s">
        <v>6</v>
      </c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</row>
    <row r="3" spans="2:92" x14ac:dyDescent="0.25">
      <c r="B3" t="s">
        <v>7</v>
      </c>
      <c r="C3">
        <v>1</v>
      </c>
      <c r="D3">
        <v>2</v>
      </c>
      <c r="E3">
        <v>3</v>
      </c>
      <c r="F3">
        <v>4</v>
      </c>
      <c r="G3">
        <v>5</v>
      </c>
      <c r="H3" s="8">
        <v>6</v>
      </c>
      <c r="I3" s="8">
        <v>7</v>
      </c>
      <c r="J3" s="8">
        <v>8</v>
      </c>
      <c r="K3" s="8">
        <v>9</v>
      </c>
      <c r="L3">
        <v>10</v>
      </c>
      <c r="M3" s="8">
        <v>11</v>
      </c>
      <c r="N3">
        <v>12</v>
      </c>
      <c r="O3" s="8">
        <v>13</v>
      </c>
      <c r="P3">
        <v>14</v>
      </c>
      <c r="Q3" s="8">
        <v>15</v>
      </c>
      <c r="R3" s="8">
        <v>16</v>
      </c>
      <c r="S3" s="1">
        <v>17</v>
      </c>
      <c r="T3" s="8">
        <v>18</v>
      </c>
      <c r="U3" s="8">
        <v>19</v>
      </c>
      <c r="V3" s="1">
        <v>20</v>
      </c>
      <c r="W3" s="1">
        <v>21</v>
      </c>
      <c r="X3" s="1">
        <v>22</v>
      </c>
      <c r="Y3" s="8">
        <v>23</v>
      </c>
      <c r="Z3" s="8">
        <v>24</v>
      </c>
      <c r="AA3" s="1">
        <v>25</v>
      </c>
      <c r="AB3" s="8">
        <v>26</v>
      </c>
      <c r="AC3" s="1">
        <v>27</v>
      </c>
      <c r="AD3" s="1">
        <v>28</v>
      </c>
      <c r="AE3" s="8">
        <v>29</v>
      </c>
      <c r="AF3" s="8">
        <v>31</v>
      </c>
      <c r="AG3" s="8">
        <v>32</v>
      </c>
      <c r="AH3" s="8">
        <v>33</v>
      </c>
      <c r="AI3">
        <v>34</v>
      </c>
      <c r="AJ3" s="8">
        <v>35</v>
      </c>
      <c r="AK3" s="8">
        <v>36</v>
      </c>
      <c r="AL3" s="8">
        <v>37</v>
      </c>
      <c r="AM3">
        <v>38</v>
      </c>
      <c r="AN3">
        <v>39</v>
      </c>
      <c r="AO3" s="8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 s="8">
        <v>46</v>
      </c>
      <c r="AV3" s="1">
        <v>47</v>
      </c>
      <c r="AW3" s="1">
        <v>48</v>
      </c>
      <c r="AX3" s="8">
        <v>49</v>
      </c>
      <c r="AY3" s="8">
        <v>50</v>
      </c>
      <c r="AZ3" s="8">
        <v>51</v>
      </c>
      <c r="BA3" s="1">
        <v>52</v>
      </c>
      <c r="BB3" s="1">
        <v>53</v>
      </c>
      <c r="BC3" s="1">
        <v>54</v>
      </c>
      <c r="BD3" s="1">
        <v>55</v>
      </c>
      <c r="BE3" s="8">
        <v>56</v>
      </c>
      <c r="BF3" s="8">
        <v>57</v>
      </c>
      <c r="BG3" s="1">
        <v>58</v>
      </c>
      <c r="BH3" s="1">
        <v>59</v>
      </c>
      <c r="BI3" s="8">
        <v>60</v>
      </c>
      <c r="BJ3" s="8">
        <v>61</v>
      </c>
      <c r="BK3" s="8">
        <v>62</v>
      </c>
      <c r="BL3" s="8">
        <v>63</v>
      </c>
      <c r="BM3">
        <v>64</v>
      </c>
      <c r="BN3">
        <v>65</v>
      </c>
      <c r="BO3" s="8">
        <v>66</v>
      </c>
      <c r="BP3">
        <v>67</v>
      </c>
      <c r="BQ3">
        <v>68</v>
      </c>
      <c r="BR3" s="8">
        <v>69</v>
      </c>
      <c r="BS3">
        <v>70</v>
      </c>
      <c r="BT3" s="8">
        <v>71</v>
      </c>
      <c r="BU3" s="8">
        <v>72</v>
      </c>
      <c r="BV3">
        <v>73</v>
      </c>
      <c r="BW3">
        <v>74</v>
      </c>
      <c r="BX3" s="8">
        <v>75</v>
      </c>
      <c r="BY3" s="1">
        <v>76</v>
      </c>
      <c r="BZ3" s="8">
        <v>77</v>
      </c>
      <c r="CA3" s="8">
        <v>78</v>
      </c>
      <c r="CB3" s="1">
        <v>79</v>
      </c>
      <c r="CC3" s="8">
        <v>81</v>
      </c>
      <c r="CD3" s="8">
        <v>82</v>
      </c>
      <c r="CE3" s="8">
        <v>84</v>
      </c>
      <c r="CF3" s="8">
        <v>85</v>
      </c>
      <c r="CG3" s="8">
        <v>86</v>
      </c>
      <c r="CH3" s="8">
        <v>87</v>
      </c>
      <c r="CI3" s="8">
        <v>88</v>
      </c>
      <c r="CJ3" s="1">
        <v>89</v>
      </c>
      <c r="CK3" s="8">
        <v>90</v>
      </c>
    </row>
    <row r="4" spans="2:92" x14ac:dyDescent="0.25">
      <c r="B4" s="2" t="s">
        <v>8</v>
      </c>
      <c r="C4" s="5">
        <v>5000</v>
      </c>
      <c r="D4" s="5">
        <v>20000</v>
      </c>
      <c r="E4" s="5">
        <v>10000</v>
      </c>
      <c r="F4" s="5">
        <v>30000</v>
      </c>
      <c r="G4" s="5">
        <v>20000</v>
      </c>
      <c r="H4" s="5">
        <v>40000</v>
      </c>
      <c r="I4" s="5">
        <v>35000</v>
      </c>
      <c r="J4" s="5">
        <v>10000</v>
      </c>
      <c r="K4" s="5">
        <v>30000</v>
      </c>
      <c r="L4" s="5">
        <v>15000</v>
      </c>
      <c r="M4" s="5">
        <v>25000</v>
      </c>
      <c r="N4" s="5">
        <v>15000</v>
      </c>
      <c r="O4" s="5">
        <v>5000</v>
      </c>
      <c r="P4" s="5">
        <v>10000</v>
      </c>
      <c r="Q4" s="5">
        <v>30000</v>
      </c>
      <c r="R4" s="5">
        <v>1200000</v>
      </c>
      <c r="S4" s="5"/>
      <c r="T4" s="5">
        <v>600000</v>
      </c>
      <c r="U4" s="5">
        <v>240000</v>
      </c>
      <c r="V4" s="5">
        <v>130000</v>
      </c>
      <c r="W4" s="5">
        <v>120000</v>
      </c>
      <c r="X4" s="5">
        <v>200000</v>
      </c>
      <c r="Y4" s="5">
        <v>710000</v>
      </c>
      <c r="Z4" s="5">
        <v>510000</v>
      </c>
      <c r="AA4" s="5">
        <v>150000</v>
      </c>
      <c r="AB4" s="5">
        <v>880000</v>
      </c>
      <c r="AC4" s="5">
        <v>60000</v>
      </c>
      <c r="AD4" s="5">
        <v>450000</v>
      </c>
      <c r="AE4" s="5">
        <v>570000</v>
      </c>
      <c r="AF4" s="5">
        <v>260000</v>
      </c>
      <c r="AG4" s="5">
        <v>2470000</v>
      </c>
      <c r="AH4" s="5">
        <v>190000</v>
      </c>
      <c r="AI4" s="5">
        <v>100000</v>
      </c>
      <c r="AJ4" s="5">
        <v>1680000</v>
      </c>
      <c r="AK4" s="5">
        <v>280000</v>
      </c>
      <c r="AL4" s="5">
        <v>420000</v>
      </c>
      <c r="AM4" s="5">
        <v>110000</v>
      </c>
      <c r="AN4" s="5">
        <v>130000</v>
      </c>
      <c r="AO4" s="5">
        <v>340000</v>
      </c>
      <c r="AP4" s="5">
        <v>70000</v>
      </c>
      <c r="AQ4" s="5">
        <v>110000</v>
      </c>
      <c r="AR4" s="5"/>
      <c r="AS4" s="5">
        <v>110000</v>
      </c>
      <c r="AT4" s="5">
        <v>120000</v>
      </c>
      <c r="AU4" s="5">
        <v>410000</v>
      </c>
      <c r="AV4" s="5">
        <v>140000</v>
      </c>
      <c r="AW4" s="5">
        <v>90000</v>
      </c>
      <c r="AX4" s="5">
        <v>490000</v>
      </c>
      <c r="AY4" s="5">
        <v>2900000</v>
      </c>
      <c r="AZ4" s="5">
        <v>590000</v>
      </c>
      <c r="BA4" s="5">
        <v>100000</v>
      </c>
      <c r="BB4" s="5">
        <v>170000</v>
      </c>
      <c r="BC4" s="5">
        <v>90000</v>
      </c>
      <c r="BD4" s="5">
        <v>70000</v>
      </c>
      <c r="BE4" s="5">
        <v>370000</v>
      </c>
      <c r="BF4" s="5">
        <v>580000</v>
      </c>
      <c r="BG4" s="5">
        <v>110000</v>
      </c>
      <c r="BH4" s="5">
        <v>250000</v>
      </c>
      <c r="BI4" s="5">
        <v>2050000</v>
      </c>
      <c r="BJ4" s="5">
        <v>1820000</v>
      </c>
      <c r="BK4" s="5">
        <v>1340000</v>
      </c>
      <c r="BL4" s="5">
        <v>270000</v>
      </c>
      <c r="BM4" s="5">
        <v>360000</v>
      </c>
      <c r="BN4" s="5">
        <v>100000</v>
      </c>
      <c r="BO4" s="5">
        <v>750000</v>
      </c>
      <c r="BP4" s="5">
        <v>250000</v>
      </c>
      <c r="BQ4" s="5">
        <v>40000</v>
      </c>
      <c r="BR4" s="5">
        <v>860000</v>
      </c>
      <c r="BS4" s="5">
        <v>120000</v>
      </c>
      <c r="BT4" s="5">
        <v>8000000</v>
      </c>
      <c r="BU4" s="5">
        <v>210000</v>
      </c>
      <c r="BV4" s="5">
        <v>280000</v>
      </c>
      <c r="BW4" s="5">
        <v>330000</v>
      </c>
      <c r="BX4" s="5">
        <v>2680000</v>
      </c>
      <c r="BY4" s="5">
        <v>50000</v>
      </c>
      <c r="BZ4" s="5">
        <v>110000</v>
      </c>
      <c r="CA4" s="5">
        <v>85000</v>
      </c>
      <c r="CB4" s="5">
        <v>50000</v>
      </c>
      <c r="CC4" s="5">
        <v>115000</v>
      </c>
      <c r="CD4" s="5">
        <v>85000</v>
      </c>
      <c r="CE4" s="5">
        <v>50000</v>
      </c>
      <c r="CF4" s="5">
        <v>125000</v>
      </c>
      <c r="CG4" s="5">
        <v>70000</v>
      </c>
      <c r="CH4" s="5">
        <v>20000</v>
      </c>
      <c r="CI4" s="5">
        <v>75000</v>
      </c>
      <c r="CJ4" s="5">
        <v>70000</v>
      </c>
      <c r="CK4" s="5">
        <v>60000</v>
      </c>
      <c r="CL4" s="5"/>
      <c r="CM4" s="5"/>
      <c r="CN4" s="5"/>
    </row>
    <row r="5" spans="2:92" x14ac:dyDescent="0.25">
      <c r="B5" s="2" t="s">
        <v>9</v>
      </c>
      <c r="C5" s="3"/>
      <c r="D5" s="3">
        <v>0.81810000000000005</v>
      </c>
      <c r="E5" s="3">
        <v>1.2321</v>
      </c>
      <c r="F5" s="3">
        <v>7.9320000000000002E-2</v>
      </c>
      <c r="G5" s="3">
        <v>9.4799999999999995E-2</v>
      </c>
      <c r="H5" s="3">
        <v>1.0323</v>
      </c>
      <c r="I5" s="3">
        <v>1.3012999999999999</v>
      </c>
      <c r="J5" s="3">
        <v>1.2115</v>
      </c>
      <c r="K5" s="3">
        <v>0.62409999999999999</v>
      </c>
      <c r="L5" s="3">
        <v>0.64839999999999998</v>
      </c>
      <c r="M5" s="3">
        <v>0.75690000000000002</v>
      </c>
      <c r="N5" s="3">
        <v>0.4446</v>
      </c>
      <c r="O5" s="3">
        <v>0.86719999999999997</v>
      </c>
      <c r="P5" s="3">
        <v>0.76980000000000004</v>
      </c>
      <c r="Q5" s="3">
        <v>0.98839999999999995</v>
      </c>
      <c r="R5" s="4"/>
      <c r="S5" s="4"/>
      <c r="T5" s="5">
        <v>1.0738000000000001</v>
      </c>
      <c r="U5" s="5">
        <v>0.6754</v>
      </c>
      <c r="V5" s="5">
        <v>0.96009999999999995</v>
      </c>
      <c r="W5" s="5">
        <v>1.1644000000000001</v>
      </c>
      <c r="X5" s="5">
        <v>1.4263999999999999</v>
      </c>
      <c r="Y5" s="5">
        <v>0.88970000000000005</v>
      </c>
      <c r="Z5" s="5">
        <v>0.96360000000000001</v>
      </c>
      <c r="AA5" s="5">
        <v>0.83530000000000004</v>
      </c>
      <c r="AB5" s="5">
        <v>0.90890000000000004</v>
      </c>
      <c r="AC5" s="5">
        <v>1.0063</v>
      </c>
      <c r="AD5" s="5">
        <v>0.57640000000000002</v>
      </c>
      <c r="AE5" s="5">
        <v>0.50370000000000004</v>
      </c>
      <c r="AF5" s="3">
        <v>1.1309</v>
      </c>
      <c r="AG5" s="3">
        <v>1.0760000000000001</v>
      </c>
      <c r="AH5" s="3">
        <v>0.82750000000000001</v>
      </c>
      <c r="AI5" s="3">
        <v>1.2958000000000001</v>
      </c>
      <c r="AJ5" s="3">
        <v>1.0489999999999999</v>
      </c>
      <c r="AK5" s="3">
        <v>0.89929999999999999</v>
      </c>
      <c r="AL5" s="3">
        <v>0.6724</v>
      </c>
      <c r="AM5" s="3">
        <v>1.2614000000000001</v>
      </c>
      <c r="AN5" s="3">
        <v>0.87680000000000002</v>
      </c>
      <c r="AO5" s="3">
        <v>1.1689000000000001</v>
      </c>
      <c r="AP5" s="3">
        <v>1.2182999999999999</v>
      </c>
      <c r="AQ5" s="3">
        <v>1.3091999999999999</v>
      </c>
      <c r="AR5" s="3">
        <v>0.94389999999999996</v>
      </c>
      <c r="AS5" s="3">
        <v>1.0021</v>
      </c>
      <c r="AT5" s="3">
        <v>1.1171</v>
      </c>
      <c r="AU5" s="4">
        <v>0.82010000000000005</v>
      </c>
      <c r="AV5" s="4">
        <v>1.2728999999999999</v>
      </c>
      <c r="AW5" s="4">
        <v>1.5</v>
      </c>
      <c r="AX5" s="4">
        <v>0.90569999999999995</v>
      </c>
      <c r="AY5" s="4">
        <v>0.63629999999999998</v>
      </c>
      <c r="AZ5" s="4">
        <v>0.60150000000000003</v>
      </c>
      <c r="BA5" s="4">
        <v>1.3083</v>
      </c>
      <c r="BB5" s="4">
        <v>1.2401</v>
      </c>
      <c r="BC5" s="4">
        <v>0.98429999999999995</v>
      </c>
      <c r="BD5" s="4">
        <v>1.3628</v>
      </c>
      <c r="BE5" s="4">
        <v>0.72629999999999995</v>
      </c>
      <c r="BF5" s="4">
        <v>0.7853</v>
      </c>
      <c r="BG5" s="4">
        <v>1.3406</v>
      </c>
      <c r="BH5" s="4">
        <v>1.0613999999999999</v>
      </c>
      <c r="BI5" s="4">
        <v>1.0247999999999999</v>
      </c>
      <c r="BJ5" s="3">
        <v>1.0961000000000001</v>
      </c>
      <c r="BK5" s="3">
        <v>0.61160000000000003</v>
      </c>
      <c r="BL5" s="3">
        <v>1.6080000000000001</v>
      </c>
      <c r="BM5" s="3">
        <v>1.0746</v>
      </c>
      <c r="BN5" s="3">
        <v>1.2428999999999999</v>
      </c>
      <c r="BO5" s="3">
        <v>0.68100000000000005</v>
      </c>
      <c r="BP5" s="3">
        <v>0.76290000000000002</v>
      </c>
      <c r="BQ5" s="3">
        <v>1.1087</v>
      </c>
      <c r="BR5" s="3">
        <v>0.63229999999999997</v>
      </c>
      <c r="BS5" s="3">
        <v>1.0761000000000001</v>
      </c>
      <c r="BT5" s="3">
        <v>1.8392999999999999</v>
      </c>
      <c r="BU5" s="3">
        <v>1.4703999999999999</v>
      </c>
      <c r="BV5" s="3">
        <v>0.62960000000000005</v>
      </c>
      <c r="BW5" s="3">
        <v>1.0439000000000001</v>
      </c>
      <c r="BX5" s="3">
        <v>2.0920000000000001</v>
      </c>
      <c r="BY5" s="4">
        <v>1.1107</v>
      </c>
      <c r="BZ5" s="4">
        <v>1.198</v>
      </c>
      <c r="CA5" s="4">
        <v>1.4796</v>
      </c>
      <c r="CB5" s="4">
        <v>1.1413</v>
      </c>
      <c r="CC5" s="4">
        <v>1.6049</v>
      </c>
      <c r="CD5" s="4">
        <v>0.88390000000000002</v>
      </c>
      <c r="CE5" s="4">
        <v>1.3676999999999999</v>
      </c>
      <c r="CF5" s="4">
        <v>1.2041999999999999</v>
      </c>
      <c r="CG5" s="4">
        <v>1.6362000000000001</v>
      </c>
      <c r="CH5" s="4">
        <v>1.2177</v>
      </c>
      <c r="CI5" s="4">
        <v>1.3052999999999999</v>
      </c>
      <c r="CJ5" s="4">
        <v>0.86</v>
      </c>
      <c r="CK5" s="4">
        <v>1.3225</v>
      </c>
      <c r="CM5" s="3"/>
      <c r="CN5" s="3"/>
    </row>
    <row r="6" spans="2:92" x14ac:dyDescent="0.25">
      <c r="B6" s="2" t="s">
        <v>10</v>
      </c>
      <c r="C6" s="3">
        <v>383.46415000000002</v>
      </c>
      <c r="D6" s="3">
        <v>65.084549999999993</v>
      </c>
      <c r="E6" s="3">
        <v>132.7919</v>
      </c>
      <c r="F6" s="3">
        <v>125.03915000000001</v>
      </c>
      <c r="G6" s="3">
        <v>41.309449999999998</v>
      </c>
      <c r="H6" s="3">
        <v>150.88165000000001</v>
      </c>
      <c r="I6" s="3">
        <v>191.71279999999999</v>
      </c>
      <c r="J6" s="3">
        <v>264.58864999999997</v>
      </c>
      <c r="K6" s="3">
        <v>214.45419999999999</v>
      </c>
      <c r="L6" s="3">
        <v>268.20659999999998</v>
      </c>
      <c r="M6" s="3">
        <v>344.7004</v>
      </c>
      <c r="N6" s="3">
        <v>170.0051</v>
      </c>
      <c r="O6" s="3">
        <v>334.88024999999999</v>
      </c>
      <c r="P6" s="3">
        <v>140.02780000000001</v>
      </c>
      <c r="Q6" s="3">
        <v>337.98135000000002</v>
      </c>
      <c r="R6" s="4">
        <v>582.45140000000004</v>
      </c>
      <c r="S6" s="4"/>
      <c r="T6" s="4">
        <v>271.82454999999999</v>
      </c>
      <c r="U6" s="4">
        <v>197.91499999999999</v>
      </c>
      <c r="V6" s="4">
        <v>110.0505</v>
      </c>
      <c r="W6" s="4">
        <v>150.88165000000001</v>
      </c>
      <c r="X6" s="4">
        <v>161.21865</v>
      </c>
      <c r="Y6" s="4">
        <v>247.5326</v>
      </c>
      <c r="Z6" s="4">
        <v>140.02780000000001</v>
      </c>
      <c r="AA6" s="4">
        <v>156.56700000000001</v>
      </c>
      <c r="AB6" s="4">
        <v>259.93700000000001</v>
      </c>
      <c r="AC6" s="4">
        <v>57.331800000000001</v>
      </c>
      <c r="AD6" s="4">
        <v>187.06115</v>
      </c>
      <c r="AE6" s="4">
        <v>473.91289999999998</v>
      </c>
      <c r="AF6" s="3">
        <v>89.376499999999993</v>
      </c>
      <c r="AG6" s="3">
        <v>564.36165000000005</v>
      </c>
      <c r="AH6" s="3">
        <v>209.80255</v>
      </c>
      <c r="AI6" s="3">
        <v>81.106899999999996</v>
      </c>
      <c r="AJ6" s="3">
        <v>566.42904999999996</v>
      </c>
      <c r="AK6" s="3">
        <v>273.89195000000001</v>
      </c>
      <c r="AL6" s="3">
        <v>451.68835000000001</v>
      </c>
      <c r="AM6" s="3">
        <v>141.57835</v>
      </c>
      <c r="AN6" s="3">
        <v>203.60034999999999</v>
      </c>
      <c r="AO6" s="3">
        <v>203.60034999999999</v>
      </c>
      <c r="AP6" s="3">
        <v>113.1516</v>
      </c>
      <c r="AQ6" s="3">
        <v>139.51095000000001</v>
      </c>
      <c r="AR6" s="3"/>
      <c r="AS6" s="3">
        <v>304.3861</v>
      </c>
      <c r="AT6" s="3">
        <v>238.22929999999999</v>
      </c>
      <c r="AU6" s="4">
        <v>282.67840000000001</v>
      </c>
      <c r="AV6" s="4">
        <v>121.93805</v>
      </c>
      <c r="AW6" s="4">
        <v>165.87029999999999</v>
      </c>
      <c r="AX6" s="4">
        <v>467.71069999999997</v>
      </c>
      <c r="AY6" s="4">
        <v>766.45</v>
      </c>
      <c r="AZ6" s="4">
        <v>510.60924999999997</v>
      </c>
      <c r="BA6" s="4">
        <v>68.185649999999995</v>
      </c>
      <c r="BB6" s="4">
        <v>126.58969999999999</v>
      </c>
      <c r="BC6" s="4">
        <v>335.39710000000002</v>
      </c>
      <c r="BD6" s="4">
        <v>44.410550000000001</v>
      </c>
      <c r="BE6" s="4">
        <v>343.66669999999999</v>
      </c>
      <c r="BF6" s="4">
        <v>241.84725</v>
      </c>
      <c r="BG6" s="4">
        <v>76.972099999999998</v>
      </c>
      <c r="BH6" s="4">
        <v>227.89230000000001</v>
      </c>
      <c r="BI6" s="4">
        <v>406.20555000000002</v>
      </c>
      <c r="BJ6" s="3">
        <v>1052.7849000000001</v>
      </c>
      <c r="BK6" s="3">
        <v>1463.68065</v>
      </c>
      <c r="BL6" s="3">
        <v>367.4418</v>
      </c>
      <c r="BM6" s="3">
        <v>221.17325</v>
      </c>
      <c r="BN6" s="3">
        <v>358.13850000000002</v>
      </c>
      <c r="BO6" s="3">
        <v>504.9239</v>
      </c>
      <c r="BP6" s="3">
        <v>191.71279999999999</v>
      </c>
      <c r="BQ6" s="3">
        <v>58.882350000000002</v>
      </c>
      <c r="BR6" s="3">
        <v>211.35310000000001</v>
      </c>
      <c r="BS6" s="3">
        <v>228.92599999999999</v>
      </c>
      <c r="BT6" s="3">
        <v>601.57484999999997</v>
      </c>
      <c r="BU6" s="3">
        <v>467.19385</v>
      </c>
      <c r="BV6" s="3">
        <v>242.36410000000001</v>
      </c>
      <c r="BW6" s="3">
        <v>94.545000000000002</v>
      </c>
      <c r="BX6" s="3">
        <v>840.87639999999999</v>
      </c>
      <c r="BY6" s="4">
        <v>128.65710000000001</v>
      </c>
      <c r="BZ6" s="4">
        <v>147.78055000000001</v>
      </c>
      <c r="CA6" s="4">
        <v>168.45455000000001</v>
      </c>
      <c r="CB6" s="4">
        <v>160.70179999999999</v>
      </c>
      <c r="CC6" s="4">
        <v>102.29774999999999</v>
      </c>
      <c r="CD6" s="4">
        <v>140.54464999999999</v>
      </c>
      <c r="CE6" s="4">
        <v>141.0615</v>
      </c>
      <c r="CF6" s="4">
        <v>288.88060000000002</v>
      </c>
      <c r="CG6" s="4">
        <v>165.35345000000001</v>
      </c>
      <c r="CH6" s="4">
        <v>197.39814999999999</v>
      </c>
      <c r="CI6" s="4">
        <v>48.028500000000001</v>
      </c>
      <c r="CJ6" s="4">
        <v>52.1633</v>
      </c>
      <c r="CK6" s="4">
        <v>148.29740000000001</v>
      </c>
      <c r="CM6" s="3"/>
      <c r="CN6" s="3"/>
    </row>
    <row r="7" spans="2:92" x14ac:dyDescent="0.25">
      <c r="B7" s="2" t="s">
        <v>11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4">
        <v>81852.426258969994</v>
      </c>
      <c r="S7" s="4">
        <v>989221.95260389999</v>
      </c>
      <c r="T7" s="4">
        <v>1023075478.7539901</v>
      </c>
      <c r="U7" s="4">
        <v>29041968.646761801</v>
      </c>
      <c r="V7" s="4">
        <v>1.5872509100000001</v>
      </c>
      <c r="W7" s="4">
        <v>1459266.8158567499</v>
      </c>
      <c r="X7" s="4">
        <v>401284.92599855002</v>
      </c>
      <c r="Y7" s="4">
        <v>2632593313.2774301</v>
      </c>
      <c r="Z7" s="4">
        <v>1712121075.6644199</v>
      </c>
      <c r="AA7" s="4">
        <v>99760.323626020006</v>
      </c>
      <c r="AB7" s="4">
        <v>942388438.97446203</v>
      </c>
      <c r="AC7" s="4">
        <v>31337.002979929999</v>
      </c>
      <c r="AD7" s="4">
        <v>2839538317.53368</v>
      </c>
      <c r="AE7" s="4">
        <v>278717253.53895199</v>
      </c>
      <c r="AF7" s="3">
        <v>2241464703.7393599</v>
      </c>
      <c r="AG7" s="3">
        <v>1262510.64110364</v>
      </c>
      <c r="AH7" s="3">
        <v>636002153.82449603</v>
      </c>
      <c r="AI7" s="3">
        <v>1549.6766822100001</v>
      </c>
      <c r="AJ7" s="3">
        <v>10250307685.508301</v>
      </c>
      <c r="AK7" s="3">
        <v>2066666226.65995</v>
      </c>
      <c r="AL7" s="3">
        <v>2866032345.0096998</v>
      </c>
      <c r="AM7" s="3">
        <v>319085.14407053002</v>
      </c>
      <c r="AN7" s="3">
        <v>144111.85192178001</v>
      </c>
      <c r="AO7" s="3">
        <v>257393698.242551</v>
      </c>
      <c r="AP7" s="3">
        <v>412935.46397869999</v>
      </c>
      <c r="AQ7" s="3">
        <v>731621.10292839003</v>
      </c>
      <c r="AR7" s="3">
        <v>17834087466.469898</v>
      </c>
      <c r="AS7" s="3">
        <v>1143987.8779122201</v>
      </c>
      <c r="AT7" s="3">
        <v>534957.54951010004</v>
      </c>
      <c r="AU7" s="4">
        <v>1413963671.06949</v>
      </c>
      <c r="AV7" s="4">
        <v>2009020.4870942701</v>
      </c>
      <c r="AW7" s="4">
        <v>497609.07598596998</v>
      </c>
      <c r="AX7" s="4">
        <v>600524101.46607101</v>
      </c>
      <c r="AY7" s="4">
        <v>3434355522.1911302</v>
      </c>
      <c r="AZ7" s="4">
        <v>178423707.61213899</v>
      </c>
      <c r="BA7" s="4">
        <v>90934.776793950005</v>
      </c>
      <c r="BB7" s="4">
        <v>232817.39355355001</v>
      </c>
      <c r="BC7" s="4">
        <v>15080724.930002701</v>
      </c>
      <c r="BD7" s="4">
        <v>2879404.30653525</v>
      </c>
      <c r="BE7" s="4">
        <v>415032923.24389303</v>
      </c>
      <c r="BF7" s="4">
        <v>9525915249.8010101</v>
      </c>
      <c r="BG7" s="4">
        <v>1750507.5590779099</v>
      </c>
      <c r="BH7" s="4">
        <v>103199187.83795001</v>
      </c>
      <c r="BI7" s="4">
        <v>3399584766.04252</v>
      </c>
      <c r="BJ7" s="3">
        <v>4019675.2532921201</v>
      </c>
      <c r="BK7" s="3">
        <v>3853787393.3745799</v>
      </c>
      <c r="BL7" s="3">
        <v>538694.18401793996</v>
      </c>
      <c r="BM7" s="3">
        <v>152368.46750221</v>
      </c>
      <c r="BN7" s="3">
        <v>1.2751321200000001</v>
      </c>
      <c r="BO7" s="3">
        <v>79438593.989735693</v>
      </c>
      <c r="BP7" s="3">
        <v>413.60424059000002</v>
      </c>
      <c r="BQ7" s="3">
        <v>1.13709587</v>
      </c>
      <c r="BR7" s="3">
        <v>19846334.642806798</v>
      </c>
      <c r="BS7" s="3">
        <v>1.0601868800000001</v>
      </c>
      <c r="BT7" s="3">
        <v>9970457.9122047108</v>
      </c>
      <c r="BU7" s="3">
        <v>402922.53691069997</v>
      </c>
      <c r="BV7" s="3">
        <v>1.0283613700000001</v>
      </c>
      <c r="BW7" s="3">
        <v>65980.950302409998</v>
      </c>
      <c r="BX7" s="3">
        <v>0.65914265999999999</v>
      </c>
      <c r="BY7" s="4">
        <v>0.94646527000000003</v>
      </c>
      <c r="BZ7" s="4">
        <v>0.97924520999999998</v>
      </c>
      <c r="CA7" s="4"/>
      <c r="CB7" s="4">
        <v>0.96159391000000005</v>
      </c>
      <c r="CC7" s="4">
        <v>1.2446689500000001</v>
      </c>
      <c r="CD7" s="4">
        <v>0.98229752999999997</v>
      </c>
      <c r="CE7" s="4">
        <v>1.4674942200000001</v>
      </c>
      <c r="CF7" s="4">
        <v>0.96129693000000005</v>
      </c>
      <c r="CG7" s="4">
        <v>0.72344302999999999</v>
      </c>
      <c r="CH7" s="4"/>
      <c r="CI7" s="4">
        <v>0.99683029999999995</v>
      </c>
      <c r="CJ7" s="4">
        <v>0.94529014</v>
      </c>
      <c r="CK7" s="4">
        <v>0.95431246000000003</v>
      </c>
      <c r="CM7" s="3"/>
      <c r="CN7" s="3"/>
    </row>
    <row r="8" spans="2:92" x14ac:dyDescent="0.25">
      <c r="B8" t="s">
        <v>12</v>
      </c>
      <c r="C8" s="2">
        <v>190.38762214983711</v>
      </c>
      <c r="D8" s="3">
        <v>234.62546816479403</v>
      </c>
      <c r="E8" s="3">
        <v>202.00668896321071</v>
      </c>
      <c r="F8" s="3">
        <v>159.8299319727891</v>
      </c>
      <c r="G8" s="3">
        <v>205.93801652892563</v>
      </c>
      <c r="H8" s="3">
        <v>136.97499999999999</v>
      </c>
      <c r="I8" s="3">
        <v>205.25773195876286</v>
      </c>
      <c r="J8" s="3">
        <v>202.72063492063495</v>
      </c>
      <c r="K8" s="3">
        <v>264.82550335570465</v>
      </c>
      <c r="L8" s="3">
        <v>206.98979591836735</v>
      </c>
      <c r="M8" s="3">
        <v>273.84507042253517</v>
      </c>
      <c r="N8" s="3">
        <v>169.83464566929135</v>
      </c>
      <c r="O8" s="3">
        <v>207.91176470588235</v>
      </c>
      <c r="P8" s="3">
        <v>119.53770491803279</v>
      </c>
      <c r="Q8" s="3">
        <v>83.327868852459019</v>
      </c>
      <c r="R8" s="4">
        <v>263.66666666666663</v>
      </c>
      <c r="S8" s="1">
        <v>67.376146788990823</v>
      </c>
      <c r="T8" s="1">
        <v>284.81967213114757</v>
      </c>
      <c r="U8" s="1">
        <v>376.2772277227723</v>
      </c>
      <c r="V8" s="1">
        <v>352.75221238938047</v>
      </c>
      <c r="W8" s="1">
        <v>211.58169934640523</v>
      </c>
      <c r="X8" s="1">
        <v>186.05084745762716</v>
      </c>
      <c r="Y8" s="1">
        <v>166.11848341232229</v>
      </c>
      <c r="Z8" s="1">
        <v>320.85559566787003</v>
      </c>
      <c r="AA8" s="1">
        <v>527.92691029900334</v>
      </c>
      <c r="AB8" s="1">
        <v>381.63196125907984</v>
      </c>
      <c r="AC8" s="1">
        <v>405.3661417322835</v>
      </c>
      <c r="AD8" s="1">
        <v>422.07117437722417</v>
      </c>
      <c r="AE8" s="1">
        <v>258.05806451612904</v>
      </c>
      <c r="AF8">
        <v>288.72758620689649</v>
      </c>
      <c r="AG8">
        <v>453.39726027397262</v>
      </c>
      <c r="AH8">
        <v>450.04575163398698</v>
      </c>
      <c r="AI8">
        <v>199.60360360360357</v>
      </c>
      <c r="AJ8">
        <v>117.25754527162978</v>
      </c>
      <c r="AK8">
        <v>289.68396226415092</v>
      </c>
      <c r="AL8">
        <v>940.29230769230765</v>
      </c>
      <c r="AM8">
        <v>516.35064935064929</v>
      </c>
      <c r="AN8">
        <v>241.70361445783132</v>
      </c>
      <c r="AO8">
        <v>322.03061224489795</v>
      </c>
      <c r="AP8">
        <v>28.606145251396647</v>
      </c>
      <c r="AQ8">
        <v>321.8129496402878</v>
      </c>
      <c r="AR8">
        <v>2175.8284023668639</v>
      </c>
      <c r="AS8">
        <v>572.17982456140339</v>
      </c>
      <c r="AT8">
        <v>380.68166089965405</v>
      </c>
      <c r="AU8" s="1">
        <v>368.37801608579088</v>
      </c>
      <c r="AV8" s="1">
        <v>307.14670658682633</v>
      </c>
      <c r="AW8" s="1">
        <v>181.82619647355165</v>
      </c>
      <c r="AX8" s="1">
        <v>312.23255813953489</v>
      </c>
      <c r="AY8" s="1">
        <v>255.18072289156629</v>
      </c>
      <c r="AZ8" s="1">
        <v>481.03676470588238</v>
      </c>
      <c r="BA8" s="1">
        <v>388.93939393939394</v>
      </c>
      <c r="BB8" s="1">
        <v>9.1899224806201545</v>
      </c>
      <c r="BC8" s="1">
        <v>439.3050193050193</v>
      </c>
      <c r="BD8" s="1">
        <v>346.90495867768595</v>
      </c>
      <c r="BE8" s="1">
        <v>418.47519582245428</v>
      </c>
      <c r="BF8" s="1">
        <v>121.33043478260868</v>
      </c>
      <c r="BG8" s="1">
        <v>384.07766990291265</v>
      </c>
      <c r="BH8" s="1">
        <v>321.45614035087715</v>
      </c>
      <c r="BI8" s="1">
        <v>468.30769230769232</v>
      </c>
      <c r="BJ8">
        <v>342.0615711252654</v>
      </c>
      <c r="BK8">
        <v>96.878378378378372</v>
      </c>
      <c r="BL8">
        <v>175.02479338842977</v>
      </c>
      <c r="BM8">
        <v>225.39548022598871</v>
      </c>
      <c r="BN8">
        <v>236.5380281690141</v>
      </c>
      <c r="BO8">
        <v>392.38004750593825</v>
      </c>
      <c r="BP8">
        <v>113.75180722891565</v>
      </c>
      <c r="BQ8">
        <v>239.82874617737002</v>
      </c>
      <c r="BR8">
        <v>382.4807017543859</v>
      </c>
      <c r="BS8">
        <v>461.25563909774445</v>
      </c>
      <c r="BT8">
        <v>240.24</v>
      </c>
      <c r="BU8">
        <v>348.41165048543689</v>
      </c>
      <c r="BV8">
        <v>444.11224489795921</v>
      </c>
      <c r="BW8">
        <v>631.77333333333331</v>
      </c>
      <c r="BX8">
        <v>110.81132075471697</v>
      </c>
      <c r="BY8" s="1">
        <v>168.4259259259259</v>
      </c>
      <c r="BZ8" s="1">
        <v>302.94444444444446</v>
      </c>
      <c r="CA8" s="1">
        <v>190.9220779220779</v>
      </c>
      <c r="CB8" s="1">
        <v>128.98148148148147</v>
      </c>
      <c r="CC8" s="1">
        <v>236.70085470085473</v>
      </c>
      <c r="CD8" s="1">
        <v>135.85990338164254</v>
      </c>
      <c r="CE8" s="1">
        <v>169.28163265306122</v>
      </c>
      <c r="CF8" s="1">
        <v>342.52283105022832</v>
      </c>
      <c r="CG8" s="1">
        <v>154.90598290598291</v>
      </c>
      <c r="CH8" s="1">
        <v>41.332103321033216</v>
      </c>
      <c r="CI8" s="1">
        <v>161.54499999999999</v>
      </c>
      <c r="CJ8" s="1">
        <v>307.96745562130178</v>
      </c>
      <c r="CK8" s="1">
        <v>215.01534526854221</v>
      </c>
    </row>
    <row r="9" spans="2:92" x14ac:dyDescent="0.25">
      <c r="B9" t="s">
        <v>13</v>
      </c>
      <c r="C9" s="2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4">
        <v>0</v>
      </c>
      <c r="S9" s="1">
        <v>1.1605504587155961</v>
      </c>
      <c r="T9" s="1">
        <v>2.750819672131148</v>
      </c>
      <c r="U9" s="1">
        <v>2.5445544554455446</v>
      </c>
      <c r="V9" s="1">
        <v>0</v>
      </c>
      <c r="W9" s="1">
        <v>0</v>
      </c>
      <c r="X9" s="1">
        <v>0</v>
      </c>
      <c r="Y9" s="1">
        <v>0</v>
      </c>
      <c r="Z9" s="1">
        <v>2.5379061371841156</v>
      </c>
      <c r="AA9" s="1">
        <v>1.7076411960132891</v>
      </c>
      <c r="AB9" s="1">
        <v>16.75060532687651</v>
      </c>
      <c r="AC9" s="1">
        <v>0</v>
      </c>
      <c r="AD9" s="1">
        <v>1.8291814946619216</v>
      </c>
      <c r="AE9" s="1">
        <v>0</v>
      </c>
      <c r="AF9">
        <v>0</v>
      </c>
      <c r="AG9">
        <v>0.84657534246575339</v>
      </c>
      <c r="AH9">
        <v>1.1830065359477124</v>
      </c>
      <c r="AI9">
        <v>0</v>
      </c>
      <c r="AJ9">
        <v>73.34406438631791</v>
      </c>
      <c r="AK9">
        <v>41.544811320754718</v>
      </c>
      <c r="AL9">
        <v>81.812307692307684</v>
      </c>
      <c r="AM9">
        <v>0</v>
      </c>
      <c r="AN9">
        <v>0</v>
      </c>
      <c r="AO9">
        <v>26.037414965986393</v>
      </c>
      <c r="AP9">
        <v>0</v>
      </c>
      <c r="AQ9">
        <v>0</v>
      </c>
      <c r="AR9">
        <v>778.60355029585799</v>
      </c>
      <c r="AS9">
        <v>0</v>
      </c>
      <c r="AT9">
        <v>0</v>
      </c>
      <c r="AU9" s="1">
        <v>23.120643431635386</v>
      </c>
      <c r="AV9" s="1">
        <v>0</v>
      </c>
      <c r="AW9" s="1">
        <v>0</v>
      </c>
      <c r="AX9" s="1">
        <v>53.741279069767444</v>
      </c>
      <c r="AY9" s="1">
        <v>0</v>
      </c>
      <c r="AZ9" s="1">
        <v>60.823529411764703</v>
      </c>
      <c r="BA9" s="1">
        <v>0</v>
      </c>
      <c r="BB9" s="1">
        <v>0</v>
      </c>
      <c r="BC9" s="1">
        <v>0</v>
      </c>
      <c r="BD9" s="1">
        <v>0</v>
      </c>
      <c r="BE9" s="1">
        <v>46.652741514360315</v>
      </c>
      <c r="BF9" s="1">
        <v>2.5594202898550722</v>
      </c>
      <c r="BG9" s="1">
        <v>0</v>
      </c>
      <c r="BH9" s="1">
        <v>0</v>
      </c>
      <c r="BI9" s="1">
        <v>23.972027972027973</v>
      </c>
      <c r="BJ9">
        <v>70.590233545647564</v>
      </c>
      <c r="BK9">
        <v>84.5</v>
      </c>
      <c r="BL9">
        <v>1.0619834710743801</v>
      </c>
      <c r="BM9">
        <v>0</v>
      </c>
      <c r="BN9">
        <v>0</v>
      </c>
      <c r="BO9">
        <v>11.629453681710213</v>
      </c>
      <c r="BP9">
        <v>0</v>
      </c>
      <c r="BQ9">
        <v>0</v>
      </c>
      <c r="BR9">
        <v>45.115789473684217</v>
      </c>
      <c r="BS9">
        <v>0</v>
      </c>
      <c r="BT9">
        <v>9.1753846153846155</v>
      </c>
      <c r="BU9">
        <v>0</v>
      </c>
      <c r="BV9">
        <v>0</v>
      </c>
      <c r="BW9">
        <v>0</v>
      </c>
      <c r="BX9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33.69806763285024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</row>
    <row r="10" spans="2:92" x14ac:dyDescent="0.25">
      <c r="B10" t="s">
        <v>14</v>
      </c>
      <c r="C10" s="2">
        <v>2.8403908794788273</v>
      </c>
      <c r="D10" s="3">
        <v>2.3970037453183521</v>
      </c>
      <c r="E10" s="3">
        <v>3.5886287625418065</v>
      </c>
      <c r="F10" s="3">
        <v>2.9659863945578233</v>
      </c>
      <c r="G10" s="3">
        <v>2.9380165289256199</v>
      </c>
      <c r="H10" s="3">
        <v>0.86</v>
      </c>
      <c r="I10" s="3">
        <v>2.1993127147766325</v>
      </c>
      <c r="J10" s="3">
        <v>1.0920634920634922</v>
      </c>
      <c r="K10" s="3">
        <v>1.6946308724832215</v>
      </c>
      <c r="L10" s="3">
        <v>3.1989795918367347</v>
      </c>
      <c r="M10" s="3">
        <v>3.778169014084507</v>
      </c>
      <c r="N10" s="3">
        <v>2.5196850393700787</v>
      </c>
      <c r="O10" s="3">
        <v>1.6862745098039216</v>
      </c>
      <c r="P10" s="3">
        <v>3.1967213114754101</v>
      </c>
      <c r="Q10" s="3">
        <v>1.1278688524590164</v>
      </c>
      <c r="R10" s="4">
        <v>7.2146118721461194</v>
      </c>
      <c r="S10" s="1">
        <v>0</v>
      </c>
      <c r="T10" s="1">
        <v>4.111475409836066</v>
      </c>
      <c r="U10" s="1">
        <v>7.0396039603960396</v>
      </c>
      <c r="V10" s="1">
        <v>4.6607669616519178</v>
      </c>
      <c r="W10" s="1">
        <v>3.5065359477124183</v>
      </c>
      <c r="X10" s="1">
        <v>2.1694915254237293</v>
      </c>
      <c r="Y10" s="1">
        <v>4.1327014218009488</v>
      </c>
      <c r="Z10" s="1">
        <v>4.5270758122743677</v>
      </c>
      <c r="AA10" s="1">
        <v>6.6710963455149503</v>
      </c>
      <c r="AB10" s="1">
        <v>5.0217917675544781</v>
      </c>
      <c r="AC10" s="1">
        <v>4.5866141732283463</v>
      </c>
      <c r="AD10" s="1">
        <v>4.462633451957295</v>
      </c>
      <c r="AE10" s="1">
        <v>3.1451612903225805</v>
      </c>
      <c r="AF10">
        <v>5.9620689655172407</v>
      </c>
      <c r="AG10">
        <v>7.6602739726027398</v>
      </c>
      <c r="AH10">
        <v>5.1633986928104578</v>
      </c>
      <c r="AI10">
        <v>2.6238738738738738</v>
      </c>
      <c r="AJ10">
        <v>12.311871227364186</v>
      </c>
      <c r="AK10">
        <v>6.7264150943396226</v>
      </c>
      <c r="AL10">
        <v>12.153846153846153</v>
      </c>
      <c r="AM10">
        <v>7.4848484848484844</v>
      </c>
      <c r="AN10">
        <v>4.5108433734939757</v>
      </c>
      <c r="AO10">
        <v>6.8299319727891152</v>
      </c>
      <c r="AP10">
        <v>0</v>
      </c>
      <c r="AQ10">
        <v>9.4496402877697854</v>
      </c>
      <c r="AR10">
        <v>42.313609467455628</v>
      </c>
      <c r="AS10">
        <v>8.8070175438596472</v>
      </c>
      <c r="AT10">
        <v>2.2145328719723185</v>
      </c>
      <c r="AU10" s="1">
        <v>8.0804289544235921</v>
      </c>
      <c r="AV10" s="1">
        <v>5.1766467065868262</v>
      </c>
      <c r="AW10" s="1">
        <v>4.355163727959698</v>
      </c>
      <c r="AX10" s="1">
        <v>12.00872093023256</v>
      </c>
      <c r="AY10" s="1">
        <v>1.3815261044176708</v>
      </c>
      <c r="AZ10" s="1">
        <v>8.0269607843137258</v>
      </c>
      <c r="BA10" s="1">
        <v>2.9559228650137741</v>
      </c>
      <c r="BB10" s="1">
        <v>0</v>
      </c>
      <c r="BC10" s="1">
        <v>6.6756756756756754</v>
      </c>
      <c r="BD10" s="1">
        <v>5.1818181818181817</v>
      </c>
      <c r="BE10" s="1">
        <v>4.8877284595300257</v>
      </c>
      <c r="BF10" s="1">
        <v>1.855072463768116</v>
      </c>
      <c r="BG10" s="1">
        <v>2.7611650485436896</v>
      </c>
      <c r="BH10" s="1">
        <v>9.2175438596491226</v>
      </c>
      <c r="BI10" s="1">
        <v>9.9720279720279716</v>
      </c>
      <c r="BJ10">
        <v>8.1910828025477702</v>
      </c>
      <c r="BK10">
        <v>6.5168918918918921</v>
      </c>
      <c r="BL10">
        <v>2.2169421487603307</v>
      </c>
      <c r="BM10">
        <v>0</v>
      </c>
      <c r="BN10">
        <v>4.450704225352113</v>
      </c>
      <c r="BO10">
        <v>5.8194774346793352</v>
      </c>
      <c r="BP10">
        <v>1.542168674698795</v>
      </c>
      <c r="BQ10">
        <v>1.0519877675840978</v>
      </c>
      <c r="BR10">
        <v>10.389473684210525</v>
      </c>
      <c r="BS10">
        <v>1.2932330827067671</v>
      </c>
      <c r="BT10">
        <v>5.3199999999999994</v>
      </c>
      <c r="BU10">
        <v>3.63495145631068</v>
      </c>
      <c r="BV10">
        <v>0</v>
      </c>
      <c r="BW10">
        <v>4.7688888888888892</v>
      </c>
      <c r="BX10">
        <v>5.9622641509433967</v>
      </c>
      <c r="BY10" s="1">
        <v>0.30952380952380948</v>
      </c>
      <c r="BZ10" s="1">
        <v>2.4222222222222225</v>
      </c>
      <c r="CA10" s="1">
        <v>0</v>
      </c>
      <c r="CB10" s="1">
        <v>0.91005291005291</v>
      </c>
      <c r="CC10" s="1">
        <v>0</v>
      </c>
      <c r="CD10" s="1">
        <v>3.0289855072463769</v>
      </c>
      <c r="CE10" s="1">
        <v>0</v>
      </c>
      <c r="CF10" s="1">
        <v>2.6598173515981736</v>
      </c>
      <c r="CG10" s="1">
        <v>0</v>
      </c>
      <c r="CH10" s="1">
        <v>0</v>
      </c>
      <c r="CI10" s="1">
        <v>0</v>
      </c>
      <c r="CJ10" s="1">
        <v>3.1745562130177518</v>
      </c>
      <c r="CK10" s="1">
        <v>3.636828644501279</v>
      </c>
    </row>
    <row r="11" spans="2:92" x14ac:dyDescent="0.25">
      <c r="B11" t="s">
        <v>15</v>
      </c>
      <c r="C11" s="2">
        <v>2.4332247557003255</v>
      </c>
      <c r="D11" s="3">
        <v>2.1685393258426968</v>
      </c>
      <c r="E11" s="3">
        <v>3.8428093645484953</v>
      </c>
      <c r="F11" s="3">
        <v>3.129251700680272</v>
      </c>
      <c r="G11" s="3">
        <v>2.3471074380165287</v>
      </c>
      <c r="H11" s="3">
        <v>1.625</v>
      </c>
      <c r="I11" s="3">
        <v>2.0687285223367695</v>
      </c>
      <c r="J11" s="3">
        <v>3.5650793650793653</v>
      </c>
      <c r="K11" s="3">
        <v>3.5973154362416109</v>
      </c>
      <c r="L11" s="3">
        <v>4.8265306122448983</v>
      </c>
      <c r="M11" s="3">
        <v>5.334507042253521</v>
      </c>
      <c r="N11" s="3">
        <v>2</v>
      </c>
      <c r="O11" s="3">
        <v>2.0392156862745097</v>
      </c>
      <c r="P11" s="3">
        <v>1.4393442622950821</v>
      </c>
      <c r="Q11" s="3">
        <v>1.2163934426229508</v>
      </c>
      <c r="R11" s="4">
        <v>3.5251141552511416</v>
      </c>
      <c r="S11" s="1">
        <v>0</v>
      </c>
      <c r="T11" s="1">
        <v>4.7934426229508196</v>
      </c>
      <c r="U11" s="1">
        <v>5.4306930693069306</v>
      </c>
      <c r="V11" s="1">
        <v>5.1799410029498523</v>
      </c>
      <c r="W11" s="1">
        <v>3.5849673202614381</v>
      </c>
      <c r="X11" s="1">
        <v>2.4915254237288136</v>
      </c>
      <c r="Y11" s="1">
        <v>4.1232227488151656</v>
      </c>
      <c r="Z11" s="1">
        <v>6.046931407942238</v>
      </c>
      <c r="AA11" s="1">
        <v>7.614617940199337</v>
      </c>
      <c r="AB11" s="1">
        <v>4.6150121065375291</v>
      </c>
      <c r="AC11" s="1">
        <v>6.0669291338582676</v>
      </c>
      <c r="AD11" s="1">
        <v>5.1067615658362984</v>
      </c>
      <c r="AE11" s="1">
        <v>5.9290322580645158</v>
      </c>
      <c r="AF11">
        <v>8.6310344827586203</v>
      </c>
      <c r="AG11">
        <v>7.4027397260273977</v>
      </c>
      <c r="AH11">
        <v>5.9150326797385624</v>
      </c>
      <c r="AI11">
        <v>3.3513513513513513</v>
      </c>
      <c r="AJ11">
        <v>6.5070422535211279</v>
      </c>
      <c r="AK11">
        <v>7.1839622641509431</v>
      </c>
      <c r="AL11">
        <v>9.5046153846153842</v>
      </c>
      <c r="AM11">
        <v>10.471861471861471</v>
      </c>
      <c r="AN11">
        <v>5.6915662650602403</v>
      </c>
      <c r="AO11">
        <v>8.6564625850340136</v>
      </c>
      <c r="AP11">
        <v>0</v>
      </c>
      <c r="AQ11">
        <v>9.6151079136690658</v>
      </c>
      <c r="AR11">
        <v>20.260355029585799</v>
      </c>
      <c r="AS11">
        <v>8.7192982456140342</v>
      </c>
      <c r="AT11">
        <v>7.1176470588235299</v>
      </c>
      <c r="AU11" s="1">
        <v>5</v>
      </c>
      <c r="AV11" s="1">
        <v>8.9880239520958085</v>
      </c>
      <c r="AW11" s="1">
        <v>6.6624685138539048</v>
      </c>
      <c r="AX11" s="1">
        <v>15.116279069767442</v>
      </c>
      <c r="AY11" s="1">
        <v>9.1526104417670684</v>
      </c>
      <c r="AZ11" s="1">
        <v>7.6789215686274508</v>
      </c>
      <c r="BA11" s="1">
        <v>6.123966942148761</v>
      </c>
      <c r="BB11" s="1">
        <v>0.76356589147286824</v>
      </c>
      <c r="BC11" s="1">
        <v>8.6911196911196917</v>
      </c>
      <c r="BD11" s="1">
        <v>8.1570247933884286</v>
      </c>
      <c r="BE11" s="1">
        <v>4.5143603133159269</v>
      </c>
      <c r="BF11" s="1">
        <v>5.8811594202898547</v>
      </c>
      <c r="BG11" s="1">
        <v>2.7611650485436896</v>
      </c>
      <c r="BH11" s="1">
        <v>6.0666666666666664</v>
      </c>
      <c r="BI11" s="1">
        <v>7.5769230769230775</v>
      </c>
      <c r="BJ11">
        <v>12.456475583864119</v>
      </c>
      <c r="BK11">
        <v>20.385135135135137</v>
      </c>
      <c r="BL11">
        <v>1.9524793388429751</v>
      </c>
      <c r="BM11">
        <v>5.5536723163841808</v>
      </c>
      <c r="BN11">
        <v>3.4901408450704228</v>
      </c>
      <c r="BO11">
        <v>3.0973871733966742</v>
      </c>
      <c r="BP11">
        <v>1.4795180722891563</v>
      </c>
      <c r="BQ11">
        <v>1.9877675840978593</v>
      </c>
      <c r="BR11">
        <v>9.280701754385964</v>
      </c>
      <c r="BS11">
        <v>4.4135338345864668</v>
      </c>
      <c r="BT11">
        <v>4.8246153846153845</v>
      </c>
      <c r="BU11">
        <v>3.8873786407766993</v>
      </c>
      <c r="BV11">
        <v>2.2925170068027212</v>
      </c>
      <c r="BW11">
        <v>8.9555555555555557</v>
      </c>
      <c r="BX11">
        <v>5.4679245283018867</v>
      </c>
      <c r="BY11" s="1">
        <v>2.1375661375661372</v>
      </c>
      <c r="BZ11" s="1">
        <v>5.75</v>
      </c>
      <c r="CA11" s="1">
        <v>1.4727272727272727</v>
      </c>
      <c r="CB11" s="1">
        <v>2.3015873015873014</v>
      </c>
      <c r="CC11" s="1">
        <v>2.6210826210826212</v>
      </c>
      <c r="CD11" s="1">
        <v>4.1763285024154593</v>
      </c>
      <c r="CE11" s="1">
        <v>3.0489795918367344</v>
      </c>
      <c r="CF11" s="1">
        <v>5.3287671232876717</v>
      </c>
      <c r="CG11" s="1">
        <v>1.0569800569800569</v>
      </c>
      <c r="CH11" s="1">
        <v>3.7435424354243541</v>
      </c>
      <c r="CI11" s="1">
        <v>2.2374999999999998</v>
      </c>
      <c r="CJ11" s="1">
        <v>4.2455621301775146</v>
      </c>
      <c r="CK11" s="1">
        <v>6.6905370843989767</v>
      </c>
    </row>
    <row r="12" spans="2:92" x14ac:dyDescent="0.25">
      <c r="B12" t="s">
        <v>16</v>
      </c>
      <c r="C12" s="2">
        <v>0.48534201954397388</v>
      </c>
      <c r="D12" s="3">
        <v>0</v>
      </c>
      <c r="E12" s="3">
        <v>0.33110367892976589</v>
      </c>
      <c r="F12" s="3">
        <v>0.67006802721088432</v>
      </c>
      <c r="G12" s="3">
        <v>0.40702479338842978</v>
      </c>
      <c r="H12" s="3">
        <v>0</v>
      </c>
      <c r="I12" s="3">
        <v>0</v>
      </c>
      <c r="J12" s="3">
        <v>0.6253968253968254</v>
      </c>
      <c r="K12" s="3">
        <v>0</v>
      </c>
      <c r="L12" s="3">
        <v>0.86734693877551017</v>
      </c>
      <c r="M12" s="3">
        <v>2.3239436619718306</v>
      </c>
      <c r="N12" s="3">
        <v>0</v>
      </c>
      <c r="O12" s="3">
        <v>0</v>
      </c>
      <c r="P12" s="3">
        <v>0</v>
      </c>
      <c r="Q12" s="3">
        <v>0</v>
      </c>
      <c r="R12" s="4">
        <v>1.3378995433789955</v>
      </c>
      <c r="S12" s="1">
        <v>0</v>
      </c>
      <c r="T12" s="1">
        <v>4.7442622950819677</v>
      </c>
      <c r="U12" s="1">
        <v>3.2673267326732671</v>
      </c>
      <c r="V12" s="1">
        <v>2.9911504424778763</v>
      </c>
      <c r="W12" s="1">
        <v>0</v>
      </c>
      <c r="X12" s="1">
        <v>0</v>
      </c>
      <c r="Y12" s="1">
        <v>1.3886255924170618</v>
      </c>
      <c r="Z12" s="1">
        <v>1.3971119133574008</v>
      </c>
      <c r="AA12" s="1">
        <v>4.6644518272425248</v>
      </c>
      <c r="AB12" s="1">
        <v>3.0871670702179173</v>
      </c>
      <c r="AC12" s="1">
        <v>0.77559055118110232</v>
      </c>
      <c r="AD12" s="1">
        <v>2.3487544483985765</v>
      </c>
      <c r="AE12" s="1">
        <v>0.94516129032258067</v>
      </c>
      <c r="AF12">
        <v>5.5758620689655167</v>
      </c>
      <c r="AG12">
        <v>3.375342465753425</v>
      </c>
      <c r="AH12">
        <v>3.4575163398692812</v>
      </c>
      <c r="AI12">
        <v>1.0788288288288288</v>
      </c>
      <c r="AJ12">
        <v>8.8631790744466805</v>
      </c>
      <c r="AK12">
        <v>6.1816037735849054</v>
      </c>
      <c r="AL12">
        <v>17.212307692307693</v>
      </c>
      <c r="AM12">
        <v>4.0129870129870131</v>
      </c>
      <c r="AN12">
        <v>3.3831325301204815</v>
      </c>
      <c r="AO12">
        <v>5.2108843537414966</v>
      </c>
      <c r="AP12">
        <v>0</v>
      </c>
      <c r="AQ12">
        <v>7.3345323741007205</v>
      </c>
      <c r="AR12">
        <v>36.816568047337277</v>
      </c>
      <c r="AS12">
        <v>4.0657894736842097</v>
      </c>
      <c r="AT12">
        <v>1.0138408304498272</v>
      </c>
      <c r="AU12" s="1">
        <v>5.6916890080428955</v>
      </c>
      <c r="AV12" s="1">
        <v>3.0359281437125754</v>
      </c>
      <c r="AW12" s="1">
        <v>2.6649874055415621</v>
      </c>
      <c r="AX12" s="1">
        <v>97.738372093023258</v>
      </c>
      <c r="AY12" s="1">
        <v>0.59839357429718876</v>
      </c>
      <c r="AZ12" s="1">
        <v>6.625</v>
      </c>
      <c r="BA12" s="1">
        <v>2.4325068870523419</v>
      </c>
      <c r="BB12" s="1">
        <v>0</v>
      </c>
      <c r="BC12" s="1">
        <v>6.5714285714285721</v>
      </c>
      <c r="BD12" s="1">
        <v>3.6487603305785123</v>
      </c>
      <c r="BE12" s="1">
        <v>1.7232375979112271</v>
      </c>
      <c r="BF12" s="1">
        <v>0</v>
      </c>
      <c r="BG12" s="1">
        <v>0</v>
      </c>
      <c r="BH12" s="1">
        <v>0.86315789473684201</v>
      </c>
      <c r="BI12" s="1">
        <v>12.59090909090909</v>
      </c>
      <c r="BJ12">
        <v>24.437367303609342</v>
      </c>
      <c r="BK12">
        <v>371.3851351351351</v>
      </c>
      <c r="BL12">
        <v>0.79958677685950419</v>
      </c>
      <c r="BM12">
        <v>0.2655367231638418</v>
      </c>
      <c r="BN12">
        <v>0.55492957746478877</v>
      </c>
      <c r="BO12">
        <v>5.6365795724465562</v>
      </c>
      <c r="BP12">
        <v>0.23855421686746986</v>
      </c>
      <c r="BQ12">
        <v>0</v>
      </c>
      <c r="BR12">
        <v>29.982456140350877</v>
      </c>
      <c r="BS12">
        <v>0</v>
      </c>
      <c r="BT12">
        <v>15.024615384615384</v>
      </c>
      <c r="BU12">
        <v>2.5592233009708738</v>
      </c>
      <c r="BV12">
        <v>0</v>
      </c>
      <c r="BW12">
        <v>1.5111111111111111</v>
      </c>
      <c r="BX12">
        <v>1.6339622641509435</v>
      </c>
      <c r="BY12" s="1">
        <v>0.52116402116402116</v>
      </c>
      <c r="BZ12" s="1">
        <v>1.0750000000000002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3.1073059360730593</v>
      </c>
      <c r="CG12" s="1">
        <v>0</v>
      </c>
      <c r="CH12" s="1">
        <v>0.7140221402214022</v>
      </c>
      <c r="CI12" s="1">
        <v>0</v>
      </c>
      <c r="CJ12" s="1">
        <v>0</v>
      </c>
      <c r="CK12" s="1">
        <v>2.1432225063938621</v>
      </c>
    </row>
    <row r="13" spans="2:92" x14ac:dyDescent="0.25">
      <c r="B13" t="s">
        <v>17</v>
      </c>
      <c r="C13">
        <v>9.4853420195439728</v>
      </c>
      <c r="D13">
        <v>10.52434456928839</v>
      </c>
      <c r="E13">
        <v>23.284280936454852</v>
      </c>
      <c r="F13">
        <v>6.9183673469387754</v>
      </c>
      <c r="G13">
        <v>12.380165289256199</v>
      </c>
      <c r="H13">
        <v>8.8000000000000007</v>
      </c>
      <c r="I13">
        <v>16.88659793814433</v>
      </c>
      <c r="J13">
        <v>11.015873015873018</v>
      </c>
      <c r="K13">
        <v>5.7651006711409396</v>
      </c>
      <c r="L13">
        <v>10.767857142857144</v>
      </c>
      <c r="M13">
        <v>9.5352112676056322</v>
      </c>
      <c r="N13">
        <v>9.4448818897637796</v>
      </c>
      <c r="O13">
        <v>14.274509803921569</v>
      </c>
      <c r="P13">
        <v>5.806557377049181</v>
      </c>
      <c r="Q13">
        <v>11.708196721311475</v>
      </c>
      <c r="R13" s="1">
        <v>10.479452054794521</v>
      </c>
      <c r="S13" s="1">
        <v>9.3302752293577971</v>
      </c>
      <c r="T13" s="1">
        <v>88.101639344262296</v>
      </c>
      <c r="U13" s="1">
        <v>43.980198019801982</v>
      </c>
      <c r="V13" s="1">
        <v>18.823008849557521</v>
      </c>
      <c r="W13" s="1">
        <v>24.957516339869283</v>
      </c>
      <c r="X13" s="1">
        <v>13.633898305084747</v>
      </c>
      <c r="Y13" s="1">
        <v>34.824644549763036</v>
      </c>
      <c r="Z13" s="1">
        <v>39.620938628158846</v>
      </c>
      <c r="AA13" s="1">
        <v>27.2890365448505</v>
      </c>
      <c r="AB13" s="1">
        <v>71.602905569007262</v>
      </c>
      <c r="AC13" s="1">
        <v>15.440944881889763</v>
      </c>
      <c r="AD13" s="1">
        <v>25.807829181494661</v>
      </c>
      <c r="AE13" s="1">
        <v>18.06774193548387</v>
      </c>
      <c r="AF13">
        <v>24.675862068965515</v>
      </c>
      <c r="AG13">
        <v>45.526027397260272</v>
      </c>
      <c r="AH13">
        <v>39.264705882352942</v>
      </c>
      <c r="AI13">
        <v>20.222972972972972</v>
      </c>
      <c r="AJ13">
        <v>230.5030181086519</v>
      </c>
      <c r="AK13">
        <v>100.38443396226414</v>
      </c>
      <c r="AL13">
        <v>589.3169230769231</v>
      </c>
      <c r="AM13">
        <v>40.316017316017316</v>
      </c>
      <c r="AN13">
        <v>12.79036144578313</v>
      </c>
      <c r="AO13">
        <v>142.22108843537416</v>
      </c>
      <c r="AP13">
        <v>10.955307262569832</v>
      </c>
      <c r="AQ13">
        <v>41.690647482014391</v>
      </c>
      <c r="AR13">
        <v>723.20710059171597</v>
      </c>
      <c r="AS13">
        <v>21.337719298245609</v>
      </c>
      <c r="AT13">
        <v>26.093425605536336</v>
      </c>
      <c r="AU13" s="1">
        <v>120.40750670241287</v>
      </c>
      <c r="AV13" s="1">
        <v>17.50299401197605</v>
      </c>
      <c r="AW13" s="1">
        <v>16.073047858942068</v>
      </c>
      <c r="AX13" s="1">
        <v>459.14244186046511</v>
      </c>
      <c r="AY13" s="1">
        <v>24.453815261044181</v>
      </c>
      <c r="AZ13" s="1">
        <v>114.22794117647059</v>
      </c>
      <c r="BA13" s="1">
        <v>27.099173553719009</v>
      </c>
      <c r="BB13" s="1">
        <v>0.24806201550387597</v>
      </c>
      <c r="BC13" s="1">
        <v>63.073359073359079</v>
      </c>
      <c r="BD13" s="1">
        <v>25.966942148760332</v>
      </c>
      <c r="BE13" s="1">
        <v>46.558746736292427</v>
      </c>
      <c r="BF13" s="1">
        <v>11.799999999999999</v>
      </c>
      <c r="BG13" s="1">
        <v>17.619417475728156</v>
      </c>
      <c r="BH13" s="1">
        <v>27.473684210526315</v>
      </c>
      <c r="BI13" s="1">
        <v>59.409090909090914</v>
      </c>
      <c r="BJ13">
        <v>59.027600849256899</v>
      </c>
      <c r="BK13">
        <v>178.64864864864865</v>
      </c>
      <c r="BL13">
        <v>32.690082644628099</v>
      </c>
      <c r="BM13">
        <v>94.412429378531087</v>
      </c>
      <c r="BN13">
        <v>34.645070422535213</v>
      </c>
      <c r="BO13">
        <v>151.04988123515437</v>
      </c>
      <c r="BP13">
        <v>45.893975903614454</v>
      </c>
      <c r="BQ13">
        <v>17.128440366972477</v>
      </c>
      <c r="BR13">
        <v>246.71228070175437</v>
      </c>
      <c r="BS13">
        <v>21.977443609022558</v>
      </c>
      <c r="BT13">
        <v>118.42153846153846</v>
      </c>
      <c r="BU13">
        <v>131.11262135922331</v>
      </c>
      <c r="BV13">
        <v>9.0340136054421762</v>
      </c>
      <c r="BW13">
        <v>41.604444444444447</v>
      </c>
      <c r="BX13">
        <v>78.73207547169811</v>
      </c>
      <c r="BY13" s="1">
        <v>7.973544973544973</v>
      </c>
      <c r="BZ13" s="1">
        <v>14.880555555555556</v>
      </c>
      <c r="CA13" s="1">
        <v>40.485714285714288</v>
      </c>
      <c r="CB13" s="1">
        <v>26.275132275132272</v>
      </c>
      <c r="CC13" s="1">
        <v>32.347578347578349</v>
      </c>
      <c r="CD13" s="1">
        <v>69.855072463768124</v>
      </c>
      <c r="CE13" s="1">
        <v>21.261224489795918</v>
      </c>
      <c r="CF13" s="1">
        <v>93.963470319634709</v>
      </c>
      <c r="CG13" s="1">
        <v>15.401709401709404</v>
      </c>
      <c r="CH13" s="1">
        <v>32.038745387453879</v>
      </c>
      <c r="CI13" s="1">
        <v>30.274999999999999</v>
      </c>
      <c r="CJ13" s="1">
        <v>17.150887573964496</v>
      </c>
      <c r="CK13" s="1">
        <v>42.498721227621481</v>
      </c>
    </row>
    <row r="14" spans="2:92" x14ac:dyDescent="0.25">
      <c r="B14" t="s">
        <v>18</v>
      </c>
      <c r="C14">
        <v>13.237785016286644</v>
      </c>
      <c r="D14">
        <v>12.397003745318353</v>
      </c>
      <c r="E14">
        <v>15.267558528428093</v>
      </c>
      <c r="F14">
        <v>16.166666666666668</v>
      </c>
      <c r="G14">
        <v>9.6900826446280988</v>
      </c>
      <c r="H14">
        <v>9.5325000000000006</v>
      </c>
      <c r="I14">
        <v>9.6460481099656352</v>
      </c>
      <c r="J14">
        <v>11.307936507936507</v>
      </c>
      <c r="K14">
        <v>14.057046979865772</v>
      </c>
      <c r="L14">
        <v>18.339285714285715</v>
      </c>
      <c r="M14">
        <v>17.616197183098588</v>
      </c>
      <c r="N14">
        <v>11.051181102362206</v>
      </c>
      <c r="O14">
        <v>10.666666666666668</v>
      </c>
      <c r="P14">
        <v>10.029508196721313</v>
      </c>
      <c r="Q14">
        <v>11.059016393442622</v>
      </c>
      <c r="R14" s="1">
        <v>16.264840182648403</v>
      </c>
      <c r="S14" s="1">
        <v>0</v>
      </c>
      <c r="T14" s="1">
        <v>21.73114754098361</v>
      </c>
      <c r="U14" s="1">
        <v>30.029702970297027</v>
      </c>
      <c r="V14" s="1">
        <v>23.598820058997049</v>
      </c>
      <c r="W14" s="1">
        <v>14.509803921568627</v>
      </c>
      <c r="X14" s="1">
        <v>14.623728813559323</v>
      </c>
      <c r="Y14" s="1">
        <v>19.85308056872038</v>
      </c>
      <c r="Z14" s="1">
        <v>24.151624548736464</v>
      </c>
      <c r="AA14" s="1">
        <v>28.441860465116282</v>
      </c>
      <c r="AB14" s="1">
        <v>20.728813559322031</v>
      </c>
      <c r="AC14" s="1">
        <v>22.405511811023619</v>
      </c>
      <c r="AD14" s="1">
        <v>20.252669039145907</v>
      </c>
      <c r="AE14" s="1">
        <v>18.35806451612903</v>
      </c>
      <c r="AF14">
        <v>30.37931034482758</v>
      </c>
      <c r="AG14">
        <v>26.86849315068493</v>
      </c>
      <c r="AH14">
        <v>25.735294117647058</v>
      </c>
      <c r="AI14">
        <v>16.754504504504503</v>
      </c>
      <c r="AJ14">
        <v>39.555331991951711</v>
      </c>
      <c r="AK14">
        <v>35.766509433962263</v>
      </c>
      <c r="AL14">
        <v>55.301538461538456</v>
      </c>
      <c r="AM14">
        <v>33.281385281385276</v>
      </c>
      <c r="AN14">
        <v>17.474698795180721</v>
      </c>
      <c r="AO14">
        <v>34.414965986394563</v>
      </c>
      <c r="AP14">
        <v>0</v>
      </c>
      <c r="AQ14">
        <v>41.550359712230218</v>
      </c>
      <c r="AR14">
        <v>164.91124260355031</v>
      </c>
      <c r="AS14">
        <v>39.188596491228061</v>
      </c>
      <c r="AT14">
        <v>19.474048442906575</v>
      </c>
      <c r="AU14" s="1">
        <v>27.962466487935657</v>
      </c>
      <c r="AV14" s="1">
        <v>30.107784431137727</v>
      </c>
      <c r="AW14" s="1">
        <v>21.879093198992443</v>
      </c>
      <c r="AX14" s="1">
        <v>57.14825581395349</v>
      </c>
      <c r="AY14" s="1">
        <v>26.116465863453818</v>
      </c>
      <c r="AZ14" s="1">
        <v>31.671568627450981</v>
      </c>
      <c r="BA14" s="1">
        <v>24.44077134986226</v>
      </c>
      <c r="BB14" s="1">
        <v>0</v>
      </c>
      <c r="BC14" s="1">
        <v>34.015444015444018</v>
      </c>
      <c r="BD14" s="1">
        <v>28.93388429752066</v>
      </c>
      <c r="BE14" s="1">
        <v>24.629242819843341</v>
      </c>
      <c r="BF14" s="1">
        <v>0</v>
      </c>
      <c r="BG14" s="1">
        <v>11.050485436893204</v>
      </c>
      <c r="BH14" s="1">
        <v>20.845614035087717</v>
      </c>
      <c r="BI14" s="1">
        <v>44.744755244755247</v>
      </c>
      <c r="BJ14">
        <v>28.227176220806793</v>
      </c>
      <c r="BK14">
        <v>44.954391891891895</v>
      </c>
      <c r="BL14">
        <v>14.595041322314049</v>
      </c>
      <c r="BM14">
        <v>27.203389830508474</v>
      </c>
      <c r="BN14">
        <v>14.622535211267605</v>
      </c>
      <c r="BO14">
        <v>10.247030878859858</v>
      </c>
      <c r="BP14">
        <v>14.918072289156624</v>
      </c>
      <c r="BQ14">
        <v>11.660550458715598</v>
      </c>
      <c r="BR14">
        <v>37.470175438596492</v>
      </c>
      <c r="BS14">
        <v>17.631578947368421</v>
      </c>
      <c r="BT14">
        <v>22.695384615384619</v>
      </c>
      <c r="BU14">
        <v>16.139805825242721</v>
      </c>
      <c r="BV14">
        <v>18.292517006802722</v>
      </c>
      <c r="BW14">
        <v>38.048888888888889</v>
      </c>
      <c r="BX14">
        <v>29.954716981132076</v>
      </c>
      <c r="BY14" s="1">
        <v>9.4232804232804224</v>
      </c>
      <c r="BZ14" s="1">
        <v>21.008333333333333</v>
      </c>
      <c r="CA14" s="1">
        <v>16.241558441558443</v>
      </c>
      <c r="CB14" s="1">
        <v>13.732804232804231</v>
      </c>
      <c r="CC14" s="1">
        <v>13.541310541310542</v>
      </c>
      <c r="CD14" s="1">
        <v>15.555555555555559</v>
      </c>
      <c r="CE14" s="1">
        <v>16.587755102040816</v>
      </c>
      <c r="CF14" s="1">
        <v>17.552511415525114</v>
      </c>
      <c r="CG14" s="1">
        <v>1.2877492877492878</v>
      </c>
      <c r="CH14" s="1">
        <v>12.343173431734318</v>
      </c>
      <c r="CI14" s="1">
        <v>12.0375</v>
      </c>
      <c r="CJ14" s="1">
        <v>15.727810650887573</v>
      </c>
      <c r="CK14" s="1">
        <v>25.718670076726344</v>
      </c>
    </row>
    <row r="15" spans="2:92" x14ac:dyDescent="0.25">
      <c r="B15" t="s">
        <v>19</v>
      </c>
      <c r="C15">
        <v>13.09771986970684</v>
      </c>
      <c r="D15">
        <v>11.992509363295882</v>
      </c>
      <c r="E15">
        <v>19.906354515050168</v>
      </c>
      <c r="F15">
        <v>12.295918367346939</v>
      </c>
      <c r="G15">
        <v>9.1280991735537196</v>
      </c>
      <c r="H15">
        <v>5.8550000000000004</v>
      </c>
      <c r="I15">
        <v>11.003436426116838</v>
      </c>
      <c r="J15">
        <v>15.269841269841271</v>
      </c>
      <c r="K15">
        <v>13.493288590604028</v>
      </c>
      <c r="L15">
        <v>17.997448979591837</v>
      </c>
      <c r="M15">
        <v>32.302816901408448</v>
      </c>
      <c r="N15">
        <v>12.606299212598426</v>
      </c>
      <c r="O15">
        <v>11.480392156862745</v>
      </c>
      <c r="P15">
        <v>9.1081967213114758</v>
      </c>
      <c r="Q15">
        <v>9.1081967213114758</v>
      </c>
      <c r="R15" s="1">
        <v>16.506849315068493</v>
      </c>
      <c r="S15" s="1">
        <v>0</v>
      </c>
      <c r="T15" s="1">
        <v>17.036065573770493</v>
      </c>
      <c r="U15" s="1">
        <v>23.811881188118811</v>
      </c>
      <c r="V15" s="1">
        <v>20.274336283185843</v>
      </c>
      <c r="W15" s="1">
        <v>18.222222222222221</v>
      </c>
      <c r="X15" s="1">
        <v>9.4169491525423741</v>
      </c>
      <c r="Y15" s="1">
        <v>13.165876777251187</v>
      </c>
      <c r="Z15" s="1">
        <v>22.826714801444041</v>
      </c>
      <c r="AA15" s="1">
        <v>39.980066445182729</v>
      </c>
      <c r="AB15" s="1">
        <v>13.501210653753024</v>
      </c>
      <c r="AC15" s="1">
        <v>31.996062992125982</v>
      </c>
      <c r="AD15" s="1">
        <v>15.722419928825623</v>
      </c>
      <c r="AE15" s="1">
        <v>22.758064516129032</v>
      </c>
      <c r="AF15">
        <v>52.031034482758606</v>
      </c>
      <c r="AG15">
        <v>35.205479452054796</v>
      </c>
      <c r="AH15">
        <v>28.84967320261438</v>
      </c>
      <c r="AI15">
        <v>9.9504504504504503</v>
      </c>
      <c r="AJ15">
        <v>18.458752515090541</v>
      </c>
      <c r="AK15">
        <v>29.153301886792452</v>
      </c>
      <c r="AL15">
        <v>36.519999999999996</v>
      </c>
      <c r="AM15">
        <v>49.952380952380949</v>
      </c>
      <c r="AN15">
        <v>32.522891566265059</v>
      </c>
      <c r="AO15">
        <v>33.537414965986393</v>
      </c>
      <c r="AP15">
        <v>0</v>
      </c>
      <c r="AQ15">
        <v>61.010791366906481</v>
      </c>
      <c r="AR15">
        <v>89.284023668639051</v>
      </c>
      <c r="AS15">
        <v>40.23684210526315</v>
      </c>
      <c r="AT15">
        <v>30.54671280276817</v>
      </c>
      <c r="AU15" s="1">
        <v>15.455764075067023</v>
      </c>
      <c r="AV15" s="1">
        <v>39.443113772455092</v>
      </c>
      <c r="AW15" s="1">
        <v>27.387909319899247</v>
      </c>
      <c r="AX15" s="1">
        <v>34.502906976744185</v>
      </c>
      <c r="AY15" s="1">
        <v>38.911646586345384</v>
      </c>
      <c r="AZ15" s="1">
        <v>30.698529411764707</v>
      </c>
      <c r="BA15" s="1">
        <v>21.41322314049587</v>
      </c>
      <c r="BB15" s="1">
        <v>9.0775193798449614</v>
      </c>
      <c r="BC15" s="1">
        <v>44.552123552123554</v>
      </c>
      <c r="BD15" s="1">
        <v>39.330578512396698</v>
      </c>
      <c r="BE15" s="1">
        <v>22.138381201044389</v>
      </c>
      <c r="BF15" s="1">
        <v>23.556521739130432</v>
      </c>
      <c r="BG15" s="1">
        <v>9.7145631067961169</v>
      </c>
      <c r="BH15" s="1">
        <v>28.515789473684208</v>
      </c>
      <c r="BI15" s="1">
        <v>36.842657342657347</v>
      </c>
      <c r="BJ15">
        <v>30.014861995753716</v>
      </c>
      <c r="BK15">
        <v>17.22972972972973</v>
      </c>
      <c r="BL15">
        <v>5.7396694214876041</v>
      </c>
      <c r="BM15">
        <v>35.72316384180791</v>
      </c>
      <c r="BN15">
        <v>12.445070422535212</v>
      </c>
      <c r="BO15">
        <v>12.342042755344419</v>
      </c>
      <c r="BP15">
        <v>6.6939759036144579</v>
      </c>
      <c r="BQ15">
        <v>7.1620795107033643</v>
      </c>
      <c r="BR15">
        <v>18.231578947368419</v>
      </c>
      <c r="BS15">
        <v>27.203007518796994</v>
      </c>
      <c r="BT15">
        <v>9.8523076923076935</v>
      </c>
      <c r="BU15">
        <v>7.8077669902912632</v>
      </c>
      <c r="BV15">
        <v>8.7108843537414966</v>
      </c>
      <c r="BW15">
        <v>32.955555555555556</v>
      </c>
      <c r="BX15">
        <v>18.150943396226417</v>
      </c>
      <c r="BY15" s="1">
        <v>6.7751322751322745</v>
      </c>
      <c r="BZ15" s="1">
        <v>18.586111111111112</v>
      </c>
      <c r="CA15" s="1">
        <v>4.9090909090909083</v>
      </c>
      <c r="CB15" s="1">
        <v>6.1957671957671954</v>
      </c>
      <c r="CC15" s="1">
        <v>9.1225071225071233</v>
      </c>
      <c r="CD15" s="1">
        <v>6.7101449275362324</v>
      </c>
      <c r="CE15" s="1">
        <v>7.7142857142857135</v>
      </c>
      <c r="CF15" s="1">
        <v>18.554794520547944</v>
      </c>
      <c r="CG15" s="1">
        <v>5.3846153846153841</v>
      </c>
      <c r="CH15" s="1">
        <v>10.287822878228782</v>
      </c>
      <c r="CI15" s="1">
        <v>11.5375</v>
      </c>
      <c r="CJ15" s="1">
        <v>9.4733727810650894</v>
      </c>
      <c r="CK15" s="1">
        <v>16.171355498721226</v>
      </c>
    </row>
    <row r="16" spans="2:92" x14ac:dyDescent="0.25">
      <c r="B16" t="s">
        <v>20</v>
      </c>
      <c r="C16">
        <v>1.4201954397394136</v>
      </c>
      <c r="D16">
        <v>2.0749063670411987</v>
      </c>
      <c r="E16">
        <v>2.2909698996655519</v>
      </c>
      <c r="F16">
        <v>2.1530612244897962</v>
      </c>
      <c r="G16">
        <v>1.3078512396694215</v>
      </c>
      <c r="H16">
        <v>1.2424999999999999</v>
      </c>
      <c r="I16">
        <v>1.8144329896907216</v>
      </c>
      <c r="J16">
        <v>2.0603174603174605</v>
      </c>
      <c r="K16">
        <v>2.2281879194630871</v>
      </c>
      <c r="L16">
        <v>1.9107142857142858</v>
      </c>
      <c r="M16">
        <v>3.0915492957746475</v>
      </c>
      <c r="N16">
        <v>2.326771653543307</v>
      </c>
      <c r="O16">
        <v>2.5392156862745097</v>
      </c>
      <c r="P16">
        <v>2.0754098360655737</v>
      </c>
      <c r="Q16">
        <v>1.8360655737704918</v>
      </c>
      <c r="R16" s="1">
        <v>2.8904109589041096</v>
      </c>
      <c r="S16" s="1">
        <v>0.2293577981651376</v>
      </c>
      <c r="T16" s="1">
        <v>2.59672131147541</v>
      </c>
      <c r="U16" s="1">
        <v>4.6138613861386135</v>
      </c>
      <c r="V16" s="1">
        <v>2.1150442477876106</v>
      </c>
      <c r="W16" s="1">
        <v>3.0457516339869279</v>
      </c>
      <c r="X16" s="1">
        <v>2.0372881355932204</v>
      </c>
      <c r="Y16" s="1">
        <v>3.7014218009478674</v>
      </c>
      <c r="Z16" s="1">
        <v>3.2851985559566788</v>
      </c>
      <c r="AA16" s="1">
        <v>4.0033222591362128</v>
      </c>
      <c r="AB16" s="1">
        <v>1.8135593220338979</v>
      </c>
      <c r="AC16" s="1">
        <v>3.1181102362204722</v>
      </c>
      <c r="AD16" s="1">
        <v>3.2775800711743774</v>
      </c>
      <c r="AE16" s="1">
        <v>3.1806451612903222</v>
      </c>
      <c r="AF16">
        <v>3.5482758620689649</v>
      </c>
      <c r="AG16">
        <v>2.4054794520547942</v>
      </c>
      <c r="AH16">
        <v>2.1699346405228757</v>
      </c>
      <c r="AI16">
        <v>1.5427927927927925</v>
      </c>
      <c r="AJ16">
        <v>1.5291750503018109</v>
      </c>
      <c r="AK16">
        <v>1.9693396226415092</v>
      </c>
      <c r="AL16">
        <v>2.2400000000000002</v>
      </c>
      <c r="AM16">
        <v>4.4112554112554108</v>
      </c>
      <c r="AN16">
        <v>2.012048192771084</v>
      </c>
      <c r="AO16">
        <v>3.1326530612244903</v>
      </c>
      <c r="AP16">
        <v>0.11731843575418993</v>
      </c>
      <c r="AQ16">
        <v>5.1151079136690649</v>
      </c>
      <c r="AR16">
        <v>5.5147928994082847</v>
      </c>
      <c r="AS16">
        <v>4.2763157894736841</v>
      </c>
      <c r="AT16">
        <v>2.757785467128028</v>
      </c>
      <c r="AU16" s="1">
        <v>2.1367292225201071</v>
      </c>
      <c r="AV16" s="1">
        <v>2.7245508982035926</v>
      </c>
      <c r="AW16" s="1">
        <v>2.1561712846347612</v>
      </c>
      <c r="AX16" s="1">
        <v>2.5203488372093021</v>
      </c>
      <c r="AY16" s="1">
        <v>0.41767068273092373</v>
      </c>
      <c r="AZ16" s="1">
        <v>2.2426470588235294</v>
      </c>
      <c r="BA16" s="1">
        <v>2.0936639118457299</v>
      </c>
      <c r="BB16" s="1">
        <v>0</v>
      </c>
      <c r="BC16" s="1">
        <v>4.3552123552123554</v>
      </c>
      <c r="BD16" s="1">
        <v>4.1198347107438025</v>
      </c>
      <c r="BE16" s="1">
        <v>1.6370757180156656</v>
      </c>
      <c r="BF16" s="1">
        <v>0.62898550724637681</v>
      </c>
      <c r="BG16" s="1">
        <v>1.2485436893203885</v>
      </c>
      <c r="BH16" s="1">
        <v>2.3684210526315788</v>
      </c>
      <c r="BI16" s="1">
        <v>2.9545454545454546</v>
      </c>
      <c r="BJ16">
        <v>1.8407643312101911</v>
      </c>
      <c r="BK16">
        <v>1.2111486486486487</v>
      </c>
      <c r="BL16">
        <v>1.0599173553719008</v>
      </c>
      <c r="BM16">
        <v>4.231638418079096</v>
      </c>
      <c r="BN16">
        <v>1.5464788732394368</v>
      </c>
      <c r="BO16">
        <v>0.50356294536817103</v>
      </c>
      <c r="BP16">
        <v>1.125301204819277</v>
      </c>
      <c r="BQ16">
        <v>1.7737003058103975</v>
      </c>
      <c r="BR16">
        <v>2.0350877192982453</v>
      </c>
      <c r="BS16">
        <v>2.5187969924812035</v>
      </c>
      <c r="BT16">
        <v>1.3723076923076922</v>
      </c>
      <c r="BU16">
        <v>0.87572815533980586</v>
      </c>
      <c r="BV16">
        <v>1.6904761904761905</v>
      </c>
      <c r="BW16">
        <v>4.333333333333333</v>
      </c>
      <c r="BX16">
        <v>2.1132075471698113</v>
      </c>
      <c r="BY16" s="1">
        <v>1.4656084656084656</v>
      </c>
      <c r="BZ16" s="1">
        <v>1.7861111111111112</v>
      </c>
      <c r="CA16" s="1">
        <v>1.5064935064935063</v>
      </c>
      <c r="CB16" s="1">
        <v>1.2619047619047616</v>
      </c>
      <c r="CC16" s="1">
        <v>1.7720797720797721</v>
      </c>
      <c r="CD16" s="1">
        <v>1.0410628019323671</v>
      </c>
      <c r="CE16" s="1">
        <v>2.7755102040816322</v>
      </c>
      <c r="CF16" s="1">
        <v>1.5159817351598173</v>
      </c>
      <c r="CG16" s="1">
        <v>0.94017094017094016</v>
      </c>
      <c r="CH16" s="1">
        <v>0.88007380073800734</v>
      </c>
      <c r="CI16" s="1">
        <v>1.425</v>
      </c>
      <c r="CJ16" s="1">
        <v>2.0118343195266273</v>
      </c>
      <c r="CK16" s="1">
        <v>1.7519181585677748</v>
      </c>
    </row>
    <row r="17" spans="2:89" x14ac:dyDescent="0.25">
      <c r="B17" t="s">
        <v>21</v>
      </c>
      <c r="C17">
        <v>0.34853420195439738</v>
      </c>
      <c r="D17">
        <v>0.40074906367041202</v>
      </c>
      <c r="E17">
        <v>0.46153846153846156</v>
      </c>
      <c r="F17">
        <v>0.36394557823129253</v>
      </c>
      <c r="G17">
        <v>0.25206611570247933</v>
      </c>
      <c r="H17">
        <v>0.19</v>
      </c>
      <c r="I17">
        <v>0.36769759450171824</v>
      </c>
      <c r="J17">
        <v>0.38730158730158731</v>
      </c>
      <c r="K17">
        <v>0.3087248322147651</v>
      </c>
      <c r="L17">
        <v>0.41071428571428575</v>
      </c>
      <c r="M17">
        <v>0.64788732394366189</v>
      </c>
      <c r="N17">
        <v>0.36220472440944884</v>
      </c>
      <c r="O17">
        <v>0.37254901960784315</v>
      </c>
      <c r="P17">
        <v>0.35081967213114756</v>
      </c>
      <c r="Q17">
        <v>0.30163934426229511</v>
      </c>
      <c r="R17" s="1">
        <v>0.42009132420091327</v>
      </c>
      <c r="S17" s="1">
        <v>0.55963302752293576</v>
      </c>
      <c r="T17" s="1">
        <v>0.90163934426229508</v>
      </c>
      <c r="U17" s="1">
        <v>0.75742574257425743</v>
      </c>
      <c r="V17" s="1">
        <v>0.54277286135693215</v>
      </c>
      <c r="W17" s="1">
        <v>0.4509803921568627</v>
      </c>
      <c r="X17" s="1">
        <v>0.31186440677966104</v>
      </c>
      <c r="Y17" s="1">
        <v>0.61611374407582942</v>
      </c>
      <c r="Z17" s="1">
        <v>0.68953068592057754</v>
      </c>
      <c r="AA17" s="1">
        <v>1.0166112956810631</v>
      </c>
      <c r="AB17" s="1">
        <v>0.81355932203389814</v>
      </c>
      <c r="AC17" s="1">
        <v>0.60236220472440949</v>
      </c>
      <c r="AD17" s="1">
        <v>0.59786476868327398</v>
      </c>
      <c r="AE17" s="1">
        <v>0.59354838709677415</v>
      </c>
      <c r="AF17">
        <v>1.0275862068965516</v>
      </c>
      <c r="AG17">
        <v>0.75342465753424659</v>
      </c>
      <c r="AH17">
        <v>0.84967320261437906</v>
      </c>
      <c r="AI17">
        <v>0.31081081081081074</v>
      </c>
      <c r="AJ17">
        <v>2.436619718309859</v>
      </c>
      <c r="AK17">
        <v>1.1485849056603774</v>
      </c>
      <c r="AL17">
        <v>2.8461538461538463</v>
      </c>
      <c r="AM17">
        <v>1.1904761904761905</v>
      </c>
      <c r="AN17">
        <v>0.66265060240963847</v>
      </c>
      <c r="AO17">
        <v>1.1428571428571428</v>
      </c>
      <c r="AP17">
        <v>0.42737430167597767</v>
      </c>
      <c r="AQ17">
        <v>1.6187050359712232</v>
      </c>
      <c r="AR17">
        <v>11.964497041420119</v>
      </c>
      <c r="AS17">
        <v>1.1052631578947367</v>
      </c>
      <c r="AT17">
        <v>0.58131487889273359</v>
      </c>
      <c r="AU17" s="1">
        <v>0.94101876675603213</v>
      </c>
      <c r="AV17" s="1">
        <v>0.84730538922155696</v>
      </c>
      <c r="AW17" s="1">
        <v>0.61712846347607064</v>
      </c>
      <c r="AX17" s="1">
        <v>3.8255813953488373</v>
      </c>
      <c r="AY17" s="1">
        <v>0.73895582329317278</v>
      </c>
      <c r="AZ17" s="1">
        <v>1.3799019607843137</v>
      </c>
      <c r="BA17" s="1">
        <v>0.63085399449035817</v>
      </c>
      <c r="BB17" s="1">
        <v>0</v>
      </c>
      <c r="BC17" s="1">
        <v>1.0926640926640927</v>
      </c>
      <c r="BD17" s="1">
        <v>1.0413223140495869</v>
      </c>
      <c r="BE17" s="1">
        <v>0.77806788511749347</v>
      </c>
      <c r="BF17" s="1">
        <v>0.53333333333333333</v>
      </c>
      <c r="BG17" s="1">
        <v>0.32621359223300972</v>
      </c>
      <c r="BH17" s="1">
        <v>0.64561403508771931</v>
      </c>
      <c r="BI17" s="1">
        <v>1.0944055944055944</v>
      </c>
      <c r="BJ17">
        <v>2.3779193205944797</v>
      </c>
      <c r="BK17">
        <v>2.7297297297297298</v>
      </c>
      <c r="BL17">
        <v>0.25206611570247933</v>
      </c>
      <c r="BM17">
        <v>0.68926553672316382</v>
      </c>
      <c r="BN17">
        <v>0.3436619718309859</v>
      </c>
      <c r="BO17">
        <v>1.5178147268408551</v>
      </c>
      <c r="BP17">
        <v>0.31325301204819278</v>
      </c>
      <c r="BQ17">
        <v>0.23241590214067279</v>
      </c>
      <c r="BR17">
        <v>2.7157894736842105</v>
      </c>
      <c r="BS17">
        <v>0.77819548872180455</v>
      </c>
      <c r="BT17">
        <v>1.4523076923076923</v>
      </c>
      <c r="BU17">
        <v>0.44466019417475733</v>
      </c>
      <c r="BV17">
        <v>0.36394557823129253</v>
      </c>
      <c r="BW17">
        <v>0.78222222222222226</v>
      </c>
      <c r="BX17">
        <v>0.86415094339622645</v>
      </c>
      <c r="BY17" s="1">
        <v>0.26190476190476186</v>
      </c>
      <c r="BZ17" s="1">
        <v>0.46666666666666667</v>
      </c>
      <c r="CA17" s="1">
        <v>0.31688311688311688</v>
      </c>
      <c r="CB17" s="1">
        <v>0.24338624338624337</v>
      </c>
      <c r="CC17" s="1">
        <v>0.30484330484330485</v>
      </c>
      <c r="CD17" s="1">
        <v>0.44444444444444448</v>
      </c>
      <c r="CE17" s="1">
        <v>0.37551020408163266</v>
      </c>
      <c r="CF17" s="1">
        <v>0.31506849315068491</v>
      </c>
      <c r="CG17" s="1">
        <v>0.1737891737891738</v>
      </c>
      <c r="CH17" s="1">
        <v>0.25461254612546125</v>
      </c>
      <c r="CI17" s="1">
        <v>0.42</v>
      </c>
      <c r="CJ17" s="1">
        <v>0.45266272189349116</v>
      </c>
      <c r="CK17" s="1">
        <v>0.50895140664961636</v>
      </c>
    </row>
    <row r="18" spans="2:89" x14ac:dyDescent="0.25">
      <c r="B18" t="s">
        <v>22</v>
      </c>
      <c r="C18">
        <v>0.95114006514657967</v>
      </c>
      <c r="D18">
        <v>0.45318352059925093</v>
      </c>
      <c r="E18">
        <v>1.8160535117056857</v>
      </c>
      <c r="F18">
        <v>1.1496598639455782</v>
      </c>
      <c r="G18">
        <v>1.3946280991735538</v>
      </c>
      <c r="H18">
        <v>0</v>
      </c>
      <c r="I18">
        <v>0.32646048109965631</v>
      </c>
      <c r="J18">
        <v>2.8317460317460319</v>
      </c>
      <c r="K18">
        <v>2.0805369127516777</v>
      </c>
      <c r="L18">
        <v>5.0153061224489797</v>
      </c>
      <c r="M18">
        <v>4.253521126760563</v>
      </c>
      <c r="N18">
        <v>0.86614173228346458</v>
      </c>
      <c r="O18">
        <v>0</v>
      </c>
      <c r="P18">
        <v>0.31147540983606559</v>
      </c>
      <c r="Q18">
        <v>3.9344262295081971E-2</v>
      </c>
      <c r="R18" s="1">
        <v>0.19178082191780821</v>
      </c>
      <c r="S18" s="1">
        <v>0</v>
      </c>
      <c r="T18" s="1">
        <v>1.2229508196721313</v>
      </c>
      <c r="U18" s="1">
        <v>2.4653465346534653</v>
      </c>
      <c r="V18" s="1">
        <v>4.2359882005899703</v>
      </c>
      <c r="W18" s="1">
        <v>0.79738562091503262</v>
      </c>
      <c r="X18" s="1">
        <v>0.14237288135593221</v>
      </c>
      <c r="Y18" s="1">
        <v>0.57345971563981046</v>
      </c>
      <c r="Z18" s="1">
        <v>2.9855595667870034</v>
      </c>
      <c r="AA18" s="1">
        <v>6.9302325581395348</v>
      </c>
      <c r="AB18" s="1">
        <v>3.101694915254237</v>
      </c>
      <c r="AC18" s="1">
        <v>4.7165354330708666</v>
      </c>
      <c r="AD18" s="1">
        <v>2.1672597864768681</v>
      </c>
      <c r="AE18" s="1">
        <v>3.8290322580645157</v>
      </c>
      <c r="AF18">
        <v>7.6103448275862062</v>
      </c>
      <c r="AG18">
        <v>5.5506849315068498</v>
      </c>
      <c r="AH18">
        <v>3.7450980392156863</v>
      </c>
      <c r="AI18">
        <v>1.322072072072072</v>
      </c>
      <c r="AJ18">
        <v>1.8792756539235413</v>
      </c>
      <c r="AK18">
        <v>6.0707547169811313</v>
      </c>
      <c r="AL18">
        <v>4.483076923076923</v>
      </c>
      <c r="AM18">
        <v>7.1082251082251089</v>
      </c>
      <c r="AN18">
        <v>6.226506024096385</v>
      </c>
      <c r="AO18">
        <v>8.8571428571428577</v>
      </c>
      <c r="AP18">
        <v>2.5502793296089385</v>
      </c>
      <c r="AQ18">
        <v>10.219424460431656</v>
      </c>
      <c r="AR18">
        <v>5.6568047337278111</v>
      </c>
      <c r="AS18">
        <v>12.026315789473683</v>
      </c>
      <c r="AT18">
        <v>5.3252595155709352</v>
      </c>
      <c r="AU18" s="1">
        <v>1.7506702412868633</v>
      </c>
      <c r="AV18" s="1">
        <v>9.8532934131736525</v>
      </c>
      <c r="AW18" s="1">
        <v>6.3602015113350134</v>
      </c>
      <c r="AX18" s="1">
        <v>5.4505813953488369</v>
      </c>
      <c r="AY18" s="1">
        <v>4.0522088353413661</v>
      </c>
      <c r="AZ18" s="1">
        <v>4.6691176470588234</v>
      </c>
      <c r="BA18" s="1">
        <v>7.0110192837465561</v>
      </c>
      <c r="BB18" s="1">
        <v>0</v>
      </c>
      <c r="BC18" s="1">
        <v>5.3088803088803092</v>
      </c>
      <c r="BD18" s="1">
        <v>6.1487603305785132</v>
      </c>
      <c r="BE18" s="1">
        <v>2.5509138381201044</v>
      </c>
      <c r="BF18" s="1">
        <v>2.9246376811594201</v>
      </c>
      <c r="BG18" s="1">
        <v>1.3106796116504855</v>
      </c>
      <c r="BH18" s="1">
        <v>1.8280701754385964</v>
      </c>
      <c r="BI18" s="1">
        <v>5.9160839160839167</v>
      </c>
      <c r="BJ18">
        <v>3.2250530785562632</v>
      </c>
      <c r="BK18">
        <v>5.1959459459459465</v>
      </c>
      <c r="BL18">
        <v>0.19628099173553717</v>
      </c>
      <c r="BM18">
        <v>1.7796610169491525</v>
      </c>
      <c r="BN18">
        <v>1.0845070422535212</v>
      </c>
      <c r="BO18">
        <v>0.83135391923990498</v>
      </c>
      <c r="BP18">
        <v>0.10120481927710842</v>
      </c>
      <c r="BQ18">
        <v>0.29051987767584098</v>
      </c>
      <c r="BR18">
        <v>4.9333333333333336</v>
      </c>
      <c r="BS18">
        <v>2.3721804511278197</v>
      </c>
      <c r="BT18">
        <v>0.67692307692307696</v>
      </c>
      <c r="BU18">
        <v>0.4038834951456311</v>
      </c>
      <c r="BV18">
        <v>0</v>
      </c>
      <c r="BW18">
        <v>9.9422222222222221</v>
      </c>
      <c r="BX18">
        <v>3.9245283018867929</v>
      </c>
      <c r="BY18" s="1">
        <v>0.89417989417989407</v>
      </c>
      <c r="BZ18" s="1">
        <v>3.7611111111111111</v>
      </c>
      <c r="CA18" s="1">
        <v>0.10909090909090909</v>
      </c>
      <c r="CB18" s="1">
        <v>0.58201058201058198</v>
      </c>
      <c r="CC18" s="1">
        <v>1.225071225071225</v>
      </c>
      <c r="CD18" s="1">
        <v>1.0120772946859906</v>
      </c>
      <c r="CE18" s="1">
        <v>0.69795918367346932</v>
      </c>
      <c r="CF18" s="1">
        <v>5.8995433789954337</v>
      </c>
      <c r="CG18" s="1">
        <v>0</v>
      </c>
      <c r="CH18" s="1">
        <v>0.91881918819188202</v>
      </c>
      <c r="CI18" s="1">
        <v>0.67</v>
      </c>
      <c r="CJ18" s="1">
        <v>0.93195266272189348</v>
      </c>
      <c r="CK18" s="1">
        <v>9.1381074168797944</v>
      </c>
    </row>
    <row r="19" spans="2:89" x14ac:dyDescent="0.25">
      <c r="B19" t="s">
        <v>23</v>
      </c>
      <c r="C19">
        <v>0.74267100977198686</v>
      </c>
      <c r="D19">
        <v>0.71161048689138573</v>
      </c>
      <c r="E19">
        <v>0.93979933110367897</v>
      </c>
      <c r="F19">
        <v>0.73129251700680276</v>
      </c>
      <c r="G19">
        <v>0.6074380165289256</v>
      </c>
      <c r="H19">
        <v>0.53749999999999998</v>
      </c>
      <c r="I19">
        <v>1.0103092783505154</v>
      </c>
      <c r="J19">
        <v>0.93333333333333335</v>
      </c>
      <c r="K19">
        <v>0.72147651006711411</v>
      </c>
      <c r="L19">
        <v>0.68367346938775519</v>
      </c>
      <c r="M19">
        <v>1.3204225352112675</v>
      </c>
      <c r="N19">
        <v>0.84645669291338577</v>
      </c>
      <c r="O19">
        <v>0.93137254901960775</v>
      </c>
      <c r="P19">
        <v>0.79016393442622956</v>
      </c>
      <c r="Q19">
        <v>0.62295081967213117</v>
      </c>
      <c r="R19" s="1">
        <v>0.86757990867579904</v>
      </c>
      <c r="S19" s="1">
        <v>0.63761467889908252</v>
      </c>
      <c r="T19" s="1">
        <v>0.878688524590164</v>
      </c>
      <c r="U19" s="1">
        <v>1.8564356435643565</v>
      </c>
      <c r="V19" s="1">
        <v>1.0265486725663717</v>
      </c>
      <c r="W19" s="1">
        <v>1.0032679738562091</v>
      </c>
      <c r="X19" s="1">
        <v>0.72881355932203395</v>
      </c>
      <c r="Y19" s="1">
        <v>1.14218009478673</v>
      </c>
      <c r="Z19" s="1">
        <v>1.0613718411552346</v>
      </c>
      <c r="AA19" s="1">
        <v>2.1827242524916945</v>
      </c>
      <c r="AB19" s="1">
        <v>0.84261501210653733</v>
      </c>
      <c r="AC19" s="1">
        <v>1.0551181102362206</v>
      </c>
      <c r="AD19" s="1">
        <v>1.3345195729537367</v>
      </c>
      <c r="AE19" s="1">
        <v>1.1225806451612903</v>
      </c>
      <c r="AF19">
        <v>2.1655172413793102</v>
      </c>
      <c r="AG19">
        <v>1.4082191780821918</v>
      </c>
      <c r="AH19">
        <v>1.6339869281045751</v>
      </c>
      <c r="AI19">
        <v>0.72297297297297292</v>
      </c>
      <c r="AJ19">
        <v>1.6740442655935615</v>
      </c>
      <c r="AK19">
        <v>1.8584905660377358</v>
      </c>
      <c r="AL19">
        <v>1.9323076923076923</v>
      </c>
      <c r="AM19">
        <v>2.1038961038961039</v>
      </c>
      <c r="AN19">
        <v>1.2048192771084336</v>
      </c>
      <c r="AO19">
        <v>1.8435374149659864</v>
      </c>
      <c r="AP19">
        <v>0</v>
      </c>
      <c r="AQ19">
        <v>4.4028776978417268</v>
      </c>
      <c r="AR19">
        <v>5.3609467455621305</v>
      </c>
      <c r="AS19">
        <v>1.8859649122807014</v>
      </c>
      <c r="AT19">
        <v>1.6332179930795849</v>
      </c>
      <c r="AU19" s="1">
        <v>1.190348525469169</v>
      </c>
      <c r="AV19" s="1">
        <v>1.2874251497005988</v>
      </c>
      <c r="AW19" s="1">
        <v>1.3652392947103276</v>
      </c>
      <c r="AX19" s="1">
        <v>2.851744186046512</v>
      </c>
      <c r="AY19" s="1">
        <v>0.96787148594377526</v>
      </c>
      <c r="AZ19" s="1">
        <v>1.6789215686274508</v>
      </c>
      <c r="BA19" s="1">
        <v>0.88429752066115708</v>
      </c>
      <c r="BB19" s="1">
        <v>0</v>
      </c>
      <c r="BC19" s="1">
        <v>1.9845559845559846</v>
      </c>
      <c r="BD19" s="1">
        <v>2.0082644628099175</v>
      </c>
      <c r="BE19" s="1">
        <v>1.0522193211488251</v>
      </c>
      <c r="BF19" s="1">
        <v>1.327536231884058</v>
      </c>
      <c r="BG19" s="1">
        <v>0.46796116504854379</v>
      </c>
      <c r="BH19" s="1">
        <v>2.1017543859649122</v>
      </c>
      <c r="BI19" s="1">
        <v>1.6013986013986015</v>
      </c>
      <c r="BJ19">
        <v>1.8280254777070062</v>
      </c>
      <c r="BK19">
        <v>1.9628378378378377</v>
      </c>
      <c r="BL19">
        <v>0.58057851239669422</v>
      </c>
      <c r="BM19">
        <v>1.8135593220338984</v>
      </c>
      <c r="BN19">
        <v>0.9802816901408451</v>
      </c>
      <c r="BO19">
        <v>1.2541567695961997</v>
      </c>
      <c r="BP19">
        <v>0.580722891566265</v>
      </c>
      <c r="BQ19">
        <v>0.58103975535168195</v>
      </c>
      <c r="BR19">
        <v>1.3649122807017544</v>
      </c>
      <c r="BS19">
        <v>0.90601503759398516</v>
      </c>
      <c r="BT19">
        <v>1.1538461538461537</v>
      </c>
      <c r="BU19">
        <v>0.72815533980582536</v>
      </c>
      <c r="BV19">
        <v>0.391156462585034</v>
      </c>
      <c r="BW19">
        <v>1.4266666666666667</v>
      </c>
      <c r="BX19">
        <v>1.2113207547169811</v>
      </c>
      <c r="BY19" s="1">
        <v>0.63756613756613756</v>
      </c>
      <c r="BZ19" s="1">
        <v>0.74444444444444458</v>
      </c>
      <c r="CA19" s="1">
        <v>0.55844155844155841</v>
      </c>
      <c r="CB19" s="1">
        <v>0.56878306878306872</v>
      </c>
      <c r="CC19" s="1">
        <v>0.68660968660968669</v>
      </c>
      <c r="CD19" s="1">
        <v>0.24879227053140099</v>
      </c>
      <c r="CE19" s="1">
        <v>0.93061224489795902</v>
      </c>
      <c r="CF19" s="1">
        <v>0.73287671232876717</v>
      </c>
      <c r="CG19" s="1">
        <v>0.32763532763532766</v>
      </c>
      <c r="CH19" s="1">
        <v>0.2121771217712177</v>
      </c>
      <c r="CI19" s="1">
        <v>0.22750000000000001</v>
      </c>
      <c r="CJ19" s="1">
        <v>0.79289940828402372</v>
      </c>
      <c r="CK19" s="1">
        <v>0.95907928388746799</v>
      </c>
    </row>
    <row r="20" spans="2:89" x14ac:dyDescent="0.25">
      <c r="B20" t="s">
        <v>24</v>
      </c>
      <c r="C20">
        <v>0.37133550488599343</v>
      </c>
      <c r="D20">
        <v>0.2808988764044944</v>
      </c>
      <c r="E20">
        <v>0.27424749163879597</v>
      </c>
      <c r="F20">
        <v>0.30612244897959184</v>
      </c>
      <c r="G20">
        <v>0.21900826446280994</v>
      </c>
      <c r="H20">
        <v>0.11</v>
      </c>
      <c r="I20">
        <v>7.560137457044673E-2</v>
      </c>
      <c r="J20">
        <v>0.15238095238095237</v>
      </c>
      <c r="K20">
        <v>5.0335570469798654E-2</v>
      </c>
      <c r="L20">
        <v>0.27040816326530615</v>
      </c>
      <c r="M20">
        <v>0.34507042253521125</v>
      </c>
      <c r="N20">
        <v>0.23228346456692911</v>
      </c>
      <c r="O20">
        <v>0.44117647058823528</v>
      </c>
      <c r="P20">
        <v>9.5081967213114751E-2</v>
      </c>
      <c r="Q20">
        <v>4.9180327868852458E-2</v>
      </c>
      <c r="R20" s="1">
        <v>0.48401826484018268</v>
      </c>
      <c r="S20" s="1">
        <v>0</v>
      </c>
      <c r="T20" s="1">
        <v>0.63606557377049178</v>
      </c>
      <c r="U20" s="1">
        <v>0.67821782178217827</v>
      </c>
      <c r="V20" s="1">
        <v>0.40412979351032452</v>
      </c>
      <c r="W20" s="1">
        <v>0.3202614379084967</v>
      </c>
      <c r="X20" s="1">
        <v>0.12542372881355934</v>
      </c>
      <c r="Y20" s="1">
        <v>0.13744075829383887</v>
      </c>
      <c r="Z20" s="1">
        <v>0.49458483754512639</v>
      </c>
      <c r="AA20" s="1">
        <v>0.29900332225913623</v>
      </c>
      <c r="AB20" s="1">
        <v>0.38983050847457623</v>
      </c>
      <c r="AC20" s="1">
        <v>0.51181102362204722</v>
      </c>
      <c r="AD20" s="1">
        <v>0.46263345195729538</v>
      </c>
      <c r="AE20" s="1">
        <v>0.29032258064516131</v>
      </c>
      <c r="AF20">
        <v>0.64137931034482754</v>
      </c>
      <c r="AG20">
        <v>0.61917808219178083</v>
      </c>
      <c r="AH20">
        <v>0.39869281045751631</v>
      </c>
      <c r="AI20">
        <v>0.30855855855855857</v>
      </c>
      <c r="AJ20">
        <v>0.63782696177062381</v>
      </c>
      <c r="AK20">
        <v>0.51415094339622647</v>
      </c>
      <c r="AL20">
        <v>0.97538461538461541</v>
      </c>
      <c r="AM20">
        <v>0.59307359307359309</v>
      </c>
      <c r="AN20">
        <v>0.21686746987951805</v>
      </c>
      <c r="AO20">
        <v>0.25510204081632654</v>
      </c>
      <c r="AP20">
        <v>0</v>
      </c>
      <c r="AQ20">
        <v>0.41007194244604317</v>
      </c>
      <c r="AR20">
        <v>3.5266272189349115</v>
      </c>
      <c r="AS20">
        <v>0.49999999999999989</v>
      </c>
      <c r="AT20">
        <v>5.1903114186851215E-2</v>
      </c>
      <c r="AU20" s="1">
        <v>0.34852546916890081</v>
      </c>
      <c r="AV20" s="1">
        <v>0.17664670658682635</v>
      </c>
      <c r="AW20" s="1">
        <v>0.20654911838790932</v>
      </c>
      <c r="AX20" s="1">
        <v>1.0436046511627908</v>
      </c>
      <c r="AY20" s="1">
        <v>0.36144578313253017</v>
      </c>
      <c r="AZ20" s="1">
        <v>0.65441176470588236</v>
      </c>
      <c r="BA20" s="1">
        <v>0.33608815426997246</v>
      </c>
      <c r="BB20" s="1">
        <v>0</v>
      </c>
      <c r="BC20" s="1">
        <v>0.59073359073359077</v>
      </c>
      <c r="BD20" s="1">
        <v>0.53719008264462809</v>
      </c>
      <c r="BE20" s="1">
        <v>0.195822454308094</v>
      </c>
      <c r="BF20" s="1">
        <v>8.4057971014492749E-2</v>
      </c>
      <c r="BG20" s="1">
        <v>0.29708737864077672</v>
      </c>
      <c r="BH20" s="1">
        <v>0.45614035087719296</v>
      </c>
      <c r="BI20" s="1">
        <v>0.56293706293706303</v>
      </c>
      <c r="BJ20">
        <v>0.69002123142250527</v>
      </c>
      <c r="BK20">
        <v>0.56418918918918914</v>
      </c>
      <c r="BL20">
        <v>0.28305785123966948</v>
      </c>
      <c r="BM20">
        <v>0.16384180790960451</v>
      </c>
      <c r="BN20">
        <v>0.23098591549295774</v>
      </c>
      <c r="BO20">
        <v>0.51781472684085517</v>
      </c>
      <c r="BP20">
        <v>0.21686746987951805</v>
      </c>
      <c r="BQ20">
        <v>0.37308868501529052</v>
      </c>
      <c r="BR20">
        <v>0.92280701754385963</v>
      </c>
      <c r="BS20">
        <v>0.1954887218045113</v>
      </c>
      <c r="BT20">
        <v>0.35076923076923072</v>
      </c>
      <c r="BU20">
        <v>0.33786407766990295</v>
      </c>
      <c r="BV20">
        <v>5.1020408163265307E-2</v>
      </c>
      <c r="BW20">
        <v>0.23111111111111113</v>
      </c>
      <c r="BX20">
        <v>0.19622641509433963</v>
      </c>
      <c r="BY20" s="1">
        <v>0.33333333333333331</v>
      </c>
      <c r="BZ20" s="1">
        <v>0.35000000000000003</v>
      </c>
      <c r="CA20" s="1">
        <v>0.13506493506493505</v>
      </c>
      <c r="CB20" s="1">
        <v>0.1164021164021164</v>
      </c>
      <c r="CC20" s="1">
        <v>8.2621082621082614E-2</v>
      </c>
      <c r="CD20" s="1">
        <v>9.9033816425120769E-2</v>
      </c>
      <c r="CE20" s="1">
        <v>0.53061224489795922</v>
      </c>
      <c r="CF20" s="1">
        <v>0.31278538812785389</v>
      </c>
      <c r="CG20" s="1">
        <v>0.12535612535612536</v>
      </c>
      <c r="CH20" s="1">
        <v>0.10332103321033212</v>
      </c>
      <c r="CI20" s="1">
        <v>0.41249999999999998</v>
      </c>
      <c r="CJ20" s="1">
        <v>0.10946745562130178</v>
      </c>
      <c r="CK20" s="1">
        <v>0.1918158567774936</v>
      </c>
    </row>
    <row r="21" spans="2:89" x14ac:dyDescent="0.25">
      <c r="B21" t="s">
        <v>25</v>
      </c>
      <c r="C21">
        <v>0.39739413680781754</v>
      </c>
      <c r="D21">
        <v>0.15355805243445692</v>
      </c>
      <c r="E21">
        <v>0.7993311036789299</v>
      </c>
      <c r="F21">
        <v>0.41496598639455784</v>
      </c>
      <c r="G21">
        <v>0.493801652892562</v>
      </c>
      <c r="H21">
        <v>0.10249999999999999</v>
      </c>
      <c r="I21">
        <v>0.41924398625429549</v>
      </c>
      <c r="J21">
        <v>0.63492063492063489</v>
      </c>
      <c r="K21">
        <v>0.93288590604026844</v>
      </c>
      <c r="L21">
        <v>1.2040816326530612</v>
      </c>
      <c r="M21">
        <v>1.7957746478873235</v>
      </c>
      <c r="N21">
        <v>0.32283464566929132</v>
      </c>
      <c r="O21">
        <v>0</v>
      </c>
      <c r="P21">
        <v>0.13442622950819672</v>
      </c>
      <c r="Q21">
        <v>0.13442622950819672</v>
      </c>
      <c r="R21" s="1">
        <v>1.182648401826484</v>
      </c>
      <c r="S21" s="1">
        <v>0.18807339449541283</v>
      </c>
      <c r="T21" s="1">
        <v>2.4229508196721312</v>
      </c>
      <c r="U21" s="1">
        <v>1.5693069306930694</v>
      </c>
      <c r="V21" s="1">
        <v>1.1651917404129795</v>
      </c>
      <c r="W21" s="1">
        <v>0.39869281045751631</v>
      </c>
      <c r="X21" s="1">
        <v>0.54576271186440684</v>
      </c>
      <c r="Y21" s="1">
        <v>1.1327014218009479</v>
      </c>
      <c r="Z21" s="1">
        <v>1.3537906137184115</v>
      </c>
      <c r="AA21" s="1">
        <v>2.6445182724252492</v>
      </c>
      <c r="AB21" s="1">
        <v>1.3292978208232444</v>
      </c>
      <c r="AC21" s="1">
        <v>2.4606299212598426</v>
      </c>
      <c r="AD21" s="1">
        <v>1.1281138790035588</v>
      </c>
      <c r="AE21" s="1">
        <v>1.3967741935483871</v>
      </c>
      <c r="AF21">
        <v>3.4655172413793101</v>
      </c>
      <c r="AG21">
        <v>4.9095890410958907</v>
      </c>
      <c r="AH21">
        <v>1.5424836601307188</v>
      </c>
      <c r="AI21">
        <v>0.62612612612612606</v>
      </c>
      <c r="AJ21">
        <v>5.6579476861167004</v>
      </c>
      <c r="AK21">
        <v>3.257075471698113</v>
      </c>
      <c r="AL21">
        <v>8.596923076923078</v>
      </c>
      <c r="AM21">
        <v>3.1991341991341988</v>
      </c>
      <c r="AN21">
        <v>1.8722891566265059</v>
      </c>
      <c r="AO21">
        <v>3.6734693877551026</v>
      </c>
      <c r="AP21">
        <v>1.2094972067039107</v>
      </c>
      <c r="AQ21">
        <v>3.3417266187050361</v>
      </c>
      <c r="AR21">
        <v>36.627218934911241</v>
      </c>
      <c r="AS21">
        <v>3.4912280701754383</v>
      </c>
      <c r="AT21">
        <v>1.4982698961937717</v>
      </c>
      <c r="AU21" s="1">
        <v>2.0831099195710454</v>
      </c>
      <c r="AV21" s="1">
        <v>3.0089820359281441</v>
      </c>
      <c r="AW21" s="1">
        <v>1.8614609571788414</v>
      </c>
      <c r="AX21" s="1">
        <v>7.4767441860465116</v>
      </c>
      <c r="AY21" s="1">
        <v>4.6425702811244989</v>
      </c>
      <c r="AZ21" s="1">
        <v>4.6666666666666661</v>
      </c>
      <c r="BA21" s="1">
        <v>0.9807162534435262</v>
      </c>
      <c r="BB21" s="1">
        <v>0</v>
      </c>
      <c r="BC21" s="1">
        <v>2.5598455598455598</v>
      </c>
      <c r="BD21" s="1">
        <v>2.7396694214876032</v>
      </c>
      <c r="BE21" s="1">
        <v>2.2271540469973887</v>
      </c>
      <c r="BF21" s="1">
        <v>1.7014492753623187</v>
      </c>
      <c r="BG21" s="1">
        <v>0.31262135922330103</v>
      </c>
      <c r="BH21" s="1">
        <v>1.3157894736842104</v>
      </c>
      <c r="BI21" s="1">
        <v>4.6328671328671334</v>
      </c>
      <c r="BJ21">
        <v>4.3588110403397033</v>
      </c>
      <c r="BK21">
        <v>3.0591216216216215</v>
      </c>
      <c r="BL21">
        <v>0.25206611570247933</v>
      </c>
      <c r="BM21">
        <v>2.6666666666666665</v>
      </c>
      <c r="BN21">
        <v>0.56338028169014087</v>
      </c>
      <c r="BO21">
        <v>2.2969121140142517</v>
      </c>
      <c r="BP21">
        <v>0.1975903614457831</v>
      </c>
      <c r="BQ21">
        <v>0.25076452599388377</v>
      </c>
      <c r="BR21">
        <v>2.7263157894736838</v>
      </c>
      <c r="BS21">
        <v>1.4849624060150379</v>
      </c>
      <c r="BT21">
        <v>3.7876923076923079</v>
      </c>
      <c r="BU21">
        <v>0.91650485436893203</v>
      </c>
      <c r="BV21">
        <v>0</v>
      </c>
      <c r="BW21">
        <v>2.2666666666666666</v>
      </c>
      <c r="BX21">
        <v>1.0490566037735849</v>
      </c>
      <c r="BY21" s="1">
        <v>0</v>
      </c>
      <c r="BZ21" s="1">
        <v>1.5250000000000001</v>
      </c>
      <c r="CA21" s="1">
        <v>0.21298701298701297</v>
      </c>
      <c r="CB21" s="1">
        <v>0.10846560846560845</v>
      </c>
      <c r="CC21" s="1">
        <v>0.3475783475783476</v>
      </c>
      <c r="CD21" s="1">
        <v>1.9685990338164254</v>
      </c>
      <c r="CE21" s="1">
        <v>0.33469387755102037</v>
      </c>
      <c r="CF21" s="1">
        <v>0.90182648401826493</v>
      </c>
      <c r="CG21" s="1">
        <v>0</v>
      </c>
      <c r="CH21" s="1">
        <v>0.69188191881918815</v>
      </c>
      <c r="CI21" s="1">
        <v>0</v>
      </c>
      <c r="CJ21" s="1">
        <v>0.8224852071005917</v>
      </c>
      <c r="CK21" s="1">
        <v>1.7928388746803068</v>
      </c>
    </row>
    <row r="22" spans="2:89" x14ac:dyDescent="0.25">
      <c r="B22" t="s">
        <v>26</v>
      </c>
      <c r="C22">
        <v>0.5472312703583061</v>
      </c>
      <c r="D22">
        <v>0.68164794007490637</v>
      </c>
      <c r="E22">
        <v>0.87959866220735794</v>
      </c>
      <c r="F22">
        <v>0.65986394557823125</v>
      </c>
      <c r="G22">
        <v>0.63429752066115697</v>
      </c>
      <c r="H22">
        <v>0.62</v>
      </c>
      <c r="I22">
        <v>0.40206185567010305</v>
      </c>
      <c r="J22">
        <v>0.50476190476190486</v>
      </c>
      <c r="K22">
        <v>0.59395973154362414</v>
      </c>
      <c r="L22">
        <v>1.3163265306122449</v>
      </c>
      <c r="M22">
        <v>1.242957746478873</v>
      </c>
      <c r="N22">
        <v>0.62598425196850394</v>
      </c>
      <c r="O22">
        <v>0.40196078431372545</v>
      </c>
      <c r="P22">
        <v>0.46229508196721314</v>
      </c>
      <c r="Q22">
        <v>0.60327868852459021</v>
      </c>
      <c r="R22" s="1">
        <v>1.9178082191780823</v>
      </c>
      <c r="S22" s="1">
        <v>3.1146788990825685</v>
      </c>
      <c r="T22" s="1">
        <v>5.3475409836065575</v>
      </c>
      <c r="U22" s="1">
        <v>4.5792079207920793</v>
      </c>
      <c r="V22" s="1">
        <v>3.0825958702064895</v>
      </c>
      <c r="W22" s="1">
        <v>1.3725490196078431</v>
      </c>
      <c r="X22" s="1">
        <v>1.2813559322033898</v>
      </c>
      <c r="Y22" s="1">
        <v>2.0663507109004744</v>
      </c>
      <c r="Z22" s="1">
        <v>4.7039711191335734</v>
      </c>
      <c r="AA22" s="1">
        <v>3.4119601328903655</v>
      </c>
      <c r="AB22" s="1">
        <v>9.476997578692492</v>
      </c>
      <c r="AC22" s="1">
        <v>2.0944881889763782</v>
      </c>
      <c r="AD22" s="1">
        <v>2.2953736654804269</v>
      </c>
      <c r="AE22" s="1">
        <v>1.767741935483871</v>
      </c>
      <c r="AF22">
        <v>3.8241379310344823</v>
      </c>
      <c r="AG22">
        <v>3.9260273972602739</v>
      </c>
      <c r="AH22">
        <v>3.9967320261437909</v>
      </c>
      <c r="AI22">
        <v>2.894144144144144</v>
      </c>
      <c r="AJ22">
        <v>157.13078470824951</v>
      </c>
      <c r="AK22">
        <v>19.820754716981131</v>
      </c>
      <c r="AL22">
        <v>28.950769230769232</v>
      </c>
      <c r="AM22">
        <v>4.6277056277056277</v>
      </c>
      <c r="AN22">
        <v>2.4096385542168672</v>
      </c>
      <c r="AO22">
        <v>9.1428571428571423</v>
      </c>
      <c r="AP22">
        <v>0</v>
      </c>
      <c r="AQ22">
        <v>5.0719424460431659</v>
      </c>
      <c r="AR22">
        <v>197.07100591715977</v>
      </c>
      <c r="AS22">
        <v>2.5482456140350873</v>
      </c>
      <c r="AT22">
        <v>1.8027681660899655</v>
      </c>
      <c r="AU22" s="1">
        <v>9.8203753351206444</v>
      </c>
      <c r="AV22" s="1">
        <v>2.6646706586826348</v>
      </c>
      <c r="AW22" s="1">
        <v>2.8387909319899247</v>
      </c>
      <c r="AX22" s="1">
        <v>65.130813953488371</v>
      </c>
      <c r="AY22" s="1">
        <v>2.8514056224899598</v>
      </c>
      <c r="AZ22" s="1">
        <v>18.120098039215687</v>
      </c>
      <c r="BA22" s="1">
        <v>2.0192837465564737</v>
      </c>
      <c r="BB22" s="1">
        <v>0</v>
      </c>
      <c r="BC22" s="1">
        <v>4.1274131274131278</v>
      </c>
      <c r="BD22" s="1">
        <v>2.1528925619834713</v>
      </c>
      <c r="BE22" s="1">
        <v>14.874673629242819</v>
      </c>
      <c r="BF22" s="1">
        <v>0</v>
      </c>
      <c r="BG22" s="1">
        <v>1.1980582524271846</v>
      </c>
      <c r="BH22" s="1">
        <v>2.4912280701754383</v>
      </c>
      <c r="BI22" s="1">
        <v>14.797202797202798</v>
      </c>
      <c r="BJ22">
        <v>39.08492569002123</v>
      </c>
      <c r="BK22">
        <v>32.45945945945946</v>
      </c>
      <c r="BL22">
        <v>1.7066115702479339</v>
      </c>
      <c r="BM22">
        <v>4.6666666666666661</v>
      </c>
      <c r="BN22">
        <v>2.4563380281690144</v>
      </c>
      <c r="BO22">
        <v>16.36104513064133</v>
      </c>
      <c r="BP22">
        <v>2.1590361445783133</v>
      </c>
      <c r="BQ22">
        <v>1.2201834862385321</v>
      </c>
      <c r="BR22">
        <v>16.375438596491229</v>
      </c>
      <c r="BS22">
        <v>2.7556390977443614</v>
      </c>
      <c r="BT22">
        <v>7.7969230769230773</v>
      </c>
      <c r="BU22">
        <v>2.6640776699029129</v>
      </c>
      <c r="BV22">
        <v>0.58163265306122447</v>
      </c>
      <c r="BW22">
        <v>3.8266666666666662</v>
      </c>
      <c r="BX22">
        <v>4.8716981132075476</v>
      </c>
      <c r="BY22" s="1">
        <v>0.87830687830687826</v>
      </c>
      <c r="BZ22" s="1">
        <v>2.1805555555555558</v>
      </c>
      <c r="CA22" s="1">
        <v>1.3688311688311687</v>
      </c>
      <c r="CB22" s="1">
        <v>2.4179894179894181</v>
      </c>
      <c r="CC22" s="1">
        <v>2.0968660968660973</v>
      </c>
      <c r="CD22" s="1">
        <v>3.2922705314009666</v>
      </c>
      <c r="CE22" s="1">
        <v>1.9387755102040816</v>
      </c>
      <c r="CF22" s="1">
        <v>2.1735159817351599</v>
      </c>
      <c r="CG22" s="1">
        <v>0.47293447293447294</v>
      </c>
      <c r="CH22" s="1">
        <v>1.2952029520295203</v>
      </c>
      <c r="CI22" s="1">
        <v>1.4524999999999999</v>
      </c>
      <c r="CJ22" s="1">
        <v>2.7189349112426036</v>
      </c>
      <c r="CK22" s="1">
        <v>3.1023017902813299</v>
      </c>
    </row>
    <row r="23" spans="2:89" x14ac:dyDescent="0.25">
      <c r="B23" t="s">
        <v>27</v>
      </c>
      <c r="C23">
        <v>3.5244299674267099</v>
      </c>
      <c r="D23">
        <v>2.7752808988764048</v>
      </c>
      <c r="E23">
        <v>4.3812709030100336</v>
      </c>
      <c r="F23">
        <v>3.214285714285714</v>
      </c>
      <c r="G23">
        <v>2.8966942148760331</v>
      </c>
      <c r="H23">
        <v>2.08</v>
      </c>
      <c r="I23">
        <v>2.1546391752577319</v>
      </c>
      <c r="J23">
        <v>3.7238095238095239</v>
      </c>
      <c r="K23">
        <v>3.4026845637583896</v>
      </c>
      <c r="L23">
        <v>7.0841836734693882</v>
      </c>
      <c r="M23">
        <v>6.788732394366197</v>
      </c>
      <c r="N23">
        <v>2.6456692913385824</v>
      </c>
      <c r="O23">
        <v>2.4068627450980391</v>
      </c>
      <c r="P23">
        <v>1.9081967213114757</v>
      </c>
      <c r="Q23">
        <v>1.6098360655737707</v>
      </c>
      <c r="R23" s="1">
        <v>4.1095890410958908</v>
      </c>
      <c r="S23" s="1">
        <v>0.49082568807339449</v>
      </c>
      <c r="T23" s="1">
        <v>4.1475409836065573</v>
      </c>
      <c r="U23" s="1">
        <v>6.7128712871287126</v>
      </c>
      <c r="V23" s="1">
        <v>7.9882005899705009</v>
      </c>
      <c r="W23" s="1">
        <v>3.9836601307189539</v>
      </c>
      <c r="X23" s="1">
        <v>2.6644067796610171</v>
      </c>
      <c r="Y23" s="1">
        <v>3.9431279620853084</v>
      </c>
      <c r="Z23" s="1">
        <v>6.9602888086642603</v>
      </c>
      <c r="AA23" s="1">
        <v>11.521594684385382</v>
      </c>
      <c r="AB23" s="1">
        <v>5.7239709443099267</v>
      </c>
      <c r="AC23" s="1">
        <v>7.8622047244094482</v>
      </c>
      <c r="AD23" s="1">
        <v>5.4768683274021353</v>
      </c>
      <c r="AE23" s="1">
        <v>5.9225806451612897</v>
      </c>
      <c r="AF23">
        <v>12.59655172413793</v>
      </c>
      <c r="AG23">
        <v>8.8712328767123303</v>
      </c>
      <c r="AH23">
        <v>7.4248366013071889</v>
      </c>
      <c r="AI23">
        <v>3.826576576576576</v>
      </c>
      <c r="AJ23">
        <v>5.9597585513078473</v>
      </c>
      <c r="AK23">
        <v>9.1603773584905657</v>
      </c>
      <c r="AL23">
        <v>14.36923076923077</v>
      </c>
      <c r="AM23">
        <v>15.415584415584416</v>
      </c>
      <c r="AN23">
        <v>8.1349397590361434</v>
      </c>
      <c r="AO23">
        <v>12.112244897959183</v>
      </c>
      <c r="AP23">
        <v>0</v>
      </c>
      <c r="AQ23">
        <v>12.640287769784173</v>
      </c>
      <c r="AR23">
        <v>27.355029585798814</v>
      </c>
      <c r="AS23">
        <v>15.618421052631577</v>
      </c>
      <c r="AT23">
        <v>8.6574394463667836</v>
      </c>
      <c r="AU23" s="1">
        <v>5.1072386058981234</v>
      </c>
      <c r="AV23" s="1">
        <v>12.871257485029941</v>
      </c>
      <c r="AW23" s="1">
        <v>9.4911838790931995</v>
      </c>
      <c r="AX23" s="1">
        <v>10.752906976744187</v>
      </c>
      <c r="AY23" s="1">
        <v>11.152610441767068</v>
      </c>
      <c r="AZ23" s="1">
        <v>12.240196078431373</v>
      </c>
      <c r="BA23" s="1">
        <v>9.7438016528925608</v>
      </c>
      <c r="BB23" s="1">
        <v>1.1124031007751938</v>
      </c>
      <c r="BC23" s="1">
        <v>10.722007722007723</v>
      </c>
      <c r="BD23" s="1">
        <v>10.338842975206612</v>
      </c>
      <c r="BE23" s="1">
        <v>6.6527415143603132</v>
      </c>
      <c r="BF23" s="1">
        <v>3.6666666666666665</v>
      </c>
      <c r="BG23" s="1">
        <v>2.9883495145631072</v>
      </c>
      <c r="BH23" s="1">
        <v>6.764912280701755</v>
      </c>
      <c r="BI23" s="1">
        <v>9.3881118881118883</v>
      </c>
      <c r="BJ23">
        <v>6.8259023354564752</v>
      </c>
      <c r="BK23">
        <v>5.8969594594594588</v>
      </c>
      <c r="BL23">
        <v>2.4235537190082646</v>
      </c>
      <c r="BM23">
        <v>5.2146892655367232</v>
      </c>
      <c r="BN23">
        <v>3.4338028169014083</v>
      </c>
      <c r="BO23">
        <v>2.1377672209026128</v>
      </c>
      <c r="BP23">
        <v>2.2771084337349392</v>
      </c>
      <c r="BQ23">
        <v>2.3333333333333335</v>
      </c>
      <c r="BR23">
        <v>7.6491228070175437</v>
      </c>
      <c r="BS23">
        <v>5.7857142857142865</v>
      </c>
      <c r="BT23">
        <v>3.9630769230769234</v>
      </c>
      <c r="BU23">
        <v>3.6097087378640782</v>
      </c>
      <c r="BV23">
        <v>1.5918367346938775</v>
      </c>
      <c r="BW23">
        <v>11.12</v>
      </c>
      <c r="BX23">
        <v>6.6716981132075475</v>
      </c>
      <c r="BY23" s="1">
        <v>3.587301587301587</v>
      </c>
      <c r="BZ23" s="1">
        <v>6.0555555555555562</v>
      </c>
      <c r="CA23" s="1">
        <v>2.1012987012987012</v>
      </c>
      <c r="CB23" s="1">
        <v>2.0185185185185182</v>
      </c>
      <c r="CC23" s="1">
        <v>2.6923076923076921</v>
      </c>
      <c r="CD23" s="1">
        <v>2.3937198067632854</v>
      </c>
      <c r="CE23" s="1">
        <v>3.6734693877551017</v>
      </c>
      <c r="CF23" s="1">
        <v>8.3401826484018269</v>
      </c>
      <c r="CG23" s="1">
        <v>1.3988603988603989</v>
      </c>
      <c r="CH23" s="1">
        <v>3.8542435424354244</v>
      </c>
      <c r="CI23" s="1">
        <v>2.1349999999999998</v>
      </c>
      <c r="CJ23" s="1">
        <v>3.470414201183432</v>
      </c>
      <c r="CK23" s="1">
        <v>8.5166240409207159</v>
      </c>
    </row>
    <row r="24" spans="2:89" x14ac:dyDescent="0.25">
      <c r="B24" t="s">
        <v>28</v>
      </c>
      <c r="C24">
        <v>3.0618892508143323</v>
      </c>
      <c r="D24">
        <v>3.363295880149813</v>
      </c>
      <c r="E24">
        <v>4.5250836120401337</v>
      </c>
      <c r="F24">
        <v>4.8843537414965983</v>
      </c>
      <c r="G24">
        <v>2.7665289256198351</v>
      </c>
      <c r="H24">
        <v>3.16</v>
      </c>
      <c r="I24">
        <v>3.7491408934707904</v>
      </c>
      <c r="J24">
        <v>4.7968253968253967</v>
      </c>
      <c r="K24">
        <v>4.3087248322147653</v>
      </c>
      <c r="L24">
        <v>4.8520408163265305</v>
      </c>
      <c r="M24">
        <v>4.6197183098591541</v>
      </c>
      <c r="N24">
        <v>4.6771653543307092</v>
      </c>
      <c r="O24">
        <v>5.4852941176470589</v>
      </c>
      <c r="P24">
        <v>3.7606557377049183</v>
      </c>
      <c r="Q24">
        <v>2.9901639344262296</v>
      </c>
      <c r="R24" s="1">
        <v>4.4794520547945211</v>
      </c>
      <c r="S24" s="1">
        <v>1.1880733944954127</v>
      </c>
      <c r="T24" s="1">
        <v>5.2032786885245903</v>
      </c>
      <c r="U24" s="1">
        <v>7.7871287128712874</v>
      </c>
      <c r="V24" s="1">
        <v>5.4896755162241888</v>
      </c>
      <c r="W24" s="1">
        <v>4.6013071895424833</v>
      </c>
      <c r="X24" s="1">
        <v>3.7932203389830512</v>
      </c>
      <c r="Y24" s="1">
        <v>5.75829383886256</v>
      </c>
      <c r="Z24" s="1">
        <v>5.231046931407942</v>
      </c>
      <c r="AA24" s="1">
        <v>7.9136212624584727</v>
      </c>
      <c r="AB24" s="1">
        <v>4.8377723970944304</v>
      </c>
      <c r="AC24" s="1">
        <v>6.1653543307086611</v>
      </c>
      <c r="AD24" s="1">
        <v>5.4519572953736652</v>
      </c>
      <c r="AE24" s="1">
        <v>5.2967741935483872</v>
      </c>
      <c r="AF24">
        <v>8.7310344827586199</v>
      </c>
      <c r="AG24">
        <v>10.561643835616438</v>
      </c>
      <c r="AH24">
        <v>5.4084967320261441</v>
      </c>
      <c r="AI24">
        <v>3.4189189189189184</v>
      </c>
      <c r="AJ24">
        <v>7.9336016096579476</v>
      </c>
      <c r="AK24">
        <v>4.2759433962264151</v>
      </c>
      <c r="AL24">
        <v>15.895384615384614</v>
      </c>
      <c r="AM24">
        <v>8.887445887445887</v>
      </c>
      <c r="AN24">
        <v>7.1204819277108431</v>
      </c>
      <c r="AO24">
        <v>11.513605442176871</v>
      </c>
      <c r="AP24">
        <v>0.84078212290502785</v>
      </c>
      <c r="AQ24">
        <v>13.255395683453239</v>
      </c>
      <c r="AR24">
        <v>48.721893491124263</v>
      </c>
      <c r="AS24">
        <v>10.956140350877192</v>
      </c>
      <c r="AT24">
        <v>8.1211072664359865</v>
      </c>
      <c r="AU24" s="1">
        <v>8.0697050938337807</v>
      </c>
      <c r="AV24" s="1">
        <v>11.724550898203592</v>
      </c>
      <c r="AW24" s="1">
        <v>8.0100755667506309</v>
      </c>
      <c r="AX24" s="1">
        <v>9.6220930232558146</v>
      </c>
      <c r="AY24" s="1">
        <v>7.8032128514056227</v>
      </c>
      <c r="AZ24" s="1">
        <v>6.909313725490196</v>
      </c>
      <c r="BA24" s="1">
        <v>8.3663911845730041</v>
      </c>
      <c r="BB24" s="1">
        <v>0</v>
      </c>
      <c r="BC24" s="1">
        <v>6.3899613899613907</v>
      </c>
      <c r="BD24" s="1">
        <v>7.6322314049586772</v>
      </c>
      <c r="BE24" s="1">
        <v>5.7362924281984329</v>
      </c>
      <c r="BF24" s="1">
        <v>1.7623188405797101</v>
      </c>
      <c r="BG24" s="1">
        <v>3.0271844660194178</v>
      </c>
      <c r="BH24" s="1">
        <v>6.4350877192982452</v>
      </c>
      <c r="BI24" s="1">
        <v>7.9195804195804191</v>
      </c>
      <c r="BJ24">
        <v>6.6794055201698512</v>
      </c>
      <c r="BK24">
        <v>10.719594594594595</v>
      </c>
      <c r="BL24">
        <v>5.4566115702479339</v>
      </c>
      <c r="BM24">
        <v>6.8644067796610173</v>
      </c>
      <c r="BN24">
        <v>4.1605633802816904</v>
      </c>
      <c r="BO24">
        <v>3.1163895486935864</v>
      </c>
      <c r="BP24">
        <v>2.8963855421686744</v>
      </c>
      <c r="BQ24">
        <v>3.3363914373088686</v>
      </c>
      <c r="BR24">
        <v>6.3122807017543856</v>
      </c>
      <c r="BS24">
        <v>5.0864661654135341</v>
      </c>
      <c r="BT24">
        <v>4.6061538461538465</v>
      </c>
      <c r="BU24">
        <v>3.0951456310679615</v>
      </c>
      <c r="BV24">
        <v>5.0714285714285712</v>
      </c>
      <c r="BW24">
        <v>10.373333333333333</v>
      </c>
      <c r="BX24">
        <v>5.2113207547169811</v>
      </c>
      <c r="BY24" s="1">
        <v>3.9444444444444442</v>
      </c>
      <c r="BZ24" s="1">
        <v>5.0166666666666666</v>
      </c>
      <c r="CA24" s="1">
        <v>5.0311688311688316</v>
      </c>
      <c r="CB24" s="1">
        <v>4.052910052910053</v>
      </c>
      <c r="CC24" s="1">
        <v>3.6581196581196584</v>
      </c>
      <c r="CD24" s="1">
        <v>3.5676328502415462</v>
      </c>
      <c r="CE24" s="1">
        <v>3.918367346938775</v>
      </c>
      <c r="CF24" s="1">
        <v>6.1073059360730593</v>
      </c>
      <c r="CG24" s="1">
        <v>2.441595441595442</v>
      </c>
      <c r="CH24" s="1">
        <v>3.2822878228782288</v>
      </c>
      <c r="CI24" s="1">
        <v>2.85</v>
      </c>
      <c r="CJ24" s="1">
        <v>3.8816568047337277</v>
      </c>
      <c r="CK24" s="1">
        <v>10.242966751918157</v>
      </c>
    </row>
    <row r="25" spans="2:89" x14ac:dyDescent="0.25">
      <c r="B25" t="s">
        <v>29</v>
      </c>
      <c r="C25">
        <v>7.879478827361563</v>
      </c>
      <c r="D25">
        <v>7.4007490636704132</v>
      </c>
      <c r="E25">
        <v>8.3344481605351177</v>
      </c>
      <c r="F25">
        <v>24.370748299319729</v>
      </c>
      <c r="G25">
        <v>4.7520661157024797</v>
      </c>
      <c r="H25">
        <v>7.2275</v>
      </c>
      <c r="I25">
        <v>7.195876288659794</v>
      </c>
      <c r="J25">
        <v>4.3015873015873023</v>
      </c>
      <c r="K25">
        <v>6.0838926174496644</v>
      </c>
      <c r="L25">
        <v>5.7933673469387754</v>
      </c>
      <c r="M25">
        <v>9.6091549295774641</v>
      </c>
      <c r="N25">
        <v>3.3543307086614171</v>
      </c>
      <c r="O25">
        <v>7.7303921568627452</v>
      </c>
      <c r="P25">
        <v>4.7344262295081965</v>
      </c>
      <c r="Q25">
        <v>5.5081967213114762</v>
      </c>
      <c r="R25" s="1">
        <v>8.8173515981735164</v>
      </c>
      <c r="S25" s="1">
        <v>8.7889908256880727</v>
      </c>
      <c r="T25" s="1">
        <v>38.836065573770497</v>
      </c>
      <c r="U25" s="1">
        <v>23.06930693069307</v>
      </c>
      <c r="V25" s="1">
        <v>24.174041297935105</v>
      </c>
      <c r="W25" s="1">
        <v>9.5915032679738559</v>
      </c>
      <c r="X25" s="1">
        <v>8.2000000000000011</v>
      </c>
      <c r="Y25" s="1">
        <v>22.786729857819907</v>
      </c>
      <c r="Z25" s="1">
        <v>23.63176895306859</v>
      </c>
      <c r="AA25" s="1">
        <v>21.159468438538205</v>
      </c>
      <c r="AB25" s="1">
        <v>124.68280871670702</v>
      </c>
      <c r="AC25" s="1">
        <v>10.566929133858267</v>
      </c>
      <c r="AD25" s="1">
        <v>46.444839857651239</v>
      </c>
      <c r="AE25" s="1">
        <v>7.419354838709677</v>
      </c>
      <c r="AF25">
        <v>14.951724137931032</v>
      </c>
      <c r="AG25">
        <v>25.273972602739725</v>
      </c>
      <c r="AH25">
        <v>149.55882352941177</v>
      </c>
      <c r="AI25">
        <v>11.558558558558557</v>
      </c>
      <c r="AJ25">
        <v>156.9416498993964</v>
      </c>
      <c r="AK25">
        <v>78.419811320754718</v>
      </c>
      <c r="AL25">
        <v>156.37846153846155</v>
      </c>
      <c r="AM25">
        <v>16.346320346320343</v>
      </c>
      <c r="AN25">
        <v>6.6819277108433734</v>
      </c>
      <c r="AO25">
        <v>55.302721088435376</v>
      </c>
      <c r="AP25">
        <v>0.223463687150838</v>
      </c>
      <c r="AQ25">
        <v>13.050359712230216</v>
      </c>
      <c r="AR25">
        <v>1457.6982248520712</v>
      </c>
      <c r="AS25">
        <v>13.32456140350877</v>
      </c>
      <c r="AT25">
        <v>10.820069204152251</v>
      </c>
      <c r="AU25" s="1">
        <v>47.92761394101877</v>
      </c>
      <c r="AV25" s="1">
        <v>10.68562874251497</v>
      </c>
      <c r="AW25" s="1">
        <v>8.4710327455919412</v>
      </c>
      <c r="AX25" s="1">
        <v>113.68313953488372</v>
      </c>
      <c r="AY25" s="1">
        <v>28.064257028112451</v>
      </c>
      <c r="AZ25" s="1">
        <v>71.691176470588232</v>
      </c>
      <c r="BA25" s="1">
        <v>8.9393939393939412</v>
      </c>
      <c r="BB25" s="1">
        <v>1.5775193798449614</v>
      </c>
      <c r="BC25" s="1">
        <v>42.552123552123554</v>
      </c>
      <c r="BD25" s="1">
        <v>14.016528925619836</v>
      </c>
      <c r="BE25" s="1">
        <v>69.93994778067885</v>
      </c>
      <c r="BF25" s="1">
        <v>52.373913043478261</v>
      </c>
      <c r="BG25" s="1">
        <v>7.3611650485436897</v>
      </c>
      <c r="BH25" s="1">
        <v>11.385964912280702</v>
      </c>
      <c r="BI25" s="1">
        <v>93.506993006993014</v>
      </c>
      <c r="BJ25">
        <v>199.13588110403396</v>
      </c>
      <c r="BK25">
        <v>82.329391891891888</v>
      </c>
      <c r="BL25">
        <v>13.28099173553719</v>
      </c>
      <c r="BM25">
        <v>14.830508474576272</v>
      </c>
      <c r="BN25">
        <v>10.71830985915493</v>
      </c>
      <c r="BO25">
        <v>44.002375296912113</v>
      </c>
      <c r="BP25">
        <v>14.424096385542168</v>
      </c>
      <c r="BQ25">
        <v>7.4403669724770634</v>
      </c>
      <c r="BR25">
        <v>116.71929824561403</v>
      </c>
      <c r="BS25">
        <v>9.0375939849624061</v>
      </c>
      <c r="BT25">
        <v>27.027692307692309</v>
      </c>
      <c r="BU25">
        <v>26.856310679611653</v>
      </c>
      <c r="BV25">
        <v>6.3673469387755102</v>
      </c>
      <c r="BW25">
        <v>17.111111111111111</v>
      </c>
      <c r="BX25">
        <v>19.920754716981133</v>
      </c>
      <c r="BY25" s="1">
        <v>10.301587301587301</v>
      </c>
      <c r="BZ25" s="1">
        <v>12.455555555555557</v>
      </c>
      <c r="CA25" s="1">
        <v>8.3506493506493502</v>
      </c>
      <c r="CB25" s="1">
        <v>7.6481481481481479</v>
      </c>
      <c r="CC25" s="1">
        <v>6.6381766381766392</v>
      </c>
      <c r="CD25" s="1">
        <v>115.53623188405798</v>
      </c>
      <c r="CE25" s="1">
        <v>11.077551020408162</v>
      </c>
      <c r="CF25" s="1">
        <v>10.102739726027398</v>
      </c>
      <c r="CG25" s="1">
        <v>12.185185185185187</v>
      </c>
      <c r="CH25" s="1">
        <v>15.337638376383763</v>
      </c>
      <c r="CI25" s="1">
        <v>6.5625</v>
      </c>
      <c r="CJ25" s="1">
        <v>44.357988165680474</v>
      </c>
      <c r="CK25" s="1">
        <v>21.10997442455243</v>
      </c>
    </row>
    <row r="26" spans="2:89" x14ac:dyDescent="0.25">
      <c r="B26" t="s">
        <v>30</v>
      </c>
      <c r="C26">
        <v>69.035830618892504</v>
      </c>
      <c r="D26">
        <v>40.048689138576783</v>
      </c>
      <c r="E26">
        <v>51.508361204013376</v>
      </c>
      <c r="F26">
        <v>63.363945578231288</v>
      </c>
      <c r="G26">
        <v>65.621900826446279</v>
      </c>
      <c r="H26">
        <v>44.615000000000002</v>
      </c>
      <c r="I26">
        <v>80.728522336769757</v>
      </c>
      <c r="J26">
        <v>46.733333333333334</v>
      </c>
      <c r="K26">
        <v>70.627516778523486</v>
      </c>
      <c r="L26">
        <v>54.441326530612244</v>
      </c>
      <c r="M26">
        <v>53.035211267605632</v>
      </c>
      <c r="N26">
        <v>61.295275590551178</v>
      </c>
      <c r="O26">
        <v>44.421568627450981</v>
      </c>
      <c r="P26">
        <v>33.098360655737707</v>
      </c>
      <c r="Q26">
        <v>47.134426229508193</v>
      </c>
      <c r="R26" s="1">
        <v>101.42465753424658</v>
      </c>
      <c r="S26" s="1">
        <v>193.0366972477064</v>
      </c>
      <c r="T26" s="1">
        <v>676.24918032786888</v>
      </c>
      <c r="U26" s="1">
        <v>382.65346534653469</v>
      </c>
      <c r="V26" s="1">
        <v>93.324483775811203</v>
      </c>
      <c r="W26" s="1">
        <v>69.74183006535948</v>
      </c>
      <c r="X26" s="1">
        <v>69.335593220338993</v>
      </c>
      <c r="Y26" s="1">
        <v>266.61137440758296</v>
      </c>
      <c r="Z26" s="1">
        <v>201.33212996389892</v>
      </c>
      <c r="AA26" s="1">
        <v>125.66112956810632</v>
      </c>
      <c r="AB26" s="1">
        <v>557.52542372881339</v>
      </c>
      <c r="AC26" s="1">
        <v>150.26377952755905</v>
      </c>
      <c r="AD26" s="1">
        <v>276.88612099644126</v>
      </c>
      <c r="AE26" s="1">
        <v>128.95806451612901</v>
      </c>
      <c r="AF26">
        <v>96.396551724137922</v>
      </c>
      <c r="AG26">
        <v>211.76986301369899</v>
      </c>
      <c r="AH26">
        <v>286.3660130718954</v>
      </c>
      <c r="AI26">
        <v>77.549549549549539</v>
      </c>
      <c r="AJ26">
        <v>3393.2434607645873</v>
      </c>
      <c r="AK26">
        <v>602.97877358490564</v>
      </c>
      <c r="AL26">
        <v>2189.0030769230771</v>
      </c>
      <c r="AM26">
        <v>153.16450216450215</v>
      </c>
      <c r="AN26">
        <v>53.17590361445783</v>
      </c>
      <c r="AO26">
        <v>962.72108843537421</v>
      </c>
      <c r="AP26">
        <v>32.036312849162009</v>
      </c>
      <c r="AQ26">
        <v>77.816546762589937</v>
      </c>
      <c r="AR26">
        <v>12553.171597633136</v>
      </c>
      <c r="AS26">
        <v>120.88596491228068</v>
      </c>
      <c r="AT26">
        <v>77.356401384083057</v>
      </c>
      <c r="AU26" s="1">
        <v>605.71313672922247</v>
      </c>
      <c r="AV26" s="1">
        <v>59.443113772455092</v>
      </c>
      <c r="AW26" s="1">
        <v>62.670025188916881</v>
      </c>
      <c r="AX26" s="1">
        <v>7364.4970930232557</v>
      </c>
      <c r="AY26" s="1">
        <v>140.19277108433735</v>
      </c>
      <c r="AZ26" s="1">
        <v>903.86764705882354</v>
      </c>
      <c r="BA26" s="1">
        <v>63.550964187327828</v>
      </c>
      <c r="BB26" s="1">
        <v>0</v>
      </c>
      <c r="BC26" s="1">
        <v>192.64478764478764</v>
      </c>
      <c r="BD26" s="1">
        <v>127.13223140495869</v>
      </c>
      <c r="BE26" s="1">
        <v>408.67885117493472</v>
      </c>
      <c r="BF26" s="1">
        <v>601.03768115942023</v>
      </c>
      <c r="BG26" s="1">
        <v>60.467961165048557</v>
      </c>
      <c r="BH26" s="1">
        <v>117.86666666666667</v>
      </c>
      <c r="BI26" s="1">
        <v>954.06993006993002</v>
      </c>
      <c r="BJ26">
        <v>1407.8641188959659</v>
      </c>
      <c r="BK26">
        <v>0</v>
      </c>
      <c r="BL26">
        <v>48.826446280991739</v>
      </c>
      <c r="BM26">
        <v>129.5310734463277</v>
      </c>
      <c r="BN26">
        <v>60.938028169014089</v>
      </c>
      <c r="BO26">
        <v>369.19952494061755</v>
      </c>
      <c r="BP26">
        <v>31.221686746987949</v>
      </c>
      <c r="BQ26">
        <v>64.36391437308869</v>
      </c>
      <c r="BR26">
        <v>961.52631578947364</v>
      </c>
      <c r="BS26">
        <v>61.646616541353389</v>
      </c>
      <c r="BT26">
        <v>362.03384615384613</v>
      </c>
      <c r="BU26">
        <v>219.22330097087382</v>
      </c>
      <c r="BV26">
        <v>77.013605442176868</v>
      </c>
      <c r="BW26">
        <v>76.484444444444449</v>
      </c>
      <c r="BX26">
        <v>85.981132075471706</v>
      </c>
      <c r="BY26" s="1">
        <v>27.238095238095234</v>
      </c>
      <c r="BZ26" s="1">
        <v>147.26666666666668</v>
      </c>
      <c r="CA26" s="1">
        <v>38.236363636363635</v>
      </c>
      <c r="CB26" s="1">
        <v>32.335978835978835</v>
      </c>
      <c r="CC26" s="1">
        <v>51.293447293447294</v>
      </c>
      <c r="CD26" s="1">
        <v>181.1352657004831</v>
      </c>
      <c r="CE26" s="1">
        <v>76.036734693877548</v>
      </c>
      <c r="CF26" s="1">
        <v>36.30821917808219</v>
      </c>
      <c r="CG26" s="1">
        <v>60.800569800569804</v>
      </c>
      <c r="CH26" s="1">
        <v>30.85608856088561</v>
      </c>
      <c r="CI26" s="1">
        <v>45.01</v>
      </c>
      <c r="CJ26" s="1">
        <v>60.955621301775153</v>
      </c>
      <c r="CK26" s="1">
        <v>90.790281329923275</v>
      </c>
    </row>
    <row r="27" spans="2:89" x14ac:dyDescent="0.25">
      <c r="B27" t="s">
        <v>31</v>
      </c>
      <c r="C27">
        <v>26.76872964169381</v>
      </c>
      <c r="D27">
        <v>0</v>
      </c>
      <c r="E27">
        <v>14.752508361204015</v>
      </c>
      <c r="F27">
        <v>11.755102040816327</v>
      </c>
      <c r="G27">
        <v>19.204545454545457</v>
      </c>
      <c r="H27">
        <v>6.5274999999999999</v>
      </c>
      <c r="I27">
        <v>5.2474226804123711</v>
      </c>
      <c r="J27">
        <v>0</v>
      </c>
      <c r="K27">
        <v>5.124161073825503</v>
      </c>
      <c r="L27">
        <v>16.010204081632654</v>
      </c>
      <c r="M27">
        <v>26.781690140845068</v>
      </c>
      <c r="N27">
        <v>0</v>
      </c>
      <c r="O27">
        <v>0</v>
      </c>
      <c r="P27">
        <v>0</v>
      </c>
      <c r="Q27">
        <v>0</v>
      </c>
      <c r="R27" s="1">
        <v>11.922374429223744</v>
      </c>
      <c r="S27" s="1">
        <v>0</v>
      </c>
      <c r="T27" s="1">
        <v>120.54426229508198</v>
      </c>
      <c r="U27" s="1">
        <v>76.054455445544548</v>
      </c>
      <c r="V27" s="1">
        <v>34.613569321533923</v>
      </c>
      <c r="W27" s="1">
        <v>24.078431372549023</v>
      </c>
      <c r="X27" s="1">
        <v>18.45084745762712</v>
      </c>
      <c r="Y27" s="1">
        <v>32.592417061611371</v>
      </c>
      <c r="Z27" s="1">
        <v>66.920577617328519</v>
      </c>
      <c r="AA27" s="1">
        <v>49.501661129568113</v>
      </c>
      <c r="AB27" s="1">
        <v>81.292978208232427</v>
      </c>
      <c r="AC27" s="1">
        <v>22.9251968503937</v>
      </c>
      <c r="AD27" s="1">
        <v>64.167259786476862</v>
      </c>
      <c r="AE27" s="1">
        <v>29.983870967741936</v>
      </c>
      <c r="AF27">
        <v>37.713793103448275</v>
      </c>
      <c r="AG27">
        <v>70.265753424657547</v>
      </c>
      <c r="AH27">
        <v>49.535947712418306</v>
      </c>
      <c r="AI27">
        <v>20.621621621621621</v>
      </c>
      <c r="AJ27">
        <v>915.48088531187125</v>
      </c>
      <c r="AK27">
        <v>100.90801886792453</v>
      </c>
      <c r="AL27">
        <v>488.06461538461542</v>
      </c>
      <c r="AM27">
        <v>59.675324675324674</v>
      </c>
      <c r="AN27">
        <v>24.975903614457831</v>
      </c>
      <c r="AO27">
        <v>171.15306122448979</v>
      </c>
      <c r="AP27">
        <v>0</v>
      </c>
      <c r="AQ27">
        <v>33.931654676258994</v>
      </c>
      <c r="AR27">
        <v>4261.1183431952668</v>
      </c>
      <c r="AS27">
        <v>50.403508771929822</v>
      </c>
      <c r="AT27">
        <v>26.044982698961938</v>
      </c>
      <c r="AU27" s="1">
        <v>278.26005361930299</v>
      </c>
      <c r="AV27" s="1">
        <v>31.032934131736528</v>
      </c>
      <c r="AW27" s="1">
        <v>42.19899244332494</v>
      </c>
      <c r="AX27" s="1">
        <v>3165.9186046511627</v>
      </c>
      <c r="AY27" s="1">
        <v>56.662650602409649</v>
      </c>
      <c r="AZ27" s="1">
        <v>216.77696078431373</v>
      </c>
      <c r="BA27" s="1">
        <v>28.016528925619838</v>
      </c>
      <c r="BB27" s="1">
        <v>0</v>
      </c>
      <c r="BC27" s="1">
        <v>82.710424710424718</v>
      </c>
      <c r="BD27" s="1">
        <v>63.694214876033051</v>
      </c>
      <c r="BE27" s="1">
        <v>108.69973890339425</v>
      </c>
      <c r="BF27" s="1">
        <v>96.837681159420271</v>
      </c>
      <c r="BG27" s="1">
        <v>25.481553398058253</v>
      </c>
      <c r="BH27" s="1">
        <v>39.466666666666669</v>
      </c>
      <c r="BI27" s="1">
        <v>334.04545454545456</v>
      </c>
      <c r="BJ27">
        <v>674.03609341825904</v>
      </c>
      <c r="BK27">
        <v>4094.6993243243242</v>
      </c>
      <c r="BL27">
        <v>42.859504132231407</v>
      </c>
      <c r="BM27">
        <v>80.316384180790962</v>
      </c>
      <c r="BN27">
        <v>58.91549295774648</v>
      </c>
      <c r="BO27">
        <v>145.36104513064134</v>
      </c>
      <c r="BP27">
        <v>20.159036144578312</v>
      </c>
      <c r="BQ27">
        <v>26.256880733944953</v>
      </c>
      <c r="BR27">
        <v>1039.0631578947368</v>
      </c>
      <c r="BS27">
        <v>31.172932330827074</v>
      </c>
      <c r="BT27">
        <v>1450.3261538461541</v>
      </c>
      <c r="BU27">
        <v>81.357281553398067</v>
      </c>
      <c r="BV27">
        <v>28.204081632653061</v>
      </c>
      <c r="BW27">
        <v>54.773333333333333</v>
      </c>
      <c r="BX27">
        <v>84.901886792452842</v>
      </c>
      <c r="BY27" s="1">
        <v>26.38095238095238</v>
      </c>
      <c r="BZ27" s="1">
        <v>31.583333333333336</v>
      </c>
      <c r="CA27" s="1">
        <v>29.374025974025976</v>
      </c>
      <c r="CB27" s="1">
        <v>19.492063492063494</v>
      </c>
      <c r="CC27" s="1">
        <v>27.264957264957268</v>
      </c>
      <c r="CD27" s="1">
        <v>47.591787439613533</v>
      </c>
      <c r="CE27" s="1">
        <v>45.910204081632649</v>
      </c>
      <c r="CF27" s="1">
        <v>43.150684931506852</v>
      </c>
      <c r="CG27" s="1">
        <v>23.623931623931625</v>
      </c>
      <c r="CH27" s="1">
        <v>3.9003690036900371</v>
      </c>
      <c r="CI27" s="1">
        <v>16.344999999999999</v>
      </c>
      <c r="CJ27" s="1">
        <v>34.715976331360949</v>
      </c>
      <c r="CK27" s="1">
        <v>35.808184143222505</v>
      </c>
    </row>
    <row r="28" spans="2:89" x14ac:dyDescent="0.25">
      <c r="B28" t="s">
        <v>32</v>
      </c>
      <c r="C28">
        <v>3.1302931596091201</v>
      </c>
      <c r="D28">
        <v>2.0898876404494384</v>
      </c>
      <c r="E28">
        <v>2.8695652173913047</v>
      </c>
      <c r="F28">
        <v>2.1462585034013606</v>
      </c>
      <c r="G28">
        <v>3.1280991735537191</v>
      </c>
      <c r="H28">
        <v>2.1124999999999998</v>
      </c>
      <c r="I28">
        <v>4.0790378006872849</v>
      </c>
      <c r="J28">
        <v>2.0412698412698411</v>
      </c>
      <c r="K28">
        <v>2.5906040268456376</v>
      </c>
      <c r="L28">
        <v>2.4948979591836733</v>
      </c>
      <c r="M28">
        <v>3.158450704225352</v>
      </c>
      <c r="N28">
        <v>1.9763779527559053</v>
      </c>
      <c r="O28">
        <v>3.7205882352941173</v>
      </c>
      <c r="P28">
        <v>2.3901639344262295</v>
      </c>
      <c r="Q28">
        <v>1.5639344262295081</v>
      </c>
      <c r="R28" s="1">
        <v>2.1004566210045663</v>
      </c>
      <c r="S28" s="1">
        <v>1.1513761467889907</v>
      </c>
      <c r="T28" s="1">
        <v>33.875409836065572</v>
      </c>
      <c r="U28" s="1">
        <v>12.742574257425742</v>
      </c>
      <c r="V28" s="1">
        <v>2.5929203539823007</v>
      </c>
      <c r="W28" s="1">
        <v>3.8300653594771243</v>
      </c>
      <c r="X28" s="1">
        <v>2.2983050847457629</v>
      </c>
      <c r="Y28" s="1">
        <v>8.3696682464454977</v>
      </c>
      <c r="Z28" s="1">
        <v>10.610108303249097</v>
      </c>
      <c r="AA28" s="1">
        <v>5.4186046511627906</v>
      </c>
      <c r="AB28" s="1">
        <v>17.9273607748184</v>
      </c>
      <c r="AC28" s="1">
        <v>2.7755905511811023</v>
      </c>
      <c r="AD28" s="1">
        <v>11.843416370106763</v>
      </c>
      <c r="AE28" s="1">
        <v>4.5354838709677416</v>
      </c>
      <c r="AF28">
        <v>5.3034482758620687</v>
      </c>
      <c r="AG28">
        <v>12.479452054794519</v>
      </c>
      <c r="AH28">
        <v>7.7941176470588243</v>
      </c>
      <c r="AI28">
        <v>1.5202702702702702</v>
      </c>
      <c r="AJ28">
        <v>140.08249496981892</v>
      </c>
      <c r="AK28">
        <v>22.25</v>
      </c>
      <c r="AL28">
        <v>166.93230769230769</v>
      </c>
      <c r="AM28">
        <v>6.2337662337662341</v>
      </c>
      <c r="AN28">
        <v>1.4265060240963854</v>
      </c>
      <c r="AO28">
        <v>86.360544217687078</v>
      </c>
      <c r="AP28">
        <v>0.60614525139664799</v>
      </c>
      <c r="AQ28">
        <v>2.9172661870503598</v>
      </c>
      <c r="AR28">
        <v>760.85207100591708</v>
      </c>
      <c r="AS28">
        <v>4.7456140350877192</v>
      </c>
      <c r="AT28">
        <v>3.4463667820069213</v>
      </c>
      <c r="AU28" s="1">
        <v>70.139410187667565</v>
      </c>
      <c r="AV28" s="1">
        <v>4.0868263473053892</v>
      </c>
      <c r="AW28" s="1">
        <v>6.5390428211586906</v>
      </c>
      <c r="AX28" s="1">
        <v>1059.1656976744187</v>
      </c>
      <c r="AY28" s="1">
        <v>16.253012048192772</v>
      </c>
      <c r="AZ28" s="1">
        <v>71.311274509803923</v>
      </c>
      <c r="BA28" s="1">
        <v>2.6887052341597797</v>
      </c>
      <c r="BB28" s="1">
        <v>0.33333333333333331</v>
      </c>
      <c r="BC28" s="1">
        <v>12.644787644787645</v>
      </c>
      <c r="BD28" s="1">
        <v>10.417355371900827</v>
      </c>
      <c r="BE28" s="1">
        <v>22.182767624020887</v>
      </c>
      <c r="BF28" s="1">
        <v>8.0840579710144933</v>
      </c>
      <c r="BG28" s="1">
        <v>4.1048543689320391</v>
      </c>
      <c r="BH28" s="1">
        <v>7.9929824561403509</v>
      </c>
      <c r="BI28" s="1">
        <v>99.730769230769241</v>
      </c>
      <c r="BJ28">
        <v>131.08917197452229</v>
      </c>
      <c r="BK28">
        <v>0</v>
      </c>
      <c r="BL28">
        <v>6.1177685950413228</v>
      </c>
      <c r="BM28">
        <v>12.242937853107346</v>
      </c>
      <c r="BN28">
        <v>9.887323943661972</v>
      </c>
      <c r="BO28">
        <v>22.035629453681711</v>
      </c>
      <c r="BP28">
        <v>2.5759036144578311</v>
      </c>
      <c r="BQ28">
        <v>3.2140672782874615</v>
      </c>
      <c r="BR28">
        <v>203.97543859649124</v>
      </c>
      <c r="BS28">
        <v>5.3233082706766925</v>
      </c>
      <c r="BT28">
        <v>305.44923076923078</v>
      </c>
      <c r="BU28">
        <v>16.01359223300971</v>
      </c>
      <c r="BV28">
        <v>3.6632653061224487</v>
      </c>
      <c r="BW28">
        <v>9.9422222222222221</v>
      </c>
      <c r="BX28">
        <v>25.075471698113208</v>
      </c>
      <c r="BY28" s="1">
        <v>2.6349206349206349</v>
      </c>
      <c r="BZ28" s="1">
        <v>1.9583333333333335</v>
      </c>
      <c r="CA28" s="1">
        <v>2.3506493506493507</v>
      </c>
      <c r="CB28" s="1">
        <v>2.3835978835978833</v>
      </c>
      <c r="CC28" s="1">
        <v>2.2108262108262111</v>
      </c>
      <c r="CD28" s="1">
        <v>3.6352657004830924</v>
      </c>
      <c r="CE28" s="1">
        <v>3.8693877551020406</v>
      </c>
      <c r="CF28" s="1">
        <v>5.9726027397260273</v>
      </c>
      <c r="CG28" s="1">
        <v>4.7150997150997158</v>
      </c>
      <c r="CH28" s="1">
        <v>0.23247232472324725</v>
      </c>
      <c r="CI28" s="1">
        <v>2.4350000000000001</v>
      </c>
      <c r="CJ28" s="1">
        <v>4.390532544378698</v>
      </c>
      <c r="CK28" s="1">
        <v>4.0818414322250636</v>
      </c>
    </row>
    <row r="29" spans="2:89" x14ac:dyDescent="0.25">
      <c r="B29" t="s">
        <v>33</v>
      </c>
      <c r="C29">
        <v>121.80781758957653</v>
      </c>
      <c r="D29">
        <v>84.419475655430716</v>
      </c>
      <c r="E29">
        <v>89.802675585284291</v>
      </c>
      <c r="F29">
        <v>55.707482993197281</v>
      </c>
      <c r="G29">
        <v>108.45661157024793</v>
      </c>
      <c r="H29">
        <v>84.54</v>
      </c>
      <c r="I29">
        <v>154.05841924398624</v>
      </c>
      <c r="J29">
        <v>100.13333333333334</v>
      </c>
      <c r="K29">
        <v>80.291946308724832</v>
      </c>
      <c r="L29">
        <v>75.625</v>
      </c>
      <c r="M29">
        <v>85.577464788732385</v>
      </c>
      <c r="N29">
        <v>69.204724409448815</v>
      </c>
      <c r="O29">
        <v>133.24019607843138</v>
      </c>
      <c r="P29">
        <v>62.65245901639345</v>
      </c>
      <c r="Q29">
        <v>47.554098360655736</v>
      </c>
      <c r="R29" s="1">
        <v>167.34703196347033</v>
      </c>
      <c r="S29" s="1">
        <v>40.495412844036693</v>
      </c>
      <c r="T29" s="1">
        <v>423.38032786885248</v>
      </c>
      <c r="U29" s="1">
        <v>436.0792079207921</v>
      </c>
      <c r="V29" s="1">
        <v>306.23893805309734</v>
      </c>
      <c r="W29" s="1">
        <v>205.15032679738562</v>
      </c>
      <c r="X29" s="1">
        <v>86.430508474576285</v>
      </c>
      <c r="Y29" s="1">
        <v>219.96208530805688</v>
      </c>
      <c r="Z29" s="1">
        <v>202.41516245487367</v>
      </c>
      <c r="AA29" s="1">
        <v>522.98006644518273</v>
      </c>
      <c r="AB29" s="1">
        <v>313.18159806295392</v>
      </c>
      <c r="AC29" s="1">
        <v>108.92913385826772</v>
      </c>
      <c r="AD29" s="1">
        <v>297.93950177935943</v>
      </c>
      <c r="AE29" s="1">
        <v>90.945161290322574</v>
      </c>
      <c r="AF29">
        <v>231.95517241379306</v>
      </c>
      <c r="AG29">
        <v>313.49863013698632</v>
      </c>
      <c r="AH29">
        <v>418.52941176470591</v>
      </c>
      <c r="AI29">
        <v>84.743243243243228</v>
      </c>
      <c r="AJ29">
        <v>1684.5553319919518</v>
      </c>
      <c r="AK29">
        <v>501.45754716981128</v>
      </c>
      <c r="AL29">
        <v>1258.9907692307693</v>
      </c>
      <c r="AM29">
        <v>333.5930735930736</v>
      </c>
      <c r="AN29">
        <v>114.71807228915661</v>
      </c>
      <c r="AO29">
        <v>987.36734693877554</v>
      </c>
      <c r="AP29">
        <v>8.7150837988826808</v>
      </c>
      <c r="AQ29">
        <v>238.83453237410075</v>
      </c>
      <c r="AR29">
        <v>2597.9763313609469</v>
      </c>
      <c r="AS29">
        <v>258.35964912280696</v>
      </c>
      <c r="AT29">
        <v>175.35640138408306</v>
      </c>
      <c r="AU29" s="1">
        <v>1440.2332439678285</v>
      </c>
      <c r="AV29" s="1">
        <v>367.95808383233538</v>
      </c>
      <c r="AW29" s="1">
        <v>527.67002518891684</v>
      </c>
      <c r="AX29" s="1">
        <v>8116.3575581395353</v>
      </c>
      <c r="AY29" s="1">
        <v>338.48594377510045</v>
      </c>
      <c r="AZ29" s="1">
        <v>1132.688725490196</v>
      </c>
      <c r="BA29" s="1">
        <v>160.09366391184574</v>
      </c>
      <c r="BB29" s="1">
        <v>25.364341085271317</v>
      </c>
      <c r="BC29" s="1">
        <v>1034.8378378378379</v>
      </c>
      <c r="BD29" s="1">
        <v>1024.2355371900828</v>
      </c>
      <c r="BE29" s="1">
        <v>604.09399477806778</v>
      </c>
      <c r="BF29" s="1">
        <v>992.56521739130426</v>
      </c>
      <c r="BG29" s="1">
        <v>329.29708737864081</v>
      </c>
      <c r="BH29" s="1">
        <v>780.50877192982443</v>
      </c>
      <c r="BI29" s="1">
        <v>1380.3076923076924</v>
      </c>
      <c r="BJ29">
        <v>2755.9532908704887</v>
      </c>
      <c r="BK29">
        <v>5477.2466216216217</v>
      </c>
      <c r="BL29">
        <v>805.29752066115702</v>
      </c>
      <c r="BM29">
        <v>401.23728813559325</v>
      </c>
      <c r="BN29">
        <v>1476.2788732394367</v>
      </c>
      <c r="BO29">
        <v>1025.0831353919241</v>
      </c>
      <c r="BP29">
        <v>473.84819277108431</v>
      </c>
      <c r="BQ29">
        <v>516.42201834862385</v>
      </c>
      <c r="BR29">
        <v>3868.0842105263159</v>
      </c>
      <c r="BS29">
        <v>1173.281954887218</v>
      </c>
      <c r="BT29">
        <v>2456.5015384615385</v>
      </c>
      <c r="BU29">
        <v>3400.9456310679611</v>
      </c>
      <c r="BV29">
        <v>210.65646258503403</v>
      </c>
      <c r="BW29">
        <v>522.48</v>
      </c>
      <c r="BX29">
        <v>875.45283018867917</v>
      </c>
      <c r="BY29" s="1">
        <v>226.54497354497354</v>
      </c>
      <c r="BZ29" s="1">
        <v>185.35555555555555</v>
      </c>
      <c r="CA29" s="1">
        <v>216.38441558441559</v>
      </c>
      <c r="CB29" s="1">
        <v>288.61640211640213</v>
      </c>
      <c r="CC29" s="1">
        <v>158.68091168091169</v>
      </c>
      <c r="CD29" s="1">
        <v>353.20531400966183</v>
      </c>
      <c r="CE29" s="1">
        <v>368.91836734693874</v>
      </c>
      <c r="CF29" s="1">
        <v>616.63242009132421</v>
      </c>
      <c r="CG29" s="1">
        <v>343.90598290598291</v>
      </c>
      <c r="CH29" s="1">
        <v>167.57380073800738</v>
      </c>
      <c r="CI29" s="1">
        <v>266.14499999999998</v>
      </c>
      <c r="CJ29" s="1">
        <v>474.16272189349115</v>
      </c>
      <c r="CK29" s="1">
        <v>406.64194373401534</v>
      </c>
    </row>
    <row r="30" spans="2:89" x14ac:dyDescent="0.25">
      <c r="B30" t="s">
        <v>34</v>
      </c>
      <c r="C30">
        <v>3.7915309446254071</v>
      </c>
      <c r="D30">
        <v>4.3595505617977528</v>
      </c>
      <c r="E30">
        <v>6.1538461538461542</v>
      </c>
      <c r="F30">
        <v>4.3367346938775508</v>
      </c>
      <c r="G30">
        <v>5.0020661157024797</v>
      </c>
      <c r="H30">
        <v>3.7450000000000001</v>
      </c>
      <c r="I30">
        <v>5.1477663230240545</v>
      </c>
      <c r="J30">
        <v>4.7555555555555555</v>
      </c>
      <c r="K30">
        <v>5.026845637583893</v>
      </c>
      <c r="L30">
        <v>7.3852040816326534</v>
      </c>
      <c r="M30">
        <v>9.3556338028169002</v>
      </c>
      <c r="N30">
        <v>4.5826771653543306</v>
      </c>
      <c r="O30">
        <v>4.6372549019607847</v>
      </c>
      <c r="P30">
        <v>4.1803278688524594</v>
      </c>
      <c r="Q30">
        <v>3.4557377049180329</v>
      </c>
      <c r="R30" s="1">
        <v>7.3561643835616435</v>
      </c>
      <c r="S30" s="1">
        <v>0.82110091743119262</v>
      </c>
      <c r="T30" s="1">
        <v>9.1016393442622956</v>
      </c>
      <c r="U30" s="1">
        <v>15.51980198019802</v>
      </c>
      <c r="V30" s="1">
        <v>11.401179941002949</v>
      </c>
      <c r="W30" s="1">
        <v>7.5294117647058822</v>
      </c>
      <c r="X30" s="1">
        <v>4.6983050847457628</v>
      </c>
      <c r="Y30" s="1">
        <v>7.0995260663507116</v>
      </c>
      <c r="Z30" s="1">
        <v>9.5920577617328515</v>
      </c>
      <c r="AA30" s="1">
        <v>19.916943521594686</v>
      </c>
      <c r="AB30" s="1">
        <v>10.852300242130749</v>
      </c>
      <c r="AC30" s="1">
        <v>10.929133858267717</v>
      </c>
      <c r="AD30" s="1">
        <v>9.0355871886120998</v>
      </c>
      <c r="AE30" s="1">
        <v>8.1903225806451605</v>
      </c>
      <c r="AF30">
        <v>20.672413793103448</v>
      </c>
      <c r="AG30">
        <v>13.994520547945205</v>
      </c>
      <c r="AH30">
        <v>14.241830065359476</v>
      </c>
      <c r="AI30">
        <v>8.1531531531531538</v>
      </c>
      <c r="AJ30">
        <v>16.889336016096578</v>
      </c>
      <c r="AK30">
        <v>22.292452830188676</v>
      </c>
      <c r="AL30">
        <v>19.627692307692307</v>
      </c>
      <c r="AM30">
        <v>20.484848484848484</v>
      </c>
      <c r="AN30">
        <v>12.308433734939758</v>
      </c>
      <c r="AO30">
        <v>16.520408163265305</v>
      </c>
      <c r="AP30">
        <v>0</v>
      </c>
      <c r="AQ30">
        <v>33.043165467625904</v>
      </c>
      <c r="AR30">
        <v>71.449704142011839</v>
      </c>
      <c r="AS30">
        <v>22.403508771929822</v>
      </c>
      <c r="AT30">
        <v>12.94809688581315</v>
      </c>
      <c r="AU30" s="1">
        <v>9.3780160857908843</v>
      </c>
      <c r="AV30" s="1">
        <v>16.047904191616766</v>
      </c>
      <c r="AW30" s="1">
        <v>11.604534005037785</v>
      </c>
      <c r="AX30" s="1">
        <v>29.220930232558139</v>
      </c>
      <c r="AY30" s="1">
        <v>9.9598393574297202</v>
      </c>
      <c r="AZ30" s="1">
        <v>15.634803921568627</v>
      </c>
      <c r="BA30" s="1">
        <v>10.647382920110193</v>
      </c>
      <c r="BB30" s="1">
        <v>0</v>
      </c>
      <c r="BC30" s="1">
        <v>19.722007722007721</v>
      </c>
      <c r="BD30" s="1">
        <v>15.971074380165289</v>
      </c>
      <c r="BE30" s="1">
        <v>10.412532637075719</v>
      </c>
      <c r="BF30" s="1">
        <v>7.3594202898550725</v>
      </c>
      <c r="BG30" s="1">
        <v>5.6213592233009715</v>
      </c>
      <c r="BH30" s="1">
        <v>12.273684210526314</v>
      </c>
      <c r="BI30" s="1">
        <v>19.181818181818183</v>
      </c>
      <c r="BJ30">
        <v>21.910828025477709</v>
      </c>
      <c r="BK30">
        <v>23.052364864864867</v>
      </c>
      <c r="BL30">
        <v>4.276859504132231</v>
      </c>
      <c r="BM30">
        <v>14.344632768361581</v>
      </c>
      <c r="BN30">
        <v>6.1605633802816904</v>
      </c>
      <c r="BO30">
        <v>6.3111638954869358</v>
      </c>
      <c r="BP30">
        <v>4.7108433734939759</v>
      </c>
      <c r="BQ30">
        <v>4.238532110091743</v>
      </c>
      <c r="BR30">
        <v>15.726315789473684</v>
      </c>
      <c r="BS30">
        <v>12.695488721804514</v>
      </c>
      <c r="BT30">
        <v>6.0153846153846153</v>
      </c>
      <c r="BU30">
        <v>5.1592233009708748</v>
      </c>
      <c r="BV30">
        <v>5.8673469387755102</v>
      </c>
      <c r="BW30">
        <v>21.031111111111112</v>
      </c>
      <c r="BX30">
        <v>14.120754716981134</v>
      </c>
      <c r="BY30" s="1">
        <v>3.6666666666666661</v>
      </c>
      <c r="BZ30" s="1">
        <v>8.375</v>
      </c>
      <c r="CA30" s="1">
        <v>3.7454545454545451</v>
      </c>
      <c r="CB30" s="1">
        <v>4.867724867724867</v>
      </c>
      <c r="CC30" s="1">
        <v>4.9145299145299148</v>
      </c>
      <c r="CD30" s="1">
        <v>6.27536231884058</v>
      </c>
      <c r="CE30" s="1">
        <v>7.0408163265306118</v>
      </c>
      <c r="CF30" s="1">
        <v>8.2648401826484026</v>
      </c>
      <c r="CG30" s="1">
        <v>3.0028490028490027</v>
      </c>
      <c r="CH30" s="1">
        <v>4.9022140221402219</v>
      </c>
      <c r="CI30" s="1">
        <v>3.1875</v>
      </c>
      <c r="CJ30" s="1">
        <v>5.7840236686390538</v>
      </c>
      <c r="CK30" s="1">
        <v>10.828644501278772</v>
      </c>
    </row>
    <row r="31" spans="2:89" s="6" customFormat="1" x14ac:dyDescent="0.25">
      <c r="B31" s="6" t="s">
        <v>35</v>
      </c>
      <c r="C31" s="6">
        <v>1</v>
      </c>
      <c r="D31" s="6">
        <v>1</v>
      </c>
      <c r="E31" s="6">
        <v>1</v>
      </c>
      <c r="F31" s="6">
        <v>1</v>
      </c>
      <c r="G31" s="6">
        <v>0</v>
      </c>
      <c r="H31" s="6">
        <v>2</v>
      </c>
      <c r="I31" s="6">
        <v>2</v>
      </c>
      <c r="J31" s="6">
        <v>2</v>
      </c>
      <c r="K31" s="6">
        <v>2</v>
      </c>
      <c r="L31" s="6">
        <v>1</v>
      </c>
      <c r="M31" s="6">
        <v>2</v>
      </c>
      <c r="N31" s="6">
        <v>0</v>
      </c>
      <c r="O31" s="6">
        <v>2</v>
      </c>
      <c r="P31" s="6">
        <v>0</v>
      </c>
      <c r="Q31" s="6">
        <v>2</v>
      </c>
      <c r="R31" s="6">
        <v>2</v>
      </c>
      <c r="S31" s="6">
        <v>0</v>
      </c>
      <c r="T31" s="6">
        <v>4</v>
      </c>
      <c r="U31" s="6">
        <v>2</v>
      </c>
      <c r="V31" s="6">
        <v>1</v>
      </c>
      <c r="W31" s="6">
        <v>1</v>
      </c>
      <c r="X31" s="6">
        <v>1</v>
      </c>
      <c r="Y31" s="6">
        <v>3</v>
      </c>
      <c r="Z31" s="6">
        <v>3</v>
      </c>
      <c r="AA31" s="6">
        <v>0</v>
      </c>
      <c r="AB31" s="6">
        <v>3</v>
      </c>
      <c r="AC31" s="6">
        <v>1</v>
      </c>
      <c r="AD31" s="6">
        <v>1</v>
      </c>
      <c r="AE31" s="6">
        <v>3</v>
      </c>
      <c r="AF31" s="6">
        <v>3</v>
      </c>
      <c r="AG31" s="6">
        <v>2</v>
      </c>
      <c r="AH31" s="6">
        <v>3</v>
      </c>
      <c r="AI31" s="6">
        <v>1</v>
      </c>
      <c r="AJ31" s="6">
        <v>3</v>
      </c>
      <c r="AK31" s="6">
        <v>3</v>
      </c>
      <c r="AL31" s="6">
        <v>3</v>
      </c>
      <c r="AM31" s="6">
        <v>1</v>
      </c>
      <c r="AN31" s="6">
        <v>0</v>
      </c>
      <c r="AO31" s="6">
        <v>3</v>
      </c>
      <c r="AP31" s="6">
        <v>1</v>
      </c>
      <c r="AQ31" s="6">
        <v>1</v>
      </c>
      <c r="AR31" s="6">
        <v>1</v>
      </c>
      <c r="AS31" s="6">
        <v>1</v>
      </c>
      <c r="AT31" s="6">
        <v>1</v>
      </c>
      <c r="AU31" s="6">
        <v>3</v>
      </c>
      <c r="AV31" s="6">
        <v>1</v>
      </c>
      <c r="AW31" s="6">
        <v>1</v>
      </c>
      <c r="AX31" s="6">
        <v>3</v>
      </c>
      <c r="AY31" s="6">
        <v>3</v>
      </c>
      <c r="AZ31" s="6">
        <v>3</v>
      </c>
      <c r="BA31" s="6">
        <v>1</v>
      </c>
      <c r="BB31" s="6">
        <v>1</v>
      </c>
      <c r="BC31" s="6">
        <v>1</v>
      </c>
      <c r="BD31" s="6">
        <v>1</v>
      </c>
      <c r="BE31" s="6">
        <v>3</v>
      </c>
      <c r="BF31" s="6">
        <v>2</v>
      </c>
      <c r="BG31" s="6">
        <v>1</v>
      </c>
      <c r="BH31" s="6">
        <v>1</v>
      </c>
      <c r="BI31" s="6">
        <v>3</v>
      </c>
      <c r="BJ31" s="6">
        <v>4</v>
      </c>
      <c r="BK31" s="6">
        <v>3</v>
      </c>
      <c r="BL31" s="6">
        <v>3</v>
      </c>
      <c r="BM31" s="6">
        <v>1</v>
      </c>
      <c r="BN31" s="6">
        <v>1</v>
      </c>
      <c r="BO31" s="6">
        <v>3</v>
      </c>
      <c r="BP31" s="6">
        <v>0</v>
      </c>
      <c r="BQ31" s="6">
        <v>1</v>
      </c>
      <c r="BR31" s="6">
        <v>2</v>
      </c>
      <c r="BS31" s="6">
        <v>0</v>
      </c>
      <c r="BT31" s="6">
        <v>4</v>
      </c>
      <c r="BU31" s="6">
        <v>3</v>
      </c>
      <c r="BV31" s="6">
        <v>0</v>
      </c>
      <c r="BW31" s="6">
        <v>0</v>
      </c>
      <c r="BX31" s="6">
        <v>3</v>
      </c>
      <c r="BY31" s="6">
        <v>0</v>
      </c>
      <c r="BZ31" s="6">
        <v>2</v>
      </c>
      <c r="CA31" s="6">
        <v>3</v>
      </c>
      <c r="CB31" s="6">
        <v>1</v>
      </c>
      <c r="CC31" s="6">
        <v>3</v>
      </c>
      <c r="CD31" s="6">
        <v>2</v>
      </c>
      <c r="CE31" s="6">
        <v>2</v>
      </c>
      <c r="CF31" s="6">
        <v>2</v>
      </c>
      <c r="CG31" s="6">
        <v>2</v>
      </c>
      <c r="CH31" s="6">
        <v>1</v>
      </c>
      <c r="CI31" s="6">
        <v>3</v>
      </c>
      <c r="CJ31" s="6">
        <v>0</v>
      </c>
      <c r="CK31" s="6">
        <v>2</v>
      </c>
    </row>
    <row r="32" spans="2:89" x14ac:dyDescent="0.25">
      <c r="B32" t="s">
        <v>36</v>
      </c>
      <c r="Q32" t="s">
        <v>36</v>
      </c>
      <c r="AE32" t="s">
        <v>36</v>
      </c>
      <c r="AF32" s="1"/>
      <c r="AT32" t="s">
        <v>36</v>
      </c>
      <c r="BI32" t="s">
        <v>36</v>
      </c>
      <c r="BJ32" s="1"/>
      <c r="BX32" t="s">
        <v>36</v>
      </c>
    </row>
    <row r="33" spans="2:77" x14ac:dyDescent="0.25">
      <c r="B33" t="s">
        <v>37</v>
      </c>
      <c r="C33" t="e">
        <f>PEARSON(C5:Q5,C7:Q7)</f>
        <v>#DIV/0!</v>
      </c>
      <c r="Q33" t="s">
        <v>37</v>
      </c>
      <c r="R33">
        <f>PEARSON(R5:AE5,R7:AE7)</f>
        <v>-0.30648709562296556</v>
      </c>
      <c r="AE33" t="s">
        <v>37</v>
      </c>
      <c r="AF33">
        <f>PEARSON(AF5:AT5,AF7:AT7)</f>
        <v>-0.26453442170535052</v>
      </c>
      <c r="AT33" t="s">
        <v>37</v>
      </c>
      <c r="AU33" s="6">
        <f>PEARSON(AU5:BI5,AU7:BI7)</f>
        <v>-0.42711077991442298</v>
      </c>
      <c r="BI33" t="s">
        <v>37</v>
      </c>
      <c r="BJ33">
        <f>PEARSON(BJ5:BX5,BJ7:BX7)</f>
        <v>-0.32234150630533243</v>
      </c>
      <c r="BX33" t="s">
        <v>37</v>
      </c>
      <c r="BY33">
        <f>PEARSON(BY5:CM5,BY7:CM7)</f>
        <v>0.15927617625743176</v>
      </c>
    </row>
    <row r="34" spans="2:77" x14ac:dyDescent="0.25">
      <c r="B34" t="s">
        <v>38</v>
      </c>
      <c r="C34">
        <f>PEARSON(C5:Q5,C4:Q4)</f>
        <v>-2.5891538687525306E-2</v>
      </c>
      <c r="Q34" t="s">
        <v>38</v>
      </c>
      <c r="R34">
        <f>PEARSON(R5:AE5,R4:AE4)</f>
        <v>-0.28822656636530269</v>
      </c>
      <c r="AE34" t="s">
        <v>38</v>
      </c>
      <c r="AF34">
        <f>PEARSON(AF5:AT5,AF4:AT4)</f>
        <v>-8.1994876699272884E-2</v>
      </c>
      <c r="AT34" t="s">
        <v>38</v>
      </c>
      <c r="AU34" s="6">
        <f>PEARSON(AU5:BI5,AU4:BI4)</f>
        <v>-0.50961527110530569</v>
      </c>
      <c r="BI34" t="s">
        <v>38</v>
      </c>
      <c r="BJ34" s="6">
        <f>PEARSON(BJ5:BX5,BJ4:BX4)</f>
        <v>0.5115273125227231</v>
      </c>
      <c r="BX34" t="s">
        <v>38</v>
      </c>
      <c r="BY34">
        <f>PEARSON(BY5:CM5,BY4:CM4)</f>
        <v>0.15033514739723747</v>
      </c>
    </row>
    <row r="35" spans="2:77" x14ac:dyDescent="0.25">
      <c r="B35" t="s">
        <v>39</v>
      </c>
      <c r="C35">
        <f>PEARSON(C6:Q6,C5:Q5)</f>
        <v>0.35274536386020638</v>
      </c>
      <c r="Q35" t="s">
        <v>39</v>
      </c>
      <c r="R35" s="6">
        <f>PEARSON(R6:AE6,R5:AE5)</f>
        <v>-0.49390549009407936</v>
      </c>
      <c r="AE35" t="s">
        <v>39</v>
      </c>
      <c r="AF35" s="6">
        <f>PEARSON(AF6:AT6,AF5:AT5)</f>
        <v>-0.48122078322408496</v>
      </c>
      <c r="AT35" t="s">
        <v>39</v>
      </c>
      <c r="AU35" s="6">
        <f>PEARSON(AU6:BI6,AU5:BI5)</f>
        <v>-0.81393571197915804</v>
      </c>
      <c r="BI35" t="s">
        <v>39</v>
      </c>
      <c r="BJ35">
        <f>PEARSON(BJ6:BX6,BJ5:BX5)</f>
        <v>0.10041481947082483</v>
      </c>
      <c r="BX35" t="s">
        <v>39</v>
      </c>
      <c r="BY35">
        <f>PEARSON(BY6:CM6,BY5:CM5)</f>
        <v>0.12931840777556669</v>
      </c>
    </row>
    <row r="36" spans="2:77" x14ac:dyDescent="0.25">
      <c r="B36" t="s">
        <v>40</v>
      </c>
      <c r="C36">
        <f>PEARSON(C6:Q6,C4:Q4)</f>
        <v>-0.23632020809810067</v>
      </c>
      <c r="Q36" t="s">
        <v>40</v>
      </c>
      <c r="R36" s="6">
        <f>PEARSON(R6:AE6,R4:AE4)</f>
        <v>0.81005803283493416</v>
      </c>
      <c r="AE36" t="s">
        <v>40</v>
      </c>
      <c r="AF36" s="6">
        <f>PEARSON(AF6:AT6,AF4:AT4)</f>
        <v>0.82674389654742142</v>
      </c>
      <c r="AT36" t="s">
        <v>40</v>
      </c>
      <c r="AU36" s="6">
        <f>PEARSON(AU6:BI6,AU4:BI4)</f>
        <v>0.78447800364145326</v>
      </c>
      <c r="BI36" t="s">
        <v>40</v>
      </c>
      <c r="BJ36">
        <f>PEARSON(BJ6:BX6,BJ4:BX4)</f>
        <v>0.35815113730601555</v>
      </c>
      <c r="BX36" t="s">
        <v>40</v>
      </c>
      <c r="BY36">
        <f>PEARSON(BY6:CM6,BY4:CM4)</f>
        <v>0.15176049010122991</v>
      </c>
    </row>
    <row r="37" spans="2:77" x14ac:dyDescent="0.25">
      <c r="B37" t="s">
        <v>41</v>
      </c>
      <c r="C37" t="e">
        <f>PEARSON(C7:Q7,C4:Q4)</f>
        <v>#DIV/0!</v>
      </c>
      <c r="Q37" t="s">
        <v>41</v>
      </c>
      <c r="R37">
        <f>PEARSON(R7:AE7,R4:AE4)</f>
        <v>0.32440615910727794</v>
      </c>
      <c r="AE37" t="s">
        <v>41</v>
      </c>
      <c r="AF37" s="6">
        <f>PEARSON(AF7:AT7,AF4:AT4)</f>
        <v>0.44842596734606904</v>
      </c>
      <c r="AT37" t="s">
        <v>41</v>
      </c>
      <c r="AU37" s="6">
        <f>PEARSON(AU7:BI7,AU4:BI4)</f>
        <v>0.44091248040386216</v>
      </c>
      <c r="BI37" t="s">
        <v>41</v>
      </c>
      <c r="BJ37">
        <f>PEARSON(BJ7:BX7,BJ4:BX4)</f>
        <v>2.5543914252361976E-2</v>
      </c>
      <c r="BX37" t="s">
        <v>41</v>
      </c>
      <c r="BY37">
        <f>PEARSON(BY7:CM7,BY4:CM4)</f>
        <v>-1.1843827946376713E-2</v>
      </c>
    </row>
    <row r="38" spans="2:77" ht="16.5" thickBot="1" x14ac:dyDescent="0.3">
      <c r="B38" t="s">
        <v>42</v>
      </c>
      <c r="C38" t="e">
        <f>PEARSON(C7:Q7,C6:Q6)</f>
        <v>#DIV/0!</v>
      </c>
      <c r="Q38" t="s">
        <v>42</v>
      </c>
      <c r="R38">
        <f>PEARSON(R7:AE7,R6:AE6)</f>
        <v>-5.2707021147440344E-2</v>
      </c>
      <c r="AE38" t="s">
        <v>42</v>
      </c>
      <c r="AF38" s="6">
        <f>PEARSON(AF7:AT7,AF6:AT6)</f>
        <v>0.5754555144079293</v>
      </c>
      <c r="AT38" t="s">
        <v>42</v>
      </c>
      <c r="AU38">
        <f>PEARSON(AU7:BI7,AU6:BI6)</f>
        <v>0.26968791268990611</v>
      </c>
      <c r="BI38" t="s">
        <v>42</v>
      </c>
      <c r="BJ38" s="6">
        <f>PEARSON(BJ7:BX7,BJ6:BX6)</f>
        <v>0.71320721377988583</v>
      </c>
      <c r="BX38" t="s">
        <v>42</v>
      </c>
      <c r="BY38">
        <f>PEARSON(BY7:CM7,BY6:CM6)</f>
        <v>-0.13821648900629324</v>
      </c>
    </row>
    <row r="39" spans="2:77" x14ac:dyDescent="0.25">
      <c r="B39" s="11" t="s">
        <v>43</v>
      </c>
      <c r="C39" s="12" t="s">
        <v>1</v>
      </c>
      <c r="D39" s="12" t="s">
        <v>2</v>
      </c>
      <c r="E39" s="12" t="s">
        <v>44</v>
      </c>
      <c r="F39" s="12" t="s">
        <v>4</v>
      </c>
      <c r="G39" s="12" t="s">
        <v>5</v>
      </c>
      <c r="H39" s="13" t="s">
        <v>6</v>
      </c>
      <c r="I39" s="20" t="s">
        <v>45</v>
      </c>
    </row>
    <row r="40" spans="2:77" x14ac:dyDescent="0.25">
      <c r="B40" s="14" t="s">
        <v>46</v>
      </c>
      <c r="C40" s="9">
        <f>MEDIAN(C5:Q5)</f>
        <v>0.79395000000000004</v>
      </c>
      <c r="D40" s="9">
        <f>MEDIAN(R5:AE5)</f>
        <v>0.9345</v>
      </c>
      <c r="E40" s="10">
        <f>MEDIAN(AF5:AT5)</f>
        <v>1.0760000000000001</v>
      </c>
      <c r="F40" s="10">
        <f>MEDIAN(AU5:BI5)</f>
        <v>1.0247999999999999</v>
      </c>
      <c r="G40" s="10">
        <f>MEDIAN(BJ5:BX5)</f>
        <v>1.0761000000000001</v>
      </c>
      <c r="H40" s="15">
        <f>MEDIAN(BY5:CM5)</f>
        <v>1.2177</v>
      </c>
      <c r="P40" s="5"/>
      <c r="R40" s="1" t="s">
        <v>47</v>
      </c>
      <c r="AF40" t="s">
        <v>47</v>
      </c>
      <c r="AU40" s="1" t="s">
        <v>47</v>
      </c>
      <c r="BJ40" t="s">
        <v>47</v>
      </c>
    </row>
    <row r="41" spans="2:77" x14ac:dyDescent="0.25">
      <c r="B41" s="14" t="s">
        <v>48</v>
      </c>
      <c r="C41" s="9" t="e">
        <f>MEDIAN(C7:Q7)</f>
        <v>#NUM!</v>
      </c>
      <c r="D41" s="9">
        <f>MEDIAN(R7:AE7)</f>
        <v>15250617.731309274</v>
      </c>
      <c r="E41" s="10">
        <f>MEDIAN(AF7:AT7)</f>
        <v>1262510.64110364</v>
      </c>
      <c r="F41" s="10">
        <f>MEDIAN(AU7:BI7)</f>
        <v>103199187.83795001</v>
      </c>
      <c r="G41" s="10">
        <f>MEDIAN(BJ7:BX7)</f>
        <v>152368.46750221</v>
      </c>
      <c r="H41" s="15">
        <f>MEDIAN(BY7:CM7)</f>
        <v>0.96159391000000005</v>
      </c>
      <c r="P41" s="5"/>
      <c r="R41" s="1">
        <f>AVERAGE(R31:AE31)</f>
        <v>1.7857142857142858</v>
      </c>
      <c r="AF41">
        <f>AVERAGE(AF31:AT31)</f>
        <v>1.8</v>
      </c>
      <c r="AU41" s="1">
        <f>AVERAGE(AU31:BI31)</f>
        <v>1.8666666666666667</v>
      </c>
      <c r="BJ41">
        <f>AVERAGE(BJ31:BX31)</f>
        <v>1.8666666666666667</v>
      </c>
      <c r="BY41" s="1" t="s">
        <v>47</v>
      </c>
    </row>
    <row r="42" spans="2:77" x14ac:dyDescent="0.25">
      <c r="B42" s="14" t="s">
        <v>49</v>
      </c>
      <c r="C42" s="9">
        <f>MEDIAN(C4:Q4)</f>
        <v>20000</v>
      </c>
      <c r="D42" s="9">
        <f>MEDIAN(R4:AE4)</f>
        <v>450000</v>
      </c>
      <c r="E42" s="10">
        <f>MEDIAN(AF4:AT4)</f>
        <v>160000</v>
      </c>
      <c r="F42" s="10">
        <f>MEDIAN(AU4:BI4)</f>
        <v>250000</v>
      </c>
      <c r="G42" s="10">
        <f>MEDIAN(BJ4:BX4)</f>
        <v>330000</v>
      </c>
      <c r="H42" s="15">
        <f>MEDIAN(BY4:CM4)</f>
        <v>70000</v>
      </c>
      <c r="P42" s="5"/>
      <c r="BY42" s="1">
        <f>AVERAGE(BY31:CK31)</f>
        <v>1.7692307692307692</v>
      </c>
    </row>
    <row r="43" spans="2:77" ht="16.5" thickBot="1" x14ac:dyDescent="0.3">
      <c r="B43" s="16" t="s">
        <v>50</v>
      </c>
      <c r="C43" s="17">
        <f>MEDIAN(C6:Q6)</f>
        <v>191.71279999999999</v>
      </c>
      <c r="D43" s="17">
        <f>MEDIAN(R6:AE6)</f>
        <v>187.06115</v>
      </c>
      <c r="E43" s="18">
        <f>MEDIAN(AF6:AT6)</f>
        <v>206.70144999999999</v>
      </c>
      <c r="F43" s="18">
        <f>MEDIAN(AU6:BI6)</f>
        <v>241.84725</v>
      </c>
      <c r="G43" s="18">
        <f>MEDIAN(BJ6:BX6)</f>
        <v>358.13850000000002</v>
      </c>
      <c r="H43" s="19">
        <f>MEDIAN(BY6:CM6)</f>
        <v>147.78055000000001</v>
      </c>
      <c r="P43" s="5"/>
    </row>
    <row r="44" spans="2:77" x14ac:dyDescent="0.25">
      <c r="P44" s="5"/>
    </row>
    <row r="45" spans="2:77" x14ac:dyDescent="0.25">
      <c r="P45" s="5"/>
    </row>
    <row r="46" spans="2:77" x14ac:dyDescent="0.25">
      <c r="E46" s="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2:77" x14ac:dyDescent="0.25">
      <c r="C47" t="s">
        <v>51</v>
      </c>
      <c r="E47" s="7"/>
      <c r="P47" s="5"/>
    </row>
    <row r="48" spans="2:77" x14ac:dyDescent="0.25">
      <c r="C48">
        <f>AVERAGE(C31:Q31)</f>
        <v>1.2666666666666666</v>
      </c>
      <c r="P48" s="5"/>
    </row>
    <row r="49" spans="2:16" x14ac:dyDescent="0.25">
      <c r="P49" s="5"/>
    </row>
    <row r="50" spans="2:16" x14ac:dyDescent="0.25">
      <c r="P50" s="5"/>
    </row>
    <row r="51" spans="2:16" x14ac:dyDescent="0.25">
      <c r="P51" s="5"/>
    </row>
    <row r="52" spans="2:16" x14ac:dyDescent="0.25">
      <c r="B52" s="8" t="s">
        <v>52</v>
      </c>
      <c r="C52" s="8"/>
      <c r="D52" s="8"/>
      <c r="E52" s="8"/>
    </row>
  </sheetData>
  <mergeCells count="6">
    <mergeCell ref="BY2:CK2"/>
    <mergeCell ref="C2:Q2"/>
    <mergeCell ref="R2:AE2"/>
    <mergeCell ref="AF2:AT2"/>
    <mergeCell ref="AU2:BI2"/>
    <mergeCell ref="BJ2:BX2"/>
  </mergeCells>
  <conditionalFormatting sqref="C4:P4">
    <cfRule type="cellIs" dxfId="44" priority="19" operator="greaterThan">
      <formula>$C$42</formula>
    </cfRule>
  </conditionalFormatting>
  <conditionalFormatting sqref="C5:Q5">
    <cfRule type="cellIs" dxfId="43" priority="18" operator="greaterThan">
      <formula>$C$40</formula>
    </cfRule>
  </conditionalFormatting>
  <conditionalFormatting sqref="C6:Q6">
    <cfRule type="cellIs" dxfId="42" priority="17" operator="greaterThan">
      <formula>$C$43</formula>
    </cfRule>
  </conditionalFormatting>
  <conditionalFormatting sqref="E46">
    <cfRule type="cellIs" dxfId="41" priority="25" operator="greaterThan">
      <formula>$E$41</formula>
    </cfRule>
    <cfRule type="cellIs" dxfId="40" priority="27" operator="greaterThan">
      <formula>$E$43</formula>
    </cfRule>
  </conditionalFormatting>
  <conditionalFormatting sqref="R4:AE4">
    <cfRule type="cellIs" dxfId="39" priority="16" operator="greaterThan">
      <formula>$D$42</formula>
    </cfRule>
  </conditionalFormatting>
  <conditionalFormatting sqref="R5:AE5">
    <cfRule type="cellIs" dxfId="38" priority="15" operator="greaterThan">
      <formula>$D$40</formula>
    </cfRule>
  </conditionalFormatting>
  <conditionalFormatting sqref="R6:AE6">
    <cfRule type="cellIs" dxfId="37" priority="14" operator="greaterThan">
      <formula>$D$43</formula>
    </cfRule>
  </conditionalFormatting>
  <conditionalFormatting sqref="R7:AE7">
    <cfRule type="cellIs" dxfId="36" priority="24" operator="greaterThan">
      <formula>$D$41</formula>
    </cfRule>
  </conditionalFormatting>
  <conditionalFormatting sqref="AF5:AS5">
    <cfRule type="cellIs" dxfId="35" priority="12" operator="greaterThan">
      <formula>$E$40</formula>
    </cfRule>
  </conditionalFormatting>
  <conditionalFormatting sqref="AF4:AT4">
    <cfRule type="cellIs" dxfId="34" priority="13" operator="greaterThan">
      <formula>$E$42</formula>
    </cfRule>
  </conditionalFormatting>
  <conditionalFormatting sqref="AF6:AT6">
    <cfRule type="cellIs" dxfId="33" priority="11" operator="greaterThan">
      <formula>$E$43</formula>
    </cfRule>
  </conditionalFormatting>
  <conditionalFormatting sqref="AF7:AT7">
    <cfRule type="cellIs" dxfId="32" priority="23" operator="greaterThan">
      <formula>$E$41</formula>
    </cfRule>
  </conditionalFormatting>
  <conditionalFormatting sqref="AU4:BI4">
    <cfRule type="cellIs" dxfId="31" priority="10" operator="greaterThan">
      <formula>$F$42</formula>
    </cfRule>
  </conditionalFormatting>
  <conditionalFormatting sqref="AU5:BI5">
    <cfRule type="cellIs" dxfId="30" priority="9" operator="greaterThan">
      <formula>$F$40</formula>
    </cfRule>
  </conditionalFormatting>
  <conditionalFormatting sqref="AU6:BI6">
    <cfRule type="cellIs" dxfId="29" priority="8" operator="greaterThan">
      <formula>$F$43</formula>
    </cfRule>
  </conditionalFormatting>
  <conditionalFormatting sqref="AU7:BI7">
    <cfRule type="cellIs" dxfId="28" priority="22" operator="greaterThan">
      <formula>$F$41</formula>
    </cfRule>
  </conditionalFormatting>
  <conditionalFormatting sqref="BJ4:BX4">
    <cfRule type="cellIs" dxfId="27" priority="7" operator="greaterThan">
      <formula>$G$42</formula>
    </cfRule>
  </conditionalFormatting>
  <conditionalFormatting sqref="BJ5:BX5">
    <cfRule type="cellIs" dxfId="26" priority="6" operator="greaterThan">
      <formula>$G$40</formula>
    </cfRule>
  </conditionalFormatting>
  <conditionalFormatting sqref="BJ6:BX6">
    <cfRule type="cellIs" dxfId="25" priority="4" operator="greaterThan">
      <formula>$G$43</formula>
    </cfRule>
  </conditionalFormatting>
  <conditionalFormatting sqref="BJ7:BX7">
    <cfRule type="cellIs" dxfId="24" priority="21" operator="greaterThan">
      <formula>$G$41</formula>
    </cfRule>
  </conditionalFormatting>
  <conditionalFormatting sqref="BY4:CK4">
    <cfRule type="cellIs" dxfId="23" priority="3" operator="greaterThan">
      <formula>$H$42</formula>
    </cfRule>
  </conditionalFormatting>
  <conditionalFormatting sqref="BY5:CK5">
    <cfRule type="cellIs" dxfId="22" priority="2" operator="greaterThan">
      <formula>$H$40</formula>
    </cfRule>
  </conditionalFormatting>
  <conditionalFormatting sqref="BY6:CK6">
    <cfRule type="cellIs" dxfId="21" priority="1" operator="greaterThan">
      <formula>$H$43</formula>
    </cfRule>
  </conditionalFormatting>
  <conditionalFormatting sqref="BY7:CK7">
    <cfRule type="cellIs" dxfId="20" priority="20" operator="greaterThan">
      <formula>$H$41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CDBA-5161-463F-9CD7-037186A4B404}">
  <dimension ref="A1:F75"/>
  <sheetViews>
    <sheetView topLeftCell="A7" workbookViewId="0">
      <selection activeCell="L16" sqref="L16"/>
    </sheetView>
  </sheetViews>
  <sheetFormatPr defaultRowHeight="15.75" x14ac:dyDescent="0.25"/>
  <cols>
    <col min="2" max="2" width="9.25" bestFit="1" customWidth="1"/>
  </cols>
  <sheetData>
    <row r="1" spans="1:6" x14ac:dyDescent="0.25">
      <c r="A1" t="s">
        <v>0</v>
      </c>
      <c r="B1" t="s">
        <v>57</v>
      </c>
      <c r="C1" s="2" t="s">
        <v>8</v>
      </c>
      <c r="D1" s="2" t="s">
        <v>9</v>
      </c>
      <c r="E1" s="2" t="s">
        <v>10</v>
      </c>
      <c r="F1" s="2" t="s">
        <v>11</v>
      </c>
    </row>
    <row r="2" spans="1:6" x14ac:dyDescent="0.25">
      <c r="A2" t="s">
        <v>1</v>
      </c>
      <c r="B2">
        <v>1</v>
      </c>
      <c r="C2" s="5">
        <v>5000</v>
      </c>
      <c r="D2" s="3"/>
      <c r="E2" s="3">
        <v>383.46415000000002</v>
      </c>
      <c r="F2" s="3">
        <v>0</v>
      </c>
    </row>
    <row r="3" spans="1:6" x14ac:dyDescent="0.25">
      <c r="A3" t="s">
        <v>1</v>
      </c>
      <c r="B3">
        <v>2</v>
      </c>
      <c r="C3" s="5">
        <v>20000</v>
      </c>
      <c r="D3" s="3">
        <v>0.81810000000000005</v>
      </c>
      <c r="E3" s="3">
        <v>65.084549999999993</v>
      </c>
      <c r="F3" s="3">
        <v>0</v>
      </c>
    </row>
    <row r="4" spans="1:6" x14ac:dyDescent="0.25">
      <c r="A4" t="s">
        <v>1</v>
      </c>
      <c r="B4">
        <v>3</v>
      </c>
      <c r="C4" s="5">
        <v>10000</v>
      </c>
      <c r="D4" s="3">
        <v>1.2321</v>
      </c>
      <c r="E4" s="3">
        <v>132.7919</v>
      </c>
      <c r="F4" s="3">
        <v>0</v>
      </c>
    </row>
    <row r="5" spans="1:6" x14ac:dyDescent="0.25">
      <c r="A5" t="s">
        <v>1</v>
      </c>
      <c r="B5">
        <v>4</v>
      </c>
      <c r="C5" s="5">
        <v>30000</v>
      </c>
      <c r="D5" s="3">
        <v>7.9320000000000002E-2</v>
      </c>
      <c r="E5" s="3">
        <v>125.03915000000001</v>
      </c>
      <c r="F5" s="3">
        <v>0</v>
      </c>
    </row>
    <row r="6" spans="1:6" x14ac:dyDescent="0.25">
      <c r="A6" t="s">
        <v>1</v>
      </c>
      <c r="B6">
        <v>5</v>
      </c>
      <c r="C6" s="5">
        <v>20000</v>
      </c>
      <c r="D6" s="3">
        <v>9.4799999999999995E-2</v>
      </c>
      <c r="E6" s="3">
        <v>41.309449999999998</v>
      </c>
      <c r="F6" s="3">
        <v>0</v>
      </c>
    </row>
    <row r="7" spans="1:6" x14ac:dyDescent="0.25">
      <c r="A7" t="s">
        <v>1</v>
      </c>
      <c r="B7" s="8">
        <v>6</v>
      </c>
      <c r="C7" s="5">
        <v>40000</v>
      </c>
      <c r="D7" s="3">
        <v>1.0323</v>
      </c>
      <c r="E7" s="3">
        <v>150.88165000000001</v>
      </c>
      <c r="F7" s="3">
        <v>0</v>
      </c>
    </row>
    <row r="8" spans="1:6" x14ac:dyDescent="0.25">
      <c r="A8" t="s">
        <v>1</v>
      </c>
      <c r="B8" s="8">
        <v>7</v>
      </c>
      <c r="C8" s="5">
        <v>35000</v>
      </c>
      <c r="D8" s="3">
        <v>1.3012999999999999</v>
      </c>
      <c r="E8" s="3">
        <v>191.71279999999999</v>
      </c>
      <c r="F8" s="3">
        <v>0</v>
      </c>
    </row>
    <row r="9" spans="1:6" x14ac:dyDescent="0.25">
      <c r="A9" t="s">
        <v>1</v>
      </c>
      <c r="B9" s="8">
        <v>8</v>
      </c>
      <c r="C9" s="5">
        <v>10000</v>
      </c>
      <c r="D9" s="3">
        <v>1.2115</v>
      </c>
      <c r="E9" s="3">
        <v>264.58864999999997</v>
      </c>
      <c r="F9" s="3">
        <v>0</v>
      </c>
    </row>
    <row r="10" spans="1:6" x14ac:dyDescent="0.25">
      <c r="A10" t="s">
        <v>1</v>
      </c>
      <c r="B10" s="8">
        <v>9</v>
      </c>
      <c r="C10" s="5">
        <v>30000</v>
      </c>
      <c r="D10" s="3">
        <v>0.62409999999999999</v>
      </c>
      <c r="E10" s="3">
        <v>214.45419999999999</v>
      </c>
      <c r="F10" s="3">
        <v>0</v>
      </c>
    </row>
    <row r="11" spans="1:6" x14ac:dyDescent="0.25">
      <c r="A11" t="s">
        <v>1</v>
      </c>
      <c r="B11">
        <v>10</v>
      </c>
      <c r="C11" s="5">
        <v>15000</v>
      </c>
      <c r="D11" s="3">
        <v>0.64839999999999998</v>
      </c>
      <c r="E11" s="3">
        <v>268.20659999999998</v>
      </c>
      <c r="F11" s="3">
        <v>0</v>
      </c>
    </row>
    <row r="12" spans="1:6" x14ac:dyDescent="0.25">
      <c r="A12" t="s">
        <v>1</v>
      </c>
      <c r="B12" s="8">
        <v>11</v>
      </c>
      <c r="C12" s="5">
        <v>25000</v>
      </c>
      <c r="D12" s="3">
        <v>0.75690000000000002</v>
      </c>
      <c r="E12" s="3">
        <v>344.7004</v>
      </c>
      <c r="F12" s="3">
        <v>0</v>
      </c>
    </row>
    <row r="13" spans="1:6" x14ac:dyDescent="0.25">
      <c r="A13" t="s">
        <v>1</v>
      </c>
      <c r="B13">
        <v>12</v>
      </c>
      <c r="C13" s="5">
        <v>15000</v>
      </c>
      <c r="D13" s="3">
        <v>0.4446</v>
      </c>
      <c r="E13" s="3">
        <v>170.0051</v>
      </c>
      <c r="F13" s="3">
        <v>0</v>
      </c>
    </row>
    <row r="14" spans="1:6" x14ac:dyDescent="0.25">
      <c r="A14" t="s">
        <v>1</v>
      </c>
      <c r="B14" s="8">
        <v>13</v>
      </c>
      <c r="C14" s="5">
        <v>5000</v>
      </c>
      <c r="D14" s="3">
        <v>0.86719999999999997</v>
      </c>
      <c r="E14" s="3">
        <v>334.88024999999999</v>
      </c>
      <c r="F14" s="3">
        <v>0</v>
      </c>
    </row>
    <row r="15" spans="1:6" x14ac:dyDescent="0.25">
      <c r="A15" t="s">
        <v>1</v>
      </c>
      <c r="B15">
        <v>14</v>
      </c>
      <c r="C15" s="5">
        <v>10000</v>
      </c>
      <c r="D15" s="3">
        <v>0.76980000000000004</v>
      </c>
      <c r="E15" s="3">
        <v>140.02780000000001</v>
      </c>
      <c r="F15" s="3">
        <v>0</v>
      </c>
    </row>
    <row r="16" spans="1:6" x14ac:dyDescent="0.25">
      <c r="A16" t="s">
        <v>1</v>
      </c>
      <c r="B16" s="8">
        <v>15</v>
      </c>
      <c r="C16" s="5">
        <v>30000</v>
      </c>
      <c r="D16" s="3">
        <v>0.98839999999999995</v>
      </c>
      <c r="E16" s="3">
        <v>337.98135000000002</v>
      </c>
      <c r="F16" s="3">
        <v>0</v>
      </c>
    </row>
    <row r="17" spans="1:6" x14ac:dyDescent="0.25">
      <c r="A17" s="1" t="s">
        <v>2</v>
      </c>
      <c r="B17" s="8">
        <v>16</v>
      </c>
      <c r="C17" s="5">
        <v>1200000</v>
      </c>
      <c r="D17" s="4">
        <v>0</v>
      </c>
      <c r="E17" s="4">
        <v>582.45140000000004</v>
      </c>
      <c r="F17" s="4">
        <v>81852.426258969994</v>
      </c>
    </row>
    <row r="18" spans="1:6" x14ac:dyDescent="0.25">
      <c r="A18" s="1" t="s">
        <v>2</v>
      </c>
      <c r="B18" s="1">
        <v>17</v>
      </c>
      <c r="C18" s="5">
        <v>0</v>
      </c>
      <c r="D18" s="4">
        <v>0</v>
      </c>
      <c r="E18" s="4">
        <v>0</v>
      </c>
      <c r="F18" s="4">
        <v>989221.95260389999</v>
      </c>
    </row>
    <row r="19" spans="1:6" x14ac:dyDescent="0.25">
      <c r="A19" s="1" t="s">
        <v>2</v>
      </c>
      <c r="B19" s="8">
        <v>18</v>
      </c>
      <c r="C19" s="5">
        <v>600000</v>
      </c>
      <c r="D19" s="5">
        <v>1.0738000000000001</v>
      </c>
      <c r="E19" s="4">
        <v>271.82454999999999</v>
      </c>
      <c r="F19" s="4">
        <v>1023075478.7539901</v>
      </c>
    </row>
    <row r="20" spans="1:6" x14ac:dyDescent="0.25">
      <c r="A20" s="1" t="s">
        <v>2</v>
      </c>
      <c r="B20" s="8">
        <v>19</v>
      </c>
      <c r="C20" s="5">
        <v>240000</v>
      </c>
      <c r="D20" s="5">
        <v>0.6754</v>
      </c>
      <c r="E20" s="4">
        <v>197.91499999999999</v>
      </c>
      <c r="F20" s="4">
        <v>29041968.646761801</v>
      </c>
    </row>
    <row r="21" spans="1:6" x14ac:dyDescent="0.25">
      <c r="A21" s="1" t="s">
        <v>2</v>
      </c>
      <c r="B21" s="1">
        <v>20</v>
      </c>
      <c r="C21" s="5">
        <v>130000</v>
      </c>
      <c r="D21" s="5">
        <v>0.96009999999999995</v>
      </c>
      <c r="E21" s="4">
        <v>110.0505</v>
      </c>
      <c r="F21" s="4">
        <v>1.5872509100000001</v>
      </c>
    </row>
    <row r="22" spans="1:6" x14ac:dyDescent="0.25">
      <c r="A22" s="1" t="s">
        <v>2</v>
      </c>
      <c r="B22" s="1">
        <v>21</v>
      </c>
      <c r="C22" s="5">
        <v>120000</v>
      </c>
      <c r="D22" s="5">
        <v>1.1644000000000001</v>
      </c>
      <c r="E22" s="4">
        <v>150.88165000000001</v>
      </c>
      <c r="F22" s="4">
        <v>1459266.8158567499</v>
      </c>
    </row>
    <row r="23" spans="1:6" x14ac:dyDescent="0.25">
      <c r="A23" s="1" t="s">
        <v>2</v>
      </c>
      <c r="B23" s="1">
        <v>22</v>
      </c>
      <c r="C23" s="5">
        <v>200000</v>
      </c>
      <c r="D23" s="5">
        <v>1.4263999999999999</v>
      </c>
      <c r="E23" s="4">
        <v>161.21865</v>
      </c>
      <c r="F23" s="4">
        <v>401284.92599855002</v>
      </c>
    </row>
    <row r="24" spans="1:6" x14ac:dyDescent="0.25">
      <c r="A24" s="1" t="s">
        <v>2</v>
      </c>
      <c r="B24" s="8">
        <v>23</v>
      </c>
      <c r="C24" s="5">
        <v>710000</v>
      </c>
      <c r="D24" s="5">
        <v>0.88970000000000005</v>
      </c>
      <c r="E24" s="4">
        <v>247.5326</v>
      </c>
      <c r="F24" s="4">
        <v>2632593313.2774301</v>
      </c>
    </row>
    <row r="25" spans="1:6" x14ac:dyDescent="0.25">
      <c r="A25" s="1" t="s">
        <v>2</v>
      </c>
      <c r="B25" s="8">
        <v>24</v>
      </c>
      <c r="C25" s="5">
        <v>510000</v>
      </c>
      <c r="D25" s="5">
        <v>0.96360000000000001</v>
      </c>
      <c r="E25" s="4">
        <v>140.02780000000001</v>
      </c>
      <c r="F25" s="4">
        <v>1712121075.6644199</v>
      </c>
    </row>
    <row r="26" spans="1:6" x14ac:dyDescent="0.25">
      <c r="A26" s="1" t="s">
        <v>2</v>
      </c>
      <c r="B26" s="1">
        <v>25</v>
      </c>
      <c r="C26" s="5">
        <v>150000</v>
      </c>
      <c r="D26" s="5">
        <v>0.83530000000000004</v>
      </c>
      <c r="E26" s="4">
        <v>156.56700000000001</v>
      </c>
      <c r="F26" s="4">
        <v>99760.323626020006</v>
      </c>
    </row>
    <row r="27" spans="1:6" x14ac:dyDescent="0.25">
      <c r="A27" s="1" t="s">
        <v>2</v>
      </c>
      <c r="B27" s="8">
        <v>26</v>
      </c>
      <c r="C27" s="5">
        <v>880000</v>
      </c>
      <c r="D27" s="5">
        <v>0.90890000000000004</v>
      </c>
      <c r="E27" s="4">
        <v>259.93700000000001</v>
      </c>
      <c r="F27" s="4">
        <v>942388438.97446203</v>
      </c>
    </row>
    <row r="28" spans="1:6" x14ac:dyDescent="0.25">
      <c r="A28" s="1" t="s">
        <v>2</v>
      </c>
      <c r="B28" s="1">
        <v>27</v>
      </c>
      <c r="C28" s="5">
        <v>60000</v>
      </c>
      <c r="D28" s="5">
        <v>1.0063</v>
      </c>
      <c r="E28" s="4">
        <v>57.331800000000001</v>
      </c>
      <c r="F28" s="4">
        <v>31337.002979929999</v>
      </c>
    </row>
    <row r="29" spans="1:6" x14ac:dyDescent="0.25">
      <c r="A29" s="1" t="s">
        <v>2</v>
      </c>
      <c r="B29" s="1">
        <v>28</v>
      </c>
      <c r="C29" s="5">
        <v>450000</v>
      </c>
      <c r="D29" s="5">
        <v>0.57640000000000002</v>
      </c>
      <c r="E29" s="4">
        <v>187.06115</v>
      </c>
      <c r="F29" s="4">
        <v>2839538317.53368</v>
      </c>
    </row>
    <row r="30" spans="1:6" x14ac:dyDescent="0.25">
      <c r="A30" s="1" t="s">
        <v>2</v>
      </c>
      <c r="B30" s="8">
        <v>29</v>
      </c>
      <c r="C30" s="5">
        <v>570000</v>
      </c>
      <c r="D30" s="5">
        <v>0.50370000000000004</v>
      </c>
      <c r="E30" s="4">
        <v>473.91289999999998</v>
      </c>
      <c r="F30" s="4">
        <v>278717253.53895199</v>
      </c>
    </row>
    <row r="31" spans="1:6" x14ac:dyDescent="0.25">
      <c r="A31" t="s">
        <v>3</v>
      </c>
      <c r="B31" s="8">
        <v>31</v>
      </c>
      <c r="C31" s="5">
        <v>260000</v>
      </c>
      <c r="D31" s="3">
        <v>1.1309</v>
      </c>
      <c r="E31" s="3">
        <v>89.376499999999993</v>
      </c>
      <c r="F31" s="3">
        <v>2241464703.7393599</v>
      </c>
    </row>
    <row r="32" spans="1:6" x14ac:dyDescent="0.25">
      <c r="A32" t="s">
        <v>3</v>
      </c>
      <c r="B32" s="8">
        <v>32</v>
      </c>
      <c r="C32" s="5">
        <v>2470000</v>
      </c>
      <c r="D32" s="3">
        <v>1.0760000000000001</v>
      </c>
      <c r="E32" s="3">
        <v>564.36165000000005</v>
      </c>
      <c r="F32" s="3">
        <v>1262510.64110364</v>
      </c>
    </row>
    <row r="33" spans="1:6" x14ac:dyDescent="0.25">
      <c r="A33" t="s">
        <v>3</v>
      </c>
      <c r="B33" s="8">
        <v>33</v>
      </c>
      <c r="C33" s="5">
        <v>190000</v>
      </c>
      <c r="D33" s="3">
        <v>0.82750000000000001</v>
      </c>
      <c r="E33" s="3">
        <v>209.80255</v>
      </c>
      <c r="F33" s="3">
        <v>636002153.82449603</v>
      </c>
    </row>
    <row r="34" spans="1:6" x14ac:dyDescent="0.25">
      <c r="A34" t="s">
        <v>3</v>
      </c>
      <c r="B34">
        <v>34</v>
      </c>
      <c r="C34" s="5">
        <v>100000</v>
      </c>
      <c r="D34" s="3">
        <v>1.2958000000000001</v>
      </c>
      <c r="E34" s="3">
        <v>81.106899999999996</v>
      </c>
      <c r="F34" s="3">
        <v>1549.6766822100001</v>
      </c>
    </row>
    <row r="35" spans="1:6" x14ac:dyDescent="0.25">
      <c r="A35" t="s">
        <v>3</v>
      </c>
      <c r="B35" s="8">
        <v>35</v>
      </c>
      <c r="C35" s="5">
        <v>1680000</v>
      </c>
      <c r="D35" s="3">
        <v>1.0489999999999999</v>
      </c>
      <c r="E35" s="3">
        <v>566.42904999999996</v>
      </c>
      <c r="F35" s="3">
        <v>10250307685.508301</v>
      </c>
    </row>
    <row r="36" spans="1:6" x14ac:dyDescent="0.25">
      <c r="A36" t="s">
        <v>3</v>
      </c>
      <c r="B36" s="8">
        <v>36</v>
      </c>
      <c r="C36" s="5">
        <v>280000</v>
      </c>
      <c r="D36" s="3">
        <v>0.89929999999999999</v>
      </c>
      <c r="E36" s="3">
        <v>273.89195000000001</v>
      </c>
      <c r="F36" s="3">
        <v>2066666226.65995</v>
      </c>
    </row>
    <row r="37" spans="1:6" x14ac:dyDescent="0.25">
      <c r="A37" t="s">
        <v>3</v>
      </c>
      <c r="B37" s="8">
        <v>37</v>
      </c>
      <c r="C37" s="5">
        <v>420000</v>
      </c>
      <c r="D37" s="3">
        <v>0.6724</v>
      </c>
      <c r="E37" s="3">
        <v>451.68835000000001</v>
      </c>
      <c r="F37" s="3">
        <v>2866032345.0096998</v>
      </c>
    </row>
    <row r="38" spans="1:6" x14ac:dyDescent="0.25">
      <c r="A38" t="s">
        <v>3</v>
      </c>
      <c r="B38">
        <v>38</v>
      </c>
      <c r="C38" s="5">
        <v>110000</v>
      </c>
      <c r="D38" s="3">
        <v>1.2614000000000001</v>
      </c>
      <c r="E38" s="3">
        <v>141.57835</v>
      </c>
      <c r="F38" s="3">
        <v>319085.14407053002</v>
      </c>
    </row>
    <row r="39" spans="1:6" x14ac:dyDescent="0.25">
      <c r="A39" t="s">
        <v>3</v>
      </c>
      <c r="B39">
        <v>39</v>
      </c>
      <c r="C39" s="5">
        <v>130000</v>
      </c>
      <c r="D39" s="3">
        <v>0.87680000000000002</v>
      </c>
      <c r="E39" s="3">
        <v>203.60034999999999</v>
      </c>
      <c r="F39" s="3">
        <v>144111.85192178001</v>
      </c>
    </row>
    <row r="40" spans="1:6" x14ac:dyDescent="0.25">
      <c r="A40" t="s">
        <v>3</v>
      </c>
      <c r="B40" s="8">
        <v>40</v>
      </c>
      <c r="C40" s="5">
        <v>340000</v>
      </c>
      <c r="D40" s="3">
        <v>1.1689000000000001</v>
      </c>
      <c r="E40" s="3">
        <v>203.60034999999999</v>
      </c>
      <c r="F40" s="3">
        <v>257393698.242551</v>
      </c>
    </row>
    <row r="41" spans="1:6" x14ac:dyDescent="0.25">
      <c r="A41" t="s">
        <v>3</v>
      </c>
      <c r="B41">
        <v>41</v>
      </c>
      <c r="C41" s="5">
        <v>70000</v>
      </c>
      <c r="D41" s="3">
        <v>1.2182999999999999</v>
      </c>
      <c r="E41" s="3">
        <v>113.1516</v>
      </c>
      <c r="F41" s="3">
        <v>412935.46397869999</v>
      </c>
    </row>
    <row r="42" spans="1:6" x14ac:dyDescent="0.25">
      <c r="A42" t="s">
        <v>3</v>
      </c>
      <c r="B42">
        <v>42</v>
      </c>
      <c r="C42" s="5">
        <v>110000</v>
      </c>
      <c r="D42" s="3">
        <v>1.3091999999999999</v>
      </c>
      <c r="E42" s="3">
        <v>139.51095000000001</v>
      </c>
      <c r="F42" s="3">
        <v>731621.10292839003</v>
      </c>
    </row>
    <row r="43" spans="1:6" x14ac:dyDescent="0.25">
      <c r="A43" t="s">
        <v>3</v>
      </c>
      <c r="B43">
        <v>43</v>
      </c>
      <c r="C43" s="5">
        <v>0</v>
      </c>
      <c r="D43" s="3">
        <v>0.94389999999999996</v>
      </c>
      <c r="E43" s="3">
        <v>0</v>
      </c>
      <c r="F43" s="3">
        <v>17834087466.469898</v>
      </c>
    </row>
    <row r="44" spans="1:6" x14ac:dyDescent="0.25">
      <c r="A44" t="s">
        <v>3</v>
      </c>
      <c r="B44">
        <v>44</v>
      </c>
      <c r="C44" s="5">
        <v>110000</v>
      </c>
      <c r="D44" s="3">
        <v>1.0021</v>
      </c>
      <c r="E44" s="3">
        <v>304.3861</v>
      </c>
      <c r="F44" s="3">
        <v>1143987.8779122201</v>
      </c>
    </row>
    <row r="45" spans="1:6" x14ac:dyDescent="0.25">
      <c r="A45" t="s">
        <v>3</v>
      </c>
      <c r="B45">
        <v>45</v>
      </c>
      <c r="C45" s="5">
        <v>120000</v>
      </c>
      <c r="D45" s="3">
        <v>1.1171</v>
      </c>
      <c r="E45" s="3">
        <v>238.22929999999999</v>
      </c>
      <c r="F45" s="3">
        <v>534957.54951010004</v>
      </c>
    </row>
    <row r="46" spans="1:6" x14ac:dyDescent="0.25">
      <c r="A46" s="1" t="s">
        <v>4</v>
      </c>
      <c r="B46" s="8">
        <v>46</v>
      </c>
      <c r="C46" s="5">
        <v>410000</v>
      </c>
      <c r="D46" s="4">
        <v>0.82010000000000005</v>
      </c>
      <c r="E46" s="4">
        <v>282.67840000000001</v>
      </c>
      <c r="F46" s="4">
        <v>1413963671.06949</v>
      </c>
    </row>
    <row r="47" spans="1:6" x14ac:dyDescent="0.25">
      <c r="A47" s="1" t="s">
        <v>4</v>
      </c>
      <c r="B47" s="1">
        <v>47</v>
      </c>
      <c r="C47" s="5">
        <v>140000</v>
      </c>
      <c r="D47" s="4">
        <v>1.2728999999999999</v>
      </c>
      <c r="E47" s="4">
        <v>121.93805</v>
      </c>
      <c r="F47" s="4">
        <v>2009020.4870942701</v>
      </c>
    </row>
    <row r="48" spans="1:6" x14ac:dyDescent="0.25">
      <c r="A48" s="1" t="s">
        <v>4</v>
      </c>
      <c r="B48" s="1">
        <v>48</v>
      </c>
      <c r="C48" s="5">
        <v>90000</v>
      </c>
      <c r="D48" s="4">
        <v>1.5</v>
      </c>
      <c r="E48" s="4">
        <v>165.87029999999999</v>
      </c>
      <c r="F48" s="4">
        <v>497609.07598596998</v>
      </c>
    </row>
    <row r="49" spans="1:6" x14ac:dyDescent="0.25">
      <c r="A49" s="1" t="s">
        <v>4</v>
      </c>
      <c r="B49" s="8">
        <v>49</v>
      </c>
      <c r="C49" s="5">
        <v>490000</v>
      </c>
      <c r="D49" s="4">
        <v>0.90569999999999995</v>
      </c>
      <c r="E49" s="4">
        <v>467.71069999999997</v>
      </c>
      <c r="F49" s="4">
        <v>600524101.46607101</v>
      </c>
    </row>
    <row r="50" spans="1:6" x14ac:dyDescent="0.25">
      <c r="A50" s="1" t="s">
        <v>4</v>
      </c>
      <c r="B50" s="8">
        <v>50</v>
      </c>
      <c r="C50" s="5">
        <v>2900000</v>
      </c>
      <c r="D50" s="4">
        <v>0.63629999999999998</v>
      </c>
      <c r="E50" s="4">
        <v>766.45</v>
      </c>
      <c r="F50" s="4">
        <v>3434355522.1911302</v>
      </c>
    </row>
    <row r="51" spans="1:6" x14ac:dyDescent="0.25">
      <c r="A51" s="1" t="s">
        <v>4</v>
      </c>
      <c r="B51" s="8">
        <v>51</v>
      </c>
      <c r="C51" s="5">
        <v>590000</v>
      </c>
      <c r="D51" s="4">
        <v>0.60150000000000003</v>
      </c>
      <c r="E51" s="4">
        <v>510.60924999999997</v>
      </c>
      <c r="F51" s="4">
        <v>178423707.61213899</v>
      </c>
    </row>
    <row r="52" spans="1:6" x14ac:dyDescent="0.25">
      <c r="A52" s="1" t="s">
        <v>4</v>
      </c>
      <c r="B52" s="1">
        <v>52</v>
      </c>
      <c r="C52" s="5">
        <v>100000</v>
      </c>
      <c r="D52" s="4">
        <v>1.3083</v>
      </c>
      <c r="E52" s="4">
        <v>68.185649999999995</v>
      </c>
      <c r="F52" s="4">
        <v>90934.776793950005</v>
      </c>
    </row>
    <row r="53" spans="1:6" x14ac:dyDescent="0.25">
      <c r="A53" s="1" t="s">
        <v>4</v>
      </c>
      <c r="B53" s="1">
        <v>53</v>
      </c>
      <c r="C53" s="5">
        <v>170000</v>
      </c>
      <c r="D53" s="4">
        <v>1.2401</v>
      </c>
      <c r="E53" s="4">
        <v>126.58969999999999</v>
      </c>
      <c r="F53" s="4">
        <v>232817.39355355001</v>
      </c>
    </row>
    <row r="54" spans="1:6" x14ac:dyDescent="0.25">
      <c r="A54" s="1" t="s">
        <v>4</v>
      </c>
      <c r="B54" s="1">
        <v>54</v>
      </c>
      <c r="C54" s="5">
        <v>90000</v>
      </c>
      <c r="D54" s="4">
        <v>0.98429999999999995</v>
      </c>
      <c r="E54" s="4">
        <v>335.39710000000002</v>
      </c>
      <c r="F54" s="4">
        <v>15080724.930002701</v>
      </c>
    </row>
    <row r="55" spans="1:6" x14ac:dyDescent="0.25">
      <c r="A55" s="1" t="s">
        <v>4</v>
      </c>
      <c r="B55" s="1">
        <v>55</v>
      </c>
      <c r="C55" s="5">
        <v>70000</v>
      </c>
      <c r="D55" s="4">
        <v>1.3628</v>
      </c>
      <c r="E55" s="4">
        <v>44.410550000000001</v>
      </c>
      <c r="F55" s="4">
        <v>2879404.30653525</v>
      </c>
    </row>
    <row r="56" spans="1:6" x14ac:dyDescent="0.25">
      <c r="A56" s="1" t="s">
        <v>4</v>
      </c>
      <c r="B56" s="8">
        <v>56</v>
      </c>
      <c r="C56" s="5">
        <v>370000</v>
      </c>
      <c r="D56" s="4">
        <v>0.72629999999999995</v>
      </c>
      <c r="E56" s="4">
        <v>343.66669999999999</v>
      </c>
      <c r="F56" s="4">
        <v>415032923.24389303</v>
      </c>
    </row>
    <row r="57" spans="1:6" x14ac:dyDescent="0.25">
      <c r="A57" s="1" t="s">
        <v>4</v>
      </c>
      <c r="B57" s="8">
        <v>57</v>
      </c>
      <c r="C57" s="5">
        <v>580000</v>
      </c>
      <c r="D57" s="4">
        <v>0.7853</v>
      </c>
      <c r="E57" s="4">
        <v>241.84725</v>
      </c>
      <c r="F57" s="4">
        <v>9525915249.8010101</v>
      </c>
    </row>
    <row r="58" spans="1:6" x14ac:dyDescent="0.25">
      <c r="A58" s="1" t="s">
        <v>4</v>
      </c>
      <c r="B58" s="1">
        <v>58</v>
      </c>
      <c r="C58" s="5">
        <v>110000</v>
      </c>
      <c r="D58" s="4">
        <v>1.3406</v>
      </c>
      <c r="E58" s="4">
        <v>76.972099999999998</v>
      </c>
      <c r="F58" s="4">
        <v>1750507.5590779099</v>
      </c>
    </row>
    <row r="59" spans="1:6" x14ac:dyDescent="0.25">
      <c r="A59" s="1" t="s">
        <v>4</v>
      </c>
      <c r="B59" s="1">
        <v>59</v>
      </c>
      <c r="C59" s="5">
        <v>250000</v>
      </c>
      <c r="D59" s="4">
        <v>1.0613999999999999</v>
      </c>
      <c r="E59" s="4">
        <v>227.89230000000001</v>
      </c>
      <c r="F59" s="4">
        <v>103199187.83795001</v>
      </c>
    </row>
    <row r="60" spans="1:6" x14ac:dyDescent="0.25">
      <c r="A60" s="1" t="s">
        <v>4</v>
      </c>
      <c r="B60" s="8">
        <v>60</v>
      </c>
      <c r="C60" s="5">
        <v>2050000</v>
      </c>
      <c r="D60" s="4">
        <v>1.0247999999999999</v>
      </c>
      <c r="E60" s="4">
        <v>406.20555000000002</v>
      </c>
      <c r="F60" s="4">
        <v>3399584766.04252</v>
      </c>
    </row>
    <row r="61" spans="1:6" x14ac:dyDescent="0.25">
      <c r="A61" t="s">
        <v>5</v>
      </c>
      <c r="B61" s="8">
        <v>61</v>
      </c>
      <c r="C61" s="5">
        <v>1820000</v>
      </c>
      <c r="D61" s="3">
        <v>1.0961000000000001</v>
      </c>
      <c r="E61" s="3">
        <v>1052.7849000000001</v>
      </c>
      <c r="F61" s="3">
        <v>4019675.2532921201</v>
      </c>
    </row>
    <row r="62" spans="1:6" x14ac:dyDescent="0.25">
      <c r="A62" t="s">
        <v>5</v>
      </c>
      <c r="B62" s="8">
        <v>62</v>
      </c>
      <c r="C62" s="5">
        <v>1340000</v>
      </c>
      <c r="D62" s="3">
        <v>0.61160000000000003</v>
      </c>
      <c r="E62" s="3">
        <v>1463.68065</v>
      </c>
      <c r="F62" s="3">
        <v>3853787393.3745799</v>
      </c>
    </row>
    <row r="63" spans="1:6" x14ac:dyDescent="0.25">
      <c r="A63" t="s">
        <v>5</v>
      </c>
      <c r="B63" s="8">
        <v>63</v>
      </c>
      <c r="C63" s="5">
        <v>270000</v>
      </c>
      <c r="D63" s="3">
        <v>1.6080000000000001</v>
      </c>
      <c r="E63" s="3">
        <v>367.4418</v>
      </c>
      <c r="F63" s="3">
        <v>538694.18401793996</v>
      </c>
    </row>
    <row r="64" spans="1:6" x14ac:dyDescent="0.25">
      <c r="A64" t="s">
        <v>5</v>
      </c>
      <c r="B64">
        <v>64</v>
      </c>
      <c r="C64" s="5">
        <v>360000</v>
      </c>
      <c r="D64" s="3">
        <v>1.0746</v>
      </c>
      <c r="E64" s="3">
        <v>221.17325</v>
      </c>
      <c r="F64" s="3">
        <v>152368.46750221</v>
      </c>
    </row>
    <row r="65" spans="1:6" x14ac:dyDescent="0.25">
      <c r="A65" t="s">
        <v>5</v>
      </c>
      <c r="B65">
        <v>65</v>
      </c>
      <c r="C65" s="5">
        <v>100000</v>
      </c>
      <c r="D65" s="3">
        <v>1.2428999999999999</v>
      </c>
      <c r="E65" s="3">
        <v>358.13850000000002</v>
      </c>
      <c r="F65" s="3">
        <v>1.2751321200000001</v>
      </c>
    </row>
    <row r="66" spans="1:6" x14ac:dyDescent="0.25">
      <c r="A66" t="s">
        <v>5</v>
      </c>
      <c r="B66" s="8">
        <v>66</v>
      </c>
      <c r="C66" s="5">
        <v>750000</v>
      </c>
      <c r="D66" s="3">
        <v>0.68100000000000005</v>
      </c>
      <c r="E66" s="3">
        <v>504.9239</v>
      </c>
      <c r="F66" s="3">
        <v>79438593.989735693</v>
      </c>
    </row>
    <row r="67" spans="1:6" x14ac:dyDescent="0.25">
      <c r="A67" t="s">
        <v>5</v>
      </c>
      <c r="B67">
        <v>67</v>
      </c>
      <c r="C67" s="5">
        <v>250000</v>
      </c>
      <c r="D67" s="3">
        <v>0.76290000000000002</v>
      </c>
      <c r="E67" s="3">
        <v>191.71279999999999</v>
      </c>
      <c r="F67" s="3">
        <v>413.60424059000002</v>
      </c>
    </row>
    <row r="68" spans="1:6" x14ac:dyDescent="0.25">
      <c r="A68" t="s">
        <v>5</v>
      </c>
      <c r="B68">
        <v>68</v>
      </c>
      <c r="C68" s="5">
        <v>40000</v>
      </c>
      <c r="D68" s="3">
        <v>1.1087</v>
      </c>
      <c r="E68" s="3">
        <v>58.882350000000002</v>
      </c>
      <c r="F68" s="3">
        <v>1.13709587</v>
      </c>
    </row>
    <row r="69" spans="1:6" x14ac:dyDescent="0.25">
      <c r="A69" t="s">
        <v>5</v>
      </c>
      <c r="B69" s="8">
        <v>69</v>
      </c>
      <c r="C69" s="5">
        <v>860000</v>
      </c>
      <c r="D69" s="3">
        <v>0.63229999999999997</v>
      </c>
      <c r="E69" s="3">
        <v>211.35310000000001</v>
      </c>
      <c r="F69" s="3">
        <v>19846334.642806798</v>
      </c>
    </row>
    <row r="70" spans="1:6" x14ac:dyDescent="0.25">
      <c r="A70" t="s">
        <v>5</v>
      </c>
      <c r="B70">
        <v>70</v>
      </c>
      <c r="C70" s="5">
        <v>120000</v>
      </c>
      <c r="D70" s="3">
        <v>1.0761000000000001</v>
      </c>
      <c r="E70" s="3">
        <v>228.92599999999999</v>
      </c>
      <c r="F70" s="3">
        <v>1.0601868800000001</v>
      </c>
    </row>
    <row r="71" spans="1:6" x14ac:dyDescent="0.25">
      <c r="A71" t="s">
        <v>5</v>
      </c>
      <c r="B71" s="8">
        <v>71</v>
      </c>
      <c r="C71" s="5">
        <v>8000000</v>
      </c>
      <c r="D71" s="3">
        <v>1.8392999999999999</v>
      </c>
      <c r="E71" s="3">
        <v>601.57484999999997</v>
      </c>
      <c r="F71" s="3">
        <v>9970457.9122047108</v>
      </c>
    </row>
    <row r="72" spans="1:6" x14ac:dyDescent="0.25">
      <c r="A72" t="s">
        <v>5</v>
      </c>
      <c r="B72" s="8">
        <v>72</v>
      </c>
      <c r="C72" s="5">
        <v>210000</v>
      </c>
      <c r="D72" s="3">
        <v>1.4703999999999999</v>
      </c>
      <c r="E72" s="3">
        <v>467.19385</v>
      </c>
      <c r="F72" s="3">
        <v>402922.53691069997</v>
      </c>
    </row>
    <row r="73" spans="1:6" x14ac:dyDescent="0.25">
      <c r="A73" t="s">
        <v>5</v>
      </c>
      <c r="B73">
        <v>73</v>
      </c>
      <c r="C73" s="5">
        <v>280000</v>
      </c>
      <c r="D73" s="3">
        <v>0.62960000000000005</v>
      </c>
      <c r="E73" s="3">
        <v>242.36410000000001</v>
      </c>
      <c r="F73" s="3">
        <v>1.0283613700000001</v>
      </c>
    </row>
    <row r="74" spans="1:6" x14ac:dyDescent="0.25">
      <c r="A74" t="s">
        <v>5</v>
      </c>
      <c r="B74">
        <v>74</v>
      </c>
      <c r="C74" s="5">
        <v>330000</v>
      </c>
      <c r="D74" s="3">
        <v>1.0439000000000001</v>
      </c>
      <c r="E74" s="3">
        <v>94.545000000000002</v>
      </c>
      <c r="F74" s="3">
        <v>65980.950302409998</v>
      </c>
    </row>
    <row r="75" spans="1:6" x14ac:dyDescent="0.25">
      <c r="A75" t="s">
        <v>5</v>
      </c>
      <c r="B75" s="8">
        <v>75</v>
      </c>
      <c r="C75" s="5">
        <v>2680000</v>
      </c>
      <c r="D75" s="3">
        <v>2.0920000000000001</v>
      </c>
      <c r="E75" s="3">
        <v>840.87639999999999</v>
      </c>
      <c r="F75" s="3">
        <v>0.65914265999999999</v>
      </c>
    </row>
  </sheetData>
  <phoneticPr fontId="3" type="noConversion"/>
  <conditionalFormatting sqref="C2:C15">
    <cfRule type="cellIs" dxfId="19" priority="15" operator="greaterThan">
      <formula>$C$42</formula>
    </cfRule>
  </conditionalFormatting>
  <conditionalFormatting sqref="C17:C30">
    <cfRule type="cellIs" dxfId="18" priority="12" operator="greaterThan">
      <formula>$D$42</formula>
    </cfRule>
  </conditionalFormatting>
  <conditionalFormatting sqref="C31:C45">
    <cfRule type="cellIs" dxfId="17" priority="9" operator="greaterThan">
      <formula>$E$42</formula>
    </cfRule>
  </conditionalFormatting>
  <conditionalFormatting sqref="C46:C60">
    <cfRule type="cellIs" dxfId="16" priority="6" operator="greaterThan">
      <formula>$F$42</formula>
    </cfRule>
  </conditionalFormatting>
  <conditionalFormatting sqref="C61:C75">
    <cfRule type="cellIs" dxfId="15" priority="3" operator="greaterThan">
      <formula>$G$42</formula>
    </cfRule>
  </conditionalFormatting>
  <conditionalFormatting sqref="D2:D16">
    <cfRule type="cellIs" dxfId="14" priority="14" operator="greaterThan">
      <formula>$C$40</formula>
    </cfRule>
  </conditionalFormatting>
  <conditionalFormatting sqref="D17:D30">
    <cfRule type="cellIs" dxfId="13" priority="11" operator="greaterThan">
      <formula>$D$40</formula>
    </cfRule>
  </conditionalFormatting>
  <conditionalFormatting sqref="D31:D44">
    <cfRule type="cellIs" dxfId="12" priority="8" operator="greaterThan">
      <formula>$E$40</formula>
    </cfRule>
  </conditionalFormatting>
  <conditionalFormatting sqref="D46:D60">
    <cfRule type="cellIs" dxfId="11" priority="5" operator="greaterThan">
      <formula>$F$40</formula>
    </cfRule>
  </conditionalFormatting>
  <conditionalFormatting sqref="D61:D75">
    <cfRule type="cellIs" dxfId="10" priority="2" operator="greaterThan">
      <formula>$G$40</formula>
    </cfRule>
  </conditionalFormatting>
  <conditionalFormatting sqref="E2:E16">
    <cfRule type="cellIs" dxfId="9" priority="13" operator="greaterThan">
      <formula>$C$43</formula>
    </cfRule>
  </conditionalFormatting>
  <conditionalFormatting sqref="E17:E30">
    <cfRule type="cellIs" dxfId="8" priority="10" operator="greaterThan">
      <formula>$D$43</formula>
    </cfRule>
  </conditionalFormatting>
  <conditionalFormatting sqref="E31:E45">
    <cfRule type="cellIs" dxfId="7" priority="7" operator="greaterThan">
      <formula>$E$43</formula>
    </cfRule>
  </conditionalFormatting>
  <conditionalFormatting sqref="E46:E60">
    <cfRule type="cellIs" dxfId="6" priority="4" operator="greaterThan">
      <formula>$F$43</formula>
    </cfRule>
  </conditionalFormatting>
  <conditionalFormatting sqref="E61:E75">
    <cfRule type="cellIs" dxfId="5" priority="1" operator="greaterThan">
      <formula>$G$43</formula>
    </cfRule>
  </conditionalFormatting>
  <conditionalFormatting sqref="F17:F30">
    <cfRule type="cellIs" dxfId="4" priority="19" operator="greaterThan">
      <formula>$D$41</formula>
    </cfRule>
  </conditionalFormatting>
  <conditionalFormatting sqref="F31:F45">
    <cfRule type="cellIs" dxfId="3" priority="18" operator="greaterThan">
      <formula>$E$41</formula>
    </cfRule>
  </conditionalFormatting>
  <conditionalFormatting sqref="F46:F60">
    <cfRule type="cellIs" dxfId="2" priority="17" operator="greaterThan">
      <formula>$F$41</formula>
    </cfRule>
  </conditionalFormatting>
  <conditionalFormatting sqref="F61:F75">
    <cfRule type="cellIs" dxfId="1" priority="16" operator="greaterThan">
      <formula>$G$41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B2A48-1142-5747-8DAB-FD2A8B4A7C2E}">
  <dimension ref="A1:C75"/>
  <sheetViews>
    <sheetView workbookViewId="0">
      <selection activeCell="D1" sqref="D1"/>
    </sheetView>
  </sheetViews>
  <sheetFormatPr defaultColWidth="11" defaultRowHeight="15.75" x14ac:dyDescent="0.25"/>
  <sheetData>
    <row r="1" spans="1:3" x14ac:dyDescent="0.25">
      <c r="A1" t="s">
        <v>53</v>
      </c>
      <c r="B1" t="s">
        <v>54</v>
      </c>
      <c r="C1" t="s">
        <v>58</v>
      </c>
    </row>
    <row r="2" spans="1:3" x14ac:dyDescent="0.25">
      <c r="A2">
        <v>1</v>
      </c>
      <c r="B2">
        <v>0</v>
      </c>
      <c r="C2" t="s">
        <v>55</v>
      </c>
    </row>
    <row r="3" spans="1:3" x14ac:dyDescent="0.25">
      <c r="A3">
        <v>2</v>
      </c>
      <c r="B3">
        <v>0</v>
      </c>
      <c r="C3" t="s">
        <v>55</v>
      </c>
    </row>
    <row r="4" spans="1:3" x14ac:dyDescent="0.25">
      <c r="A4">
        <v>3</v>
      </c>
      <c r="B4">
        <v>0</v>
      </c>
      <c r="C4" t="s">
        <v>55</v>
      </c>
    </row>
    <row r="5" spans="1:3" x14ac:dyDescent="0.25">
      <c r="A5">
        <v>4</v>
      </c>
      <c r="B5">
        <v>0</v>
      </c>
      <c r="C5" t="s">
        <v>55</v>
      </c>
    </row>
    <row r="6" spans="1:3" x14ac:dyDescent="0.25">
      <c r="A6">
        <v>5</v>
      </c>
      <c r="B6">
        <v>0</v>
      </c>
      <c r="C6" t="s">
        <v>55</v>
      </c>
    </row>
    <row r="7" spans="1:3" x14ac:dyDescent="0.25">
      <c r="A7" s="8">
        <v>6</v>
      </c>
      <c r="B7">
        <v>0</v>
      </c>
      <c r="C7" t="s">
        <v>56</v>
      </c>
    </row>
    <row r="8" spans="1:3" x14ac:dyDescent="0.25">
      <c r="A8" s="8">
        <v>7</v>
      </c>
      <c r="B8">
        <v>0</v>
      </c>
      <c r="C8" t="s">
        <v>56</v>
      </c>
    </row>
    <row r="9" spans="1:3" x14ac:dyDescent="0.25">
      <c r="A9" s="8">
        <v>8</v>
      </c>
      <c r="B9">
        <v>0</v>
      </c>
      <c r="C9" t="s">
        <v>56</v>
      </c>
    </row>
    <row r="10" spans="1:3" x14ac:dyDescent="0.25">
      <c r="A10" s="8">
        <v>9</v>
      </c>
      <c r="B10">
        <v>0</v>
      </c>
      <c r="C10" t="s">
        <v>56</v>
      </c>
    </row>
    <row r="11" spans="1:3" x14ac:dyDescent="0.25">
      <c r="A11">
        <v>10</v>
      </c>
      <c r="B11">
        <v>0</v>
      </c>
      <c r="C11" t="s">
        <v>55</v>
      </c>
    </row>
    <row r="12" spans="1:3" x14ac:dyDescent="0.25">
      <c r="A12" s="8">
        <v>11</v>
      </c>
      <c r="B12">
        <v>0</v>
      </c>
      <c r="C12" t="s">
        <v>56</v>
      </c>
    </row>
    <row r="13" spans="1:3" x14ac:dyDescent="0.25">
      <c r="A13">
        <v>12</v>
      </c>
      <c r="B13">
        <v>0</v>
      </c>
      <c r="C13" t="s">
        <v>55</v>
      </c>
    </row>
    <row r="14" spans="1:3" x14ac:dyDescent="0.25">
      <c r="A14" s="8">
        <v>13</v>
      </c>
      <c r="B14">
        <v>0</v>
      </c>
      <c r="C14" t="s">
        <v>56</v>
      </c>
    </row>
    <row r="15" spans="1:3" x14ac:dyDescent="0.25">
      <c r="A15">
        <v>14</v>
      </c>
      <c r="B15">
        <v>0</v>
      </c>
      <c r="C15" t="s">
        <v>55</v>
      </c>
    </row>
    <row r="16" spans="1:3" x14ac:dyDescent="0.25">
      <c r="A16" s="8">
        <v>15</v>
      </c>
      <c r="B16">
        <v>0</v>
      </c>
      <c r="C16" t="s">
        <v>56</v>
      </c>
    </row>
    <row r="17" spans="1:3" x14ac:dyDescent="0.25">
      <c r="A17" s="8">
        <v>16</v>
      </c>
      <c r="B17">
        <v>3</v>
      </c>
      <c r="C17" t="s">
        <v>56</v>
      </c>
    </row>
    <row r="18" spans="1:3" x14ac:dyDescent="0.25">
      <c r="A18" s="1">
        <v>17</v>
      </c>
      <c r="B18">
        <v>3</v>
      </c>
      <c r="C18" t="s">
        <v>55</v>
      </c>
    </row>
    <row r="19" spans="1:3" x14ac:dyDescent="0.25">
      <c r="A19" s="8">
        <v>18</v>
      </c>
      <c r="B19">
        <v>3</v>
      </c>
      <c r="C19" t="s">
        <v>56</v>
      </c>
    </row>
    <row r="20" spans="1:3" x14ac:dyDescent="0.25">
      <c r="A20" s="8">
        <v>19</v>
      </c>
      <c r="B20">
        <v>3</v>
      </c>
      <c r="C20" t="s">
        <v>56</v>
      </c>
    </row>
    <row r="21" spans="1:3" x14ac:dyDescent="0.25">
      <c r="A21" s="1">
        <v>20</v>
      </c>
      <c r="B21">
        <v>3</v>
      </c>
      <c r="C21" t="s">
        <v>55</v>
      </c>
    </row>
    <row r="22" spans="1:3" x14ac:dyDescent="0.25">
      <c r="A22" s="1">
        <v>21</v>
      </c>
      <c r="B22">
        <v>3</v>
      </c>
      <c r="C22" t="s">
        <v>55</v>
      </c>
    </row>
    <row r="23" spans="1:3" x14ac:dyDescent="0.25">
      <c r="A23" s="1">
        <v>22</v>
      </c>
      <c r="B23">
        <v>3</v>
      </c>
      <c r="C23" t="s">
        <v>55</v>
      </c>
    </row>
    <row r="24" spans="1:3" x14ac:dyDescent="0.25">
      <c r="A24" s="8">
        <v>23</v>
      </c>
      <c r="B24">
        <v>3</v>
      </c>
      <c r="C24" t="s">
        <v>56</v>
      </c>
    </row>
    <row r="25" spans="1:3" x14ac:dyDescent="0.25">
      <c r="A25" s="8">
        <v>24</v>
      </c>
      <c r="B25">
        <v>3</v>
      </c>
      <c r="C25" t="s">
        <v>56</v>
      </c>
    </row>
    <row r="26" spans="1:3" x14ac:dyDescent="0.25">
      <c r="A26" s="1">
        <v>25</v>
      </c>
      <c r="B26">
        <v>3</v>
      </c>
      <c r="C26" t="s">
        <v>55</v>
      </c>
    </row>
    <row r="27" spans="1:3" x14ac:dyDescent="0.25">
      <c r="A27" s="8">
        <v>26</v>
      </c>
      <c r="B27">
        <v>3</v>
      </c>
      <c r="C27" t="s">
        <v>56</v>
      </c>
    </row>
    <row r="28" spans="1:3" x14ac:dyDescent="0.25">
      <c r="A28" s="1">
        <v>27</v>
      </c>
      <c r="B28">
        <v>3</v>
      </c>
      <c r="C28" t="s">
        <v>55</v>
      </c>
    </row>
    <row r="29" spans="1:3" x14ac:dyDescent="0.25">
      <c r="A29" s="1">
        <v>28</v>
      </c>
      <c r="B29">
        <v>3</v>
      </c>
      <c r="C29" t="s">
        <v>55</v>
      </c>
    </row>
    <row r="30" spans="1:3" x14ac:dyDescent="0.25">
      <c r="A30" s="8">
        <v>29</v>
      </c>
      <c r="B30">
        <v>3</v>
      </c>
      <c r="C30" t="s">
        <v>56</v>
      </c>
    </row>
    <row r="31" spans="1:3" x14ac:dyDescent="0.25">
      <c r="A31" s="8">
        <v>31</v>
      </c>
      <c r="B31">
        <v>4</v>
      </c>
      <c r="C31" t="s">
        <v>56</v>
      </c>
    </row>
    <row r="32" spans="1:3" x14ac:dyDescent="0.25">
      <c r="A32" s="8">
        <v>32</v>
      </c>
      <c r="B32">
        <v>4</v>
      </c>
      <c r="C32" t="s">
        <v>56</v>
      </c>
    </row>
    <row r="33" spans="1:3" x14ac:dyDescent="0.25">
      <c r="A33" s="8">
        <v>33</v>
      </c>
      <c r="B33">
        <v>4</v>
      </c>
      <c r="C33" t="s">
        <v>56</v>
      </c>
    </row>
    <row r="34" spans="1:3" x14ac:dyDescent="0.25">
      <c r="A34">
        <v>34</v>
      </c>
      <c r="B34">
        <v>4</v>
      </c>
      <c r="C34" t="s">
        <v>55</v>
      </c>
    </row>
    <row r="35" spans="1:3" x14ac:dyDescent="0.25">
      <c r="A35" s="8">
        <v>35</v>
      </c>
      <c r="B35">
        <v>4</v>
      </c>
      <c r="C35" t="s">
        <v>56</v>
      </c>
    </row>
    <row r="36" spans="1:3" x14ac:dyDescent="0.25">
      <c r="A36" s="8">
        <v>36</v>
      </c>
      <c r="B36">
        <v>4</v>
      </c>
      <c r="C36" t="s">
        <v>56</v>
      </c>
    </row>
    <row r="37" spans="1:3" x14ac:dyDescent="0.25">
      <c r="A37" s="8">
        <v>37</v>
      </c>
      <c r="B37">
        <v>4</v>
      </c>
      <c r="C37" t="s">
        <v>56</v>
      </c>
    </row>
    <row r="38" spans="1:3" x14ac:dyDescent="0.25">
      <c r="A38">
        <v>38</v>
      </c>
      <c r="B38">
        <v>4</v>
      </c>
      <c r="C38" t="s">
        <v>55</v>
      </c>
    </row>
    <row r="39" spans="1:3" x14ac:dyDescent="0.25">
      <c r="A39">
        <v>39</v>
      </c>
      <c r="B39">
        <v>4</v>
      </c>
      <c r="C39" t="s">
        <v>55</v>
      </c>
    </row>
    <row r="40" spans="1:3" x14ac:dyDescent="0.25">
      <c r="A40" s="8">
        <v>40</v>
      </c>
      <c r="B40">
        <v>4</v>
      </c>
      <c r="C40" t="s">
        <v>56</v>
      </c>
    </row>
    <row r="41" spans="1:3" x14ac:dyDescent="0.25">
      <c r="A41">
        <v>41</v>
      </c>
      <c r="B41">
        <v>4</v>
      </c>
      <c r="C41" t="s">
        <v>55</v>
      </c>
    </row>
    <row r="42" spans="1:3" x14ac:dyDescent="0.25">
      <c r="A42">
        <v>42</v>
      </c>
      <c r="B42">
        <v>4</v>
      </c>
      <c r="C42" t="s">
        <v>55</v>
      </c>
    </row>
    <row r="43" spans="1:3" x14ac:dyDescent="0.25">
      <c r="A43">
        <v>43</v>
      </c>
      <c r="B43">
        <v>4</v>
      </c>
      <c r="C43" t="s">
        <v>55</v>
      </c>
    </row>
    <row r="44" spans="1:3" x14ac:dyDescent="0.25">
      <c r="A44">
        <v>44</v>
      </c>
      <c r="B44">
        <v>4</v>
      </c>
      <c r="C44" t="s">
        <v>55</v>
      </c>
    </row>
    <row r="45" spans="1:3" x14ac:dyDescent="0.25">
      <c r="A45">
        <v>45</v>
      </c>
      <c r="B45">
        <v>4</v>
      </c>
      <c r="C45" t="s">
        <v>55</v>
      </c>
    </row>
    <row r="46" spans="1:3" x14ac:dyDescent="0.25">
      <c r="A46" s="8">
        <v>46</v>
      </c>
      <c r="B46">
        <v>5</v>
      </c>
      <c r="C46" t="s">
        <v>56</v>
      </c>
    </row>
    <row r="47" spans="1:3" x14ac:dyDescent="0.25">
      <c r="A47" s="1">
        <v>47</v>
      </c>
      <c r="B47">
        <v>5</v>
      </c>
      <c r="C47" t="s">
        <v>55</v>
      </c>
    </row>
    <row r="48" spans="1:3" x14ac:dyDescent="0.25">
      <c r="A48" s="1">
        <v>48</v>
      </c>
      <c r="B48">
        <v>5</v>
      </c>
      <c r="C48" t="s">
        <v>55</v>
      </c>
    </row>
    <row r="49" spans="1:3" x14ac:dyDescent="0.25">
      <c r="A49" s="8">
        <v>49</v>
      </c>
      <c r="B49">
        <v>5</v>
      </c>
      <c r="C49" t="s">
        <v>56</v>
      </c>
    </row>
    <row r="50" spans="1:3" x14ac:dyDescent="0.25">
      <c r="A50" s="8">
        <v>50</v>
      </c>
      <c r="B50">
        <v>5</v>
      </c>
      <c r="C50" t="s">
        <v>56</v>
      </c>
    </row>
    <row r="51" spans="1:3" x14ac:dyDescent="0.25">
      <c r="A51" s="8">
        <v>51</v>
      </c>
      <c r="B51">
        <v>5</v>
      </c>
      <c r="C51" t="s">
        <v>56</v>
      </c>
    </row>
    <row r="52" spans="1:3" x14ac:dyDescent="0.25">
      <c r="A52" s="1">
        <v>52</v>
      </c>
      <c r="B52">
        <v>5</v>
      </c>
      <c r="C52" t="s">
        <v>55</v>
      </c>
    </row>
    <row r="53" spans="1:3" x14ac:dyDescent="0.25">
      <c r="A53" s="1">
        <v>53</v>
      </c>
      <c r="B53">
        <v>5</v>
      </c>
      <c r="C53" t="s">
        <v>55</v>
      </c>
    </row>
    <row r="54" spans="1:3" x14ac:dyDescent="0.25">
      <c r="A54" s="1">
        <v>54</v>
      </c>
      <c r="B54">
        <v>5</v>
      </c>
      <c r="C54" t="s">
        <v>55</v>
      </c>
    </row>
    <row r="55" spans="1:3" x14ac:dyDescent="0.25">
      <c r="A55" s="1">
        <v>55</v>
      </c>
      <c r="B55">
        <v>5</v>
      </c>
      <c r="C55" t="s">
        <v>55</v>
      </c>
    </row>
    <row r="56" spans="1:3" x14ac:dyDescent="0.25">
      <c r="A56" s="8">
        <v>56</v>
      </c>
      <c r="B56">
        <v>5</v>
      </c>
      <c r="C56" t="s">
        <v>56</v>
      </c>
    </row>
    <row r="57" spans="1:3" x14ac:dyDescent="0.25">
      <c r="A57" s="8">
        <v>57</v>
      </c>
      <c r="B57">
        <v>5</v>
      </c>
      <c r="C57" t="s">
        <v>56</v>
      </c>
    </row>
    <row r="58" spans="1:3" x14ac:dyDescent="0.25">
      <c r="A58" s="1">
        <v>58</v>
      </c>
      <c r="B58">
        <v>5</v>
      </c>
      <c r="C58" t="s">
        <v>55</v>
      </c>
    </row>
    <row r="59" spans="1:3" x14ac:dyDescent="0.25">
      <c r="A59" s="1">
        <v>59</v>
      </c>
      <c r="B59">
        <v>5</v>
      </c>
      <c r="C59" t="s">
        <v>55</v>
      </c>
    </row>
    <row r="60" spans="1:3" x14ac:dyDescent="0.25">
      <c r="A60" s="8">
        <v>60</v>
      </c>
      <c r="B60">
        <v>5</v>
      </c>
      <c r="C60" t="s">
        <v>56</v>
      </c>
    </row>
    <row r="61" spans="1:3" x14ac:dyDescent="0.25">
      <c r="A61" s="8">
        <v>61</v>
      </c>
      <c r="B61">
        <v>8</v>
      </c>
      <c r="C61" t="s">
        <v>56</v>
      </c>
    </row>
    <row r="62" spans="1:3" x14ac:dyDescent="0.25">
      <c r="A62" s="8">
        <v>62</v>
      </c>
      <c r="B62">
        <v>8</v>
      </c>
      <c r="C62" t="s">
        <v>56</v>
      </c>
    </row>
    <row r="63" spans="1:3" x14ac:dyDescent="0.25">
      <c r="A63" s="8">
        <v>63</v>
      </c>
      <c r="B63">
        <v>8</v>
      </c>
      <c r="C63" t="s">
        <v>56</v>
      </c>
    </row>
    <row r="64" spans="1:3" x14ac:dyDescent="0.25">
      <c r="A64">
        <v>64</v>
      </c>
      <c r="B64">
        <v>8</v>
      </c>
      <c r="C64" t="s">
        <v>55</v>
      </c>
    </row>
    <row r="65" spans="1:3" x14ac:dyDescent="0.25">
      <c r="A65">
        <v>65</v>
      </c>
      <c r="B65">
        <v>8</v>
      </c>
      <c r="C65" t="s">
        <v>55</v>
      </c>
    </row>
    <row r="66" spans="1:3" x14ac:dyDescent="0.25">
      <c r="A66" s="8">
        <v>66</v>
      </c>
      <c r="B66">
        <v>8</v>
      </c>
      <c r="C66" t="s">
        <v>56</v>
      </c>
    </row>
    <row r="67" spans="1:3" x14ac:dyDescent="0.25">
      <c r="A67">
        <v>67</v>
      </c>
      <c r="B67">
        <v>8</v>
      </c>
      <c r="C67" t="s">
        <v>55</v>
      </c>
    </row>
    <row r="68" spans="1:3" x14ac:dyDescent="0.25">
      <c r="A68">
        <v>68</v>
      </c>
      <c r="B68">
        <v>8</v>
      </c>
      <c r="C68" t="s">
        <v>55</v>
      </c>
    </row>
    <row r="69" spans="1:3" x14ac:dyDescent="0.25">
      <c r="A69" s="8">
        <v>69</v>
      </c>
      <c r="B69">
        <v>8</v>
      </c>
      <c r="C69" t="s">
        <v>56</v>
      </c>
    </row>
    <row r="70" spans="1:3" x14ac:dyDescent="0.25">
      <c r="A70">
        <v>70</v>
      </c>
      <c r="B70">
        <v>8</v>
      </c>
      <c r="C70" t="s">
        <v>55</v>
      </c>
    </row>
    <row r="71" spans="1:3" x14ac:dyDescent="0.25">
      <c r="A71" s="8">
        <v>71</v>
      </c>
      <c r="B71">
        <v>8</v>
      </c>
      <c r="C71" t="s">
        <v>56</v>
      </c>
    </row>
    <row r="72" spans="1:3" x14ac:dyDescent="0.25">
      <c r="A72" s="8">
        <v>72</v>
      </c>
      <c r="B72">
        <v>8</v>
      </c>
      <c r="C72" t="s">
        <v>56</v>
      </c>
    </row>
    <row r="73" spans="1:3" x14ac:dyDescent="0.25">
      <c r="A73">
        <v>73</v>
      </c>
      <c r="B73">
        <v>8</v>
      </c>
      <c r="C73" t="s">
        <v>55</v>
      </c>
    </row>
    <row r="74" spans="1:3" x14ac:dyDescent="0.25">
      <c r="A74">
        <v>74</v>
      </c>
      <c r="B74">
        <v>8</v>
      </c>
      <c r="C74" t="s">
        <v>55</v>
      </c>
    </row>
    <row r="75" spans="1:3" x14ac:dyDescent="0.25">
      <c r="A75" s="8">
        <v>75</v>
      </c>
      <c r="B75">
        <v>8</v>
      </c>
      <c r="C75" t="s">
        <v>56</v>
      </c>
    </row>
  </sheetData>
  <sortState xmlns:xlrd2="http://schemas.microsoft.com/office/spreadsheetml/2017/richdata2" ref="A2:C76">
    <sortCondition ref="A2:A7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7DEDB721378F4ABE01DF43C082BF72" ma:contentTypeVersion="4" ma:contentTypeDescription="Create a new document." ma:contentTypeScope="" ma:versionID="ab235ce3fdfaabc05946528347d3c446">
  <xsd:schema xmlns:xsd="http://www.w3.org/2001/XMLSchema" xmlns:xs="http://www.w3.org/2001/XMLSchema" xmlns:p="http://schemas.microsoft.com/office/2006/metadata/properties" xmlns:ns2="8b164f46-aaef-4c2e-9818-4011414ce37c" targetNamespace="http://schemas.microsoft.com/office/2006/metadata/properties" ma:root="true" ma:fieldsID="c7be0201ea5b6252b9cc4f2737abd279" ns2:_="">
    <xsd:import namespace="8b164f46-aaef-4c2e-9818-4011414ce3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64f46-aaef-4c2e-9818-4011414ce3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3C8400-EBB2-4644-88E1-F69BDC07D13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BFD2AB8-87B7-487F-9935-4D81B9D5E8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A06385-08F2-4126-8367-CD1877128A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164f46-aaef-4c2e-9818-4011414ce3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severity index</vt:lpstr>
      <vt:lpstr>Data_Reordered_Viral_Burden</vt:lpstr>
      <vt:lpstr>Severe mild Day 0 to 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Suresh, Ramakrishna</cp:lastModifiedBy>
  <cp:revision/>
  <dcterms:created xsi:type="dcterms:W3CDTF">2021-09-07T18:31:35Z</dcterms:created>
  <dcterms:modified xsi:type="dcterms:W3CDTF">2025-03-10T22:04:50Z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0x0101004D7DEDB721378F4ABE01DF43C082BF72</vt:lpwstr>
  </property>
</Properties>
</file>